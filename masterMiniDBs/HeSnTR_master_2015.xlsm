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30" yWindow="-60" windowWidth="14655" windowHeight="8100" activeTab="5"/>
  </bookViews>
  <sheets>
    <sheet name="Welcome" sheetId="5" r:id="rId1"/>
    <sheet name="Data" sheetId="1" r:id="rId2"/>
    <sheet name="Occasion" sheetId="6" r:id="rId3"/>
    <sheet name="Records" sheetId="3" r:id="rId4"/>
    <sheet name="Occ_Prep" sheetId="7" r:id="rId5"/>
    <sheet name="Rec_Prep" sheetId="2" r:id="rId6"/>
    <sheet name="Lists" sheetId="4" r:id="rId7"/>
  </sheets>
  <definedNames>
    <definedName name="_xlnm._FilterDatabase" localSheetId="1" hidden="1">Data!$A$1:$AM$3</definedName>
    <definedName name="Camp">Lists!$C$2:$C$9</definedName>
    <definedName name="Date2013">Lists!$B$2:$B$73</definedName>
    <definedName name="Jul_06">Lists!$L$2:$M$366</definedName>
    <definedName name="Jul_07">Lists!$N$2:$O$366</definedName>
    <definedName name="Jul_08">Lists!$P$2:$Q$367</definedName>
    <definedName name="Jul_09">Lists!$R$2:$S$366</definedName>
    <definedName name="Jul_10">Lists!$T$2:$U$366</definedName>
    <definedName name="Jul_11">Lists!$V$2:$W$366</definedName>
    <definedName name="Jul_12">Lists!$X$2:$Y$367</definedName>
    <definedName name="Observers">Lists!$F$2:$F$48</definedName>
    <definedName name="Sex">Lists!$I$2:$I$4</definedName>
    <definedName name="Site">Lists!$E$2:$E$163</definedName>
    <definedName name="Species">Lists!$H$2:$H$113</definedName>
    <definedName name="Transect">Lists!$D$2:$D$41</definedName>
  </definedNames>
  <calcPr calcId="144525"/>
</workbook>
</file>

<file path=xl/calcChain.xml><?xml version="1.0" encoding="utf-8"?>
<calcChain xmlns="http://schemas.openxmlformats.org/spreadsheetml/2006/main">
  <c r="U12" i="3" l="1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F12" i="3"/>
  <c r="E12" i="3"/>
  <c r="D12" i="3"/>
  <c r="C12" i="3"/>
  <c r="B12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F11" i="3"/>
  <c r="E11" i="3"/>
  <c r="D11" i="3"/>
  <c r="C11" i="3"/>
  <c r="B11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F10" i="3"/>
  <c r="E10" i="3"/>
  <c r="D10" i="3"/>
  <c r="C10" i="3"/>
  <c r="B10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F9" i="3"/>
  <c r="E9" i="3"/>
  <c r="D9" i="3"/>
  <c r="C9" i="3"/>
  <c r="B9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F8" i="3"/>
  <c r="E8" i="3"/>
  <c r="D8" i="3"/>
  <c r="C8" i="3"/>
  <c r="B8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F7" i="3"/>
  <c r="E7" i="3"/>
  <c r="D7" i="3"/>
  <c r="C7" i="3"/>
  <c r="B7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F6" i="3"/>
  <c r="E6" i="3"/>
  <c r="D6" i="3"/>
  <c r="C6" i="3"/>
  <c r="B6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F5" i="3"/>
  <c r="E5" i="3"/>
  <c r="D5" i="3"/>
  <c r="C5" i="3"/>
  <c r="B5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F4" i="3"/>
  <c r="E4" i="3"/>
  <c r="D4" i="3"/>
  <c r="C4" i="3"/>
  <c r="B4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F3" i="3"/>
  <c r="E3" i="3"/>
  <c r="D3" i="3"/>
  <c r="C3" i="3"/>
  <c r="B3" i="3"/>
  <c r="A4" i="6"/>
  <c r="A5" i="6" s="1"/>
  <c r="A6" i="6" s="1"/>
  <c r="A7" i="6" s="1"/>
  <c r="A8" i="6" s="1"/>
  <c r="A9" i="6" s="1"/>
  <c r="A10" i="6" s="1"/>
  <c r="A11" i="6" s="1"/>
  <c r="A12" i="6" s="1"/>
  <c r="A13" i="6" s="1"/>
  <c r="K12" i="6"/>
  <c r="J12" i="6"/>
  <c r="I12" i="6"/>
  <c r="H12" i="6"/>
  <c r="G12" i="6"/>
  <c r="F12" i="6"/>
  <c r="E12" i="6"/>
  <c r="D12" i="6"/>
  <c r="C12" i="6"/>
  <c r="B12" i="6"/>
  <c r="K11" i="6"/>
  <c r="J11" i="6"/>
  <c r="I11" i="6"/>
  <c r="H11" i="6"/>
  <c r="G11" i="6"/>
  <c r="F11" i="6"/>
  <c r="E11" i="6"/>
  <c r="D11" i="6"/>
  <c r="C11" i="6"/>
  <c r="B11" i="6"/>
  <c r="K10" i="6"/>
  <c r="J10" i="6"/>
  <c r="I10" i="6"/>
  <c r="H10" i="6"/>
  <c r="G10" i="6"/>
  <c r="F10" i="6"/>
  <c r="E10" i="6"/>
  <c r="D10" i="6"/>
  <c r="C10" i="6"/>
  <c r="B10" i="6"/>
  <c r="K9" i="6"/>
  <c r="J9" i="6"/>
  <c r="I9" i="6"/>
  <c r="H9" i="6"/>
  <c r="G9" i="6"/>
  <c r="F9" i="6"/>
  <c r="E9" i="6"/>
  <c r="D9" i="6"/>
  <c r="C9" i="6"/>
  <c r="B9" i="6"/>
  <c r="K8" i="6"/>
  <c r="J8" i="6"/>
  <c r="I8" i="6"/>
  <c r="H8" i="6"/>
  <c r="G8" i="6"/>
  <c r="F8" i="6"/>
  <c r="E8" i="6"/>
  <c r="D8" i="6"/>
  <c r="C8" i="6"/>
  <c r="B8" i="6"/>
  <c r="K7" i="6"/>
  <c r="J7" i="6"/>
  <c r="I7" i="6"/>
  <c r="H7" i="6"/>
  <c r="G7" i="6"/>
  <c r="F7" i="6"/>
  <c r="E7" i="6"/>
  <c r="D7" i="6"/>
  <c r="C7" i="6"/>
  <c r="B7" i="6"/>
  <c r="K6" i="6"/>
  <c r="J6" i="6"/>
  <c r="I6" i="6"/>
  <c r="H6" i="6"/>
  <c r="G6" i="6"/>
  <c r="F6" i="6"/>
  <c r="E6" i="6"/>
  <c r="D6" i="6"/>
  <c r="C6" i="6"/>
  <c r="B6" i="6"/>
  <c r="K5" i="6"/>
  <c r="J5" i="6"/>
  <c r="I5" i="6"/>
  <c r="H5" i="6"/>
  <c r="G5" i="6"/>
  <c r="F5" i="6"/>
  <c r="E5" i="6"/>
  <c r="D5" i="6"/>
  <c r="C5" i="6"/>
  <c r="B5" i="6"/>
  <c r="K4" i="6"/>
  <c r="J4" i="6"/>
  <c r="I4" i="6"/>
  <c r="H4" i="6"/>
  <c r="G4" i="6"/>
  <c r="F4" i="6"/>
  <c r="E4" i="6"/>
  <c r="D4" i="6"/>
  <c r="C4" i="6"/>
  <c r="B4" i="6"/>
  <c r="K3" i="6"/>
  <c r="J3" i="6"/>
  <c r="I3" i="6"/>
  <c r="H3" i="6"/>
  <c r="G3" i="6"/>
  <c r="F3" i="6"/>
  <c r="E3" i="6"/>
  <c r="D3" i="6"/>
  <c r="C3" i="6"/>
  <c r="B3" i="6"/>
  <c r="B2" i="6" l="1"/>
  <c r="P2" i="3"/>
  <c r="Q2" i="3"/>
  <c r="W11" i="1" l="1"/>
  <c r="W10" i="1"/>
  <c r="W9" i="1"/>
  <c r="W8" i="1"/>
  <c r="W7" i="1"/>
  <c r="W6" i="1"/>
  <c r="W5" i="1"/>
  <c r="W4" i="1"/>
  <c r="W3" i="1"/>
  <c r="S12" i="1"/>
  <c r="R12" i="1"/>
  <c r="Q12" i="1"/>
  <c r="P12" i="1"/>
  <c r="S11" i="1"/>
  <c r="R11" i="1"/>
  <c r="Q11" i="1"/>
  <c r="P11" i="1"/>
  <c r="S10" i="1"/>
  <c r="R10" i="1"/>
  <c r="Q10" i="1"/>
  <c r="P10" i="1"/>
  <c r="S9" i="1"/>
  <c r="R9" i="1"/>
  <c r="Q9" i="1"/>
  <c r="P9" i="1"/>
  <c r="Q8" i="1"/>
  <c r="P8" i="1"/>
  <c r="S8" i="1" s="1"/>
  <c r="S7" i="1"/>
  <c r="R7" i="1"/>
  <c r="Q7" i="1"/>
  <c r="P7" i="1"/>
  <c r="S6" i="1"/>
  <c r="R6" i="1"/>
  <c r="Q6" i="1"/>
  <c r="P6" i="1"/>
  <c r="P5" i="1"/>
  <c r="P4" i="1"/>
  <c r="Q4" i="1" s="1"/>
  <c r="Q5" i="1" l="1"/>
  <c r="R5" i="1" s="1"/>
  <c r="S4" i="1"/>
  <c r="R4" i="1"/>
  <c r="R8" i="1"/>
  <c r="S5" i="1" l="1"/>
  <c r="B2" i="3"/>
  <c r="A3" i="6" l="1"/>
  <c r="P3" i="1" l="1"/>
  <c r="Q3" i="1" s="1"/>
  <c r="S3" i="1" l="1"/>
  <c r="R3" i="1"/>
  <c r="U2" i="3" l="1"/>
  <c r="N2" i="3"/>
  <c r="O2" i="3"/>
  <c r="R2" i="3"/>
  <c r="S2" i="3"/>
  <c r="T2" i="3"/>
  <c r="K2" i="3" l="1"/>
  <c r="I2" i="3"/>
  <c r="J2" i="3"/>
  <c r="L2" i="3"/>
  <c r="M2" i="3"/>
  <c r="H2" i="3"/>
  <c r="D2" i="3"/>
  <c r="C2" i="3"/>
  <c r="D2" i="6"/>
  <c r="E2" i="6"/>
  <c r="F2" i="6"/>
  <c r="G2" i="6"/>
  <c r="H2" i="6"/>
  <c r="I2" i="6"/>
  <c r="J2" i="6"/>
  <c r="K2" i="6"/>
  <c r="C2" i="6"/>
  <c r="E2" i="3" l="1"/>
  <c r="F2" i="3" l="1"/>
</calcChain>
</file>

<file path=xl/sharedStrings.xml><?xml version="1.0" encoding="utf-8"?>
<sst xmlns="http://schemas.openxmlformats.org/spreadsheetml/2006/main" count="804" uniqueCount="460">
  <si>
    <t>Nearest Camp</t>
  </si>
  <si>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</si>
  <si>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</si>
  <si>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</si>
  <si>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</si>
  <si>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</si>
  <si>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</si>
  <si>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</si>
  <si>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</si>
  <si>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SVL
(mm)</t>
  </si>
  <si>
    <t>Tail Length
(mm)</t>
  </si>
  <si>
    <t>Mass
(g)</t>
  </si>
  <si>
    <t>Total Length
(mm)</t>
  </si>
  <si>
    <t>Coordinates North
(UTM)</t>
  </si>
  <si>
    <t>Coordinates East
(UTM)</t>
  </si>
  <si>
    <t>Date
(dd-mmm-yy)</t>
  </si>
  <si>
    <t>New Species?</t>
  </si>
  <si>
    <t>Camp</t>
  </si>
  <si>
    <t>Conc Species
DB Manager</t>
  </si>
  <si>
    <t>Count
DB Manager</t>
  </si>
  <si>
    <t>Genus
DB Manager</t>
  </si>
  <si>
    <t>Species
DB Manager</t>
  </si>
  <si>
    <t>Date 2013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</si>
  <si>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</si>
  <si>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</si>
  <si>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</si>
  <si>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</si>
  <si>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</si>
  <si>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</si>
  <si>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</si>
  <si>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</si>
  <si>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</si>
  <si>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</si>
  <si>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</si>
  <si>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</si>
  <si>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</si>
  <si>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</si>
  <si>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</si>
  <si>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</si>
  <si>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</si>
  <si>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</si>
  <si>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</si>
  <si>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</si>
  <si>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</si>
  <si>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</si>
  <si>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</si>
  <si>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</si>
  <si>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</si>
  <si>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</si>
  <si>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</si>
  <si>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</si>
  <si>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</si>
  <si>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</si>
  <si>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</si>
  <si>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</si>
  <si>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</si>
  <si>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</si>
  <si>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</si>
  <si>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</si>
  <si>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</si>
  <si>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</si>
  <si>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</si>
  <si>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</si>
  <si>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</si>
  <si>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</si>
  <si>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</si>
  <si>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</si>
  <si>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</si>
  <si>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</si>
  <si>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</si>
  <si>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</si>
  <si>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</si>
  <si>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</si>
  <si>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</si>
  <si>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</si>
  <si>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</si>
  <si>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</si>
  <si>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</si>
  <si>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</si>
  <si>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</si>
  <si>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</si>
  <si>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</si>
  <si>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</si>
  <si>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</si>
  <si>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</si>
  <si>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</si>
  <si>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</si>
  <si>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</si>
  <si>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</si>
  <si>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</si>
  <si>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</si>
  <si>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</si>
  <si>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</si>
  <si>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</si>
  <si>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</si>
  <si>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</si>
  <si>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</si>
  <si>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</si>
  <si>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</si>
  <si>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</si>
  <si>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</si>
  <si>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</si>
  <si>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</si>
  <si>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</si>
  <si>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</si>
  <si>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</si>
  <si>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</si>
  <si>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</si>
  <si>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</si>
  <si>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</si>
  <si>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</si>
  <si>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</si>
  <si>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</si>
  <si>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</si>
  <si>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</si>
  <si>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</si>
  <si>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</si>
  <si>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</si>
  <si>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</si>
  <si>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</si>
  <si>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</si>
  <si>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</si>
  <si>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</si>
  <si>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</si>
  <si>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</si>
  <si>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</si>
  <si>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</si>
  <si>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</si>
  <si>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</si>
  <si>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</si>
  <si>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</si>
  <si>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</si>
  <si>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</si>
  <si>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</si>
  <si>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</si>
  <si>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</si>
  <si>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</si>
  <si>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</si>
  <si>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</si>
  <si>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</si>
  <si>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</si>
  <si>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</si>
  <si>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</si>
  <si>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</si>
  <si>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</si>
  <si>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</si>
  <si>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</si>
  <si>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</si>
  <si>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</si>
  <si>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</si>
  <si>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</si>
  <si>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</si>
  <si>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</si>
  <si>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</si>
  <si>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</si>
  <si>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</si>
  <si>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</si>
  <si>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</si>
  <si>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</si>
  <si>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</si>
  <si>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</si>
  <si>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</si>
  <si>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</si>
  <si>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</si>
  <si>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</si>
  <si>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</si>
  <si>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</si>
  <si>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</si>
  <si>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</si>
  <si>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</si>
  <si>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</si>
  <si>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</si>
  <si>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</si>
  <si>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</si>
  <si>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</si>
  <si>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</si>
  <si>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</si>
  <si>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</si>
  <si>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</si>
  <si>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</si>
  <si>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</si>
  <si>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</si>
  <si>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</si>
  <si>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</si>
  <si>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</si>
  <si>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</si>
  <si>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</si>
  <si>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</si>
  <si>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</si>
  <si>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</si>
  <si>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</si>
  <si>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</si>
  <si>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</si>
  <si>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</si>
  <si>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</si>
  <si>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</si>
  <si>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</si>
  <si>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</si>
  <si>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</si>
  <si>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</si>
  <si>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</si>
  <si>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</si>
  <si>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</si>
  <si>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</si>
  <si>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</si>
  <si>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</si>
  <si>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</si>
  <si>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</si>
  <si>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</si>
  <si>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</si>
  <si>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</si>
  <si>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</si>
  <si>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</si>
  <si>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</si>
  <si>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</si>
  <si>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</si>
  <si>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</si>
  <si>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</si>
  <si>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</si>
  <si>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</si>
  <si>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</si>
  <si>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Jon Kolby</t>
  </si>
  <si>
    <t>Sara Ramirez</t>
  </si>
  <si>
    <t>Alex Laking</t>
  </si>
  <si>
    <t>Achyuthan Srikanthan</t>
  </si>
  <si>
    <t>John Worthington-Hill</t>
  </si>
  <si>
    <t>Guillaume Demare</t>
  </si>
  <si>
    <t>Alice Lett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</si>
  <si>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</si>
  <si>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</si>
  <si>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</si>
  <si>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</si>
  <si>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</si>
  <si>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</si>
  <si>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</si>
  <si>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Perpendicular Distance from Transect (m)</t>
  </si>
  <si>
    <t>Start Time
(hh:mm)</t>
  </si>
  <si>
    <t>End Time (hh:mm)</t>
  </si>
  <si>
    <t>Occasion_HeTR</t>
  </si>
  <si>
    <t>Year_HeTR</t>
  </si>
  <si>
    <t>Day_HeTR</t>
  </si>
  <si>
    <t>Start_HeTR</t>
  </si>
  <si>
    <t>Finish_HeTR</t>
  </si>
  <si>
    <t>Camp_HeTR</t>
  </si>
  <si>
    <t>Transect_HeTR</t>
  </si>
  <si>
    <t>Observer_HeTR</t>
  </si>
  <si>
    <t>NoObs_HeTR</t>
  </si>
  <si>
    <t>Rain_HeTR</t>
  </si>
  <si>
    <t>Wind_HeTR</t>
  </si>
  <si>
    <t>DistTrans_HeTR</t>
  </si>
  <si>
    <t>PerpTrans_HeTR</t>
  </si>
  <si>
    <t>Genus_HeTR</t>
  </si>
  <si>
    <t>Species_HeTR</t>
  </si>
  <si>
    <t>NoIndvs_HeTR</t>
  </si>
  <si>
    <t>SVL_HeTR</t>
  </si>
  <si>
    <t>TailL_HeTR</t>
  </si>
  <si>
    <t>Mass_HeTR</t>
  </si>
  <si>
    <t>TL_HeTR</t>
  </si>
  <si>
    <t>Sex_HeTR</t>
  </si>
  <si>
    <t>CoordN_HeTR</t>
  </si>
  <si>
    <t>CoordE_HeTR</t>
  </si>
  <si>
    <t>Notes_HeTR</t>
  </si>
  <si>
    <t xml:space="preserve">Occasion data must be entered for each sighting (there is no option for number of individuals).  </t>
  </si>
  <si>
    <t>Please do not attempt to fix or change anything yourself.</t>
  </si>
  <si>
    <t xml:space="preserve">Operation Wallacea, Herp Transect Mini-Database </t>
  </si>
  <si>
    <t>Welcome to the Herp Transect mini-database.  This database is designed to receive data</t>
  </si>
  <si>
    <t>Bolitoglossa  conanti</t>
  </si>
  <si>
    <t>Bothriechis  marchi</t>
  </si>
  <si>
    <t>Craugastor  rostralis</t>
  </si>
  <si>
    <t>Duellmanohyla  soralia</t>
  </si>
  <si>
    <t>Plectrohyla  dasypus</t>
  </si>
  <si>
    <t>Ptychohyla  hypomykter</t>
  </si>
  <si>
    <t>Unknown sp.</t>
  </si>
  <si>
    <t>Total Distance Walked (m)</t>
  </si>
  <si>
    <t>BARiver</t>
  </si>
  <si>
    <t>BCRiver</t>
  </si>
  <si>
    <t>CARiver</t>
  </si>
  <si>
    <t>CORiver</t>
  </si>
  <si>
    <t>DARiver</t>
  </si>
  <si>
    <t>GURiver</t>
  </si>
  <si>
    <t>STRiver</t>
  </si>
  <si>
    <t>Photos if taken (river surveys)</t>
  </si>
  <si>
    <t>Photo Code 1</t>
  </si>
  <si>
    <t>Photo Code 2</t>
  </si>
  <si>
    <t>Photo Code 3</t>
  </si>
  <si>
    <t>Camera Make / Model</t>
  </si>
  <si>
    <t>Photographer Name</t>
  </si>
  <si>
    <t>Time Encountered
(hh:mm)</t>
  </si>
  <si>
    <t>Photo1_HeTR</t>
  </si>
  <si>
    <t>Photo2_HeTR</t>
  </si>
  <si>
    <t>Photo3_HeTR</t>
  </si>
  <si>
    <t>Camera_Hetr</t>
  </si>
  <si>
    <t>Photographer_Hetr</t>
  </si>
  <si>
    <t>metamorph</t>
  </si>
  <si>
    <t>no species found</t>
  </si>
  <si>
    <t>canon compact</t>
  </si>
  <si>
    <t>alice lett</t>
  </si>
  <si>
    <t>no herps found</t>
  </si>
  <si>
    <t>started transect at 1250m-metamorph</t>
  </si>
  <si>
    <t>Plectrohyla exquisita</t>
  </si>
  <si>
    <t>Bolitoglossa diaphora</t>
  </si>
  <si>
    <t>Duellmanohyla soralia</t>
  </si>
  <si>
    <t>Plectrohyla dasypus</t>
  </si>
  <si>
    <t>CO1</t>
  </si>
  <si>
    <t>Norops cryptolimifrons</t>
  </si>
  <si>
    <t>Scapularis sp.</t>
  </si>
  <si>
    <t>Norops sp.</t>
  </si>
  <si>
    <t>Bolitoglossa nympha</t>
  </si>
  <si>
    <t>Length</t>
  </si>
  <si>
    <t>Trans_ID</t>
  </si>
  <si>
    <t>TimeEncount_HeTR</t>
  </si>
  <si>
    <t>Adelphicos quadrivirgatus</t>
  </si>
  <si>
    <t>Atropoides mexicanus</t>
  </si>
  <si>
    <t>Basiliscus vittatus</t>
  </si>
  <si>
    <t>Bolitoglossa conanti</t>
  </si>
  <si>
    <t>Bolitoglossa dofleini</t>
  </si>
  <si>
    <t>Bolitoglossa dunni</t>
  </si>
  <si>
    <t>Bolitoglossa mexicana</t>
  </si>
  <si>
    <t>Bothriechis marchi</t>
  </si>
  <si>
    <t>Bothriechis schlegelii</t>
  </si>
  <si>
    <t>Bothrops asper</t>
  </si>
  <si>
    <t>Celestus montanus</t>
  </si>
  <si>
    <t>Cerrophidion wilsonii</t>
  </si>
  <si>
    <t>Chaunus marinus</t>
  </si>
  <si>
    <t>Colubridae sp.</t>
  </si>
  <si>
    <t>Coniophanes imperialis</t>
  </si>
  <si>
    <t>Coniophanes sp.</t>
  </si>
  <si>
    <t>Corytophanes cristatus</t>
  </si>
  <si>
    <t>Corytophanes sp.</t>
  </si>
  <si>
    <t>Craugastor chac</t>
  </si>
  <si>
    <t>Craugastor charadra</t>
  </si>
  <si>
    <t>Craugastor coffeus</t>
  </si>
  <si>
    <t>Craugastor laevissimus</t>
  </si>
  <si>
    <t>Craugastor laticeps</t>
  </si>
  <si>
    <t>Craugastor milesi</t>
  </si>
  <si>
    <t>Craugastor rostralis</t>
  </si>
  <si>
    <t>Craugastor sp.</t>
  </si>
  <si>
    <t>Cryptotriton nasalis</t>
  </si>
  <si>
    <t>Dendrophidion nuchale</t>
  </si>
  <si>
    <t>Dryadophis melanolomus</t>
  </si>
  <si>
    <t>Drymarchon melanurus</t>
  </si>
  <si>
    <t>Drymobius chloroticus</t>
  </si>
  <si>
    <t>Drymobius margaritiferus</t>
  </si>
  <si>
    <t>Geophis nephrodrymus</t>
  </si>
  <si>
    <t>Geophis sp.</t>
  </si>
  <si>
    <t>Hemidactylus angulatus</t>
  </si>
  <si>
    <t>Holcosus festivus</t>
  </si>
  <si>
    <t>Holcosus undulatus</t>
  </si>
  <si>
    <t>Hyalinobatrachium fleischmanni</t>
  </si>
  <si>
    <t>Hylidae sp.</t>
  </si>
  <si>
    <t>Imantodes cenchoa</t>
  </si>
  <si>
    <t>Incilius valliceps</t>
  </si>
  <si>
    <t>Isthmohyla melacaena</t>
  </si>
  <si>
    <t>Lampropeltis triangulumhondurensis</t>
  </si>
  <si>
    <t>Lepidophyma flavimaculatum</t>
  </si>
  <si>
    <t>Leptodeira septentrionalis</t>
  </si>
  <si>
    <t>Leptophis ahaetulla</t>
  </si>
  <si>
    <t>Lithobates maculatus</t>
  </si>
  <si>
    <t>Mastigodryas dorsalis</t>
  </si>
  <si>
    <t>Mesaspis morelettii</t>
  </si>
  <si>
    <t>Micrurus diastema</t>
  </si>
  <si>
    <t>Micrurus nigrocinctus</t>
  </si>
  <si>
    <t>Ninia diademata</t>
  </si>
  <si>
    <t>Ninia espinali</t>
  </si>
  <si>
    <t>Ninia sebae</t>
  </si>
  <si>
    <t>Norops amplisquamosis</t>
  </si>
  <si>
    <t>Norops biporcatus</t>
  </si>
  <si>
    <t>Norops capito</t>
  </si>
  <si>
    <t>Norops cusuco</t>
  </si>
  <si>
    <t>Norops johnmeyerii</t>
  </si>
  <si>
    <t>Norops lemurinus</t>
  </si>
  <si>
    <t>Norops ocelloscapularis</t>
  </si>
  <si>
    <t>Norops petersii</t>
  </si>
  <si>
    <t>Norops rodriguezii</t>
  </si>
  <si>
    <t>Norops sericeus</t>
  </si>
  <si>
    <t>Norops tropidonotus</t>
  </si>
  <si>
    <t>Norops uniformis</t>
  </si>
  <si>
    <t>Nototriton brodiei</t>
  </si>
  <si>
    <t>Nototriton sp.</t>
  </si>
  <si>
    <t>Oedipina sp.</t>
  </si>
  <si>
    <t>Oedipina tomasi</t>
  </si>
  <si>
    <t>Omoadiphas aurula</t>
  </si>
  <si>
    <t>Oxybelis aeneus</t>
  </si>
  <si>
    <t>Oxyrhopus petola</t>
  </si>
  <si>
    <t>Plectrohyla sp.</t>
  </si>
  <si>
    <t>Pliocercus elapoides</t>
  </si>
  <si>
    <t>Pseustes poecilonotus</t>
  </si>
  <si>
    <t>Ptychohyla hypomykter</t>
  </si>
  <si>
    <t>Rana maculata</t>
  </si>
  <si>
    <t>Rhadinaea kinkelini</t>
  </si>
  <si>
    <t>Rhadinaea montecristi</t>
  </si>
  <si>
    <t>Rhadinaea sp.</t>
  </si>
  <si>
    <t>Rhadinia pegosalita</t>
  </si>
  <si>
    <t>Scaphiodontophis annulatus</t>
  </si>
  <si>
    <t>Sceloporus olloporus</t>
  </si>
  <si>
    <t>Sceloporus schmidti</t>
  </si>
  <si>
    <t>Sibon dimidiatus</t>
  </si>
  <si>
    <t>Sibon nebulatus</t>
  </si>
  <si>
    <t>Sibon sp.</t>
  </si>
  <si>
    <t>Smilisca baudinii</t>
  </si>
  <si>
    <t>Sphaerodactylus continentalis</t>
  </si>
  <si>
    <t>Sphenomorphus cherriei</t>
  </si>
  <si>
    <t>Sphenomorphus incertus</t>
  </si>
  <si>
    <t>Sphenomorphus sp.</t>
  </si>
  <si>
    <t>Spilotes pullatus</t>
  </si>
  <si>
    <t>Stenorrhina degenhardtii</t>
  </si>
  <si>
    <t>Tantilla schistosa</t>
  </si>
  <si>
    <t>Tantilla taeniata</t>
  </si>
  <si>
    <t>Tropidodipsas sartorii</t>
  </si>
  <si>
    <t>Honduras, 2014</t>
  </si>
  <si>
    <t/>
  </si>
  <si>
    <t>Sample Code</t>
  </si>
  <si>
    <t>Initials-Date-Camp-Time(type)
e.g. OJB-20-JUN-15-BC-2143(DNA)</t>
  </si>
  <si>
    <t>Code_HeTR</t>
  </si>
  <si>
    <t>Capuca</t>
  </si>
  <si>
    <t>CP1</t>
  </si>
  <si>
    <t>CP2</t>
  </si>
  <si>
    <t>CP3</t>
  </si>
  <si>
    <t>CP4</t>
  </si>
  <si>
    <t>CPRiver</t>
  </si>
  <si>
    <t>CP1_SS1</t>
  </si>
  <si>
    <t>CP1_SS2</t>
  </si>
  <si>
    <t>CP1_SS3</t>
  </si>
  <si>
    <t>CP1_SS4</t>
  </si>
  <si>
    <t>CP1_SS5</t>
  </si>
  <si>
    <t>CP1_SS6</t>
  </si>
  <si>
    <t>CP2_SS1</t>
  </si>
  <si>
    <t>CP2_SS2</t>
  </si>
  <si>
    <t>CP2_SS3</t>
  </si>
  <si>
    <t>CP2_SS4</t>
  </si>
  <si>
    <t>CP2_SS5</t>
  </si>
  <si>
    <t>CP3_SS1</t>
  </si>
  <si>
    <t>CP3_SS2</t>
  </si>
  <si>
    <t>CP3_SS3</t>
  </si>
  <si>
    <t>CP3_SS4</t>
  </si>
  <si>
    <t>CP3_SS5</t>
  </si>
  <si>
    <t>CP4_SS1</t>
  </si>
  <si>
    <t>CP4_SS2</t>
  </si>
  <si>
    <t>CP4_SS3</t>
  </si>
  <si>
    <t>CP4_SS4</t>
  </si>
  <si>
    <t>Bromeliohyla bromeliacia</t>
  </si>
  <si>
    <t>Bromeliohyla sp.</t>
  </si>
  <si>
    <t>Hemidactylus sp.</t>
  </si>
  <si>
    <t>Imantodes sp.</t>
  </si>
  <si>
    <t>Lepidophyma sp.</t>
  </si>
  <si>
    <t>me</t>
  </si>
  <si>
    <t>gurr</t>
  </si>
  <si>
    <t>fdfd-fdfd</t>
  </si>
  <si>
    <t>dfd</t>
  </si>
  <si>
    <t>fd</t>
  </si>
  <si>
    <t xml:space="preserve">Bolitoglossa </t>
  </si>
  <si>
    <t>conanti</t>
  </si>
  <si>
    <t>g</t>
  </si>
  <si>
    <t>gg</t>
  </si>
  <si>
    <t>df</t>
  </si>
  <si>
    <t>d</t>
  </si>
  <si>
    <t xml:space="preserve">Atropoides </t>
  </si>
  <si>
    <t>mexicanus</t>
  </si>
  <si>
    <t xml:space="preserve">Adelphicos </t>
  </si>
  <si>
    <t>quadrivirgatus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</si>
</sst>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2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</fills>
  <borders count="2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11" fillId="0" borderId="0" applyNumberFormat="0" applyFill="0" applyBorder="0" applyAlignment="0" applyProtection="0"/>
    <xf numFmtId="0" fontId="12" fillId="0" borderId="13" applyNumberFormat="0" applyFill="0" applyAlignment="0" applyProtection="0"/>
    <xf numFmtId="0" fontId="13" fillId="0" borderId="14" applyNumberFormat="0" applyFill="0" applyAlignment="0" applyProtection="0"/>
    <xf numFmtId="0" fontId="14" fillId="0" borderId="15" applyNumberFormat="0" applyFill="0" applyAlignment="0" applyProtection="0"/>
    <xf numFmtId="0" fontId="14" fillId="0" borderId="0" applyNumberFormat="0" applyFill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0" applyNumberFormat="0" applyBorder="0" applyAlignment="0" applyProtection="0"/>
    <xf numFmtId="0" fontId="18" fillId="9" borderId="16" applyNumberFormat="0" applyAlignment="0" applyProtection="0"/>
    <xf numFmtId="0" fontId="19" fillId="10" borderId="17" applyNumberFormat="0" applyAlignment="0" applyProtection="0"/>
    <xf numFmtId="0" fontId="20" fillId="10" borderId="16" applyNumberFormat="0" applyAlignment="0" applyProtection="0"/>
    <xf numFmtId="0" fontId="21" fillId="0" borderId="18" applyNumberFormat="0" applyFill="0" applyAlignment="0" applyProtection="0"/>
    <xf numFmtId="0" fontId="22" fillId="11" borderId="19" applyNumberFormat="0" applyAlignment="0" applyProtection="0"/>
    <xf numFmtId="0" fontId="23" fillId="0" borderId="0" applyNumberFormat="0" applyFill="0" applyBorder="0" applyAlignment="0" applyProtection="0"/>
    <xf numFmtId="0" fontId="10" fillId="12" borderId="20" applyNumberFormat="0" applyFont="0" applyAlignment="0" applyProtection="0"/>
    <xf numFmtId="0" fontId="24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5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25" fillId="36" borderId="0" applyNumberFormat="0" applyBorder="0" applyAlignment="0" applyProtection="0"/>
  </cellStyleXfs>
  <cellXfs count="97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164" fontId="0" fillId="3" borderId="0" xfId="0" applyNumberFormat="1" applyFill="1" applyAlignment="1">
      <alignment horizontal="center" vertical="center" wrapText="1"/>
    </xf>
    <xf numFmtId="164" fontId="0" fillId="0" borderId="0" xfId="0" applyNumberFormat="1" applyAlignment="1">
      <alignment wrapText="1"/>
    </xf>
    <xf numFmtId="0" fontId="0" fillId="0" borderId="0" xfId="0" applyFill="1"/>
    <xf numFmtId="0" fontId="3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3" fillId="0" borderId="0" xfId="0" applyFont="1" applyFill="1" applyBorder="1" applyAlignment="1">
      <alignment vertical="top" wrapText="1"/>
    </xf>
    <xf numFmtId="0" fontId="3" fillId="0" borderId="0" xfId="0" applyFont="1" applyFill="1" applyAlignment="1"/>
    <xf numFmtId="0" fontId="4" fillId="0" borderId="0" xfId="0" applyFont="1" applyFill="1" applyBorder="1" applyAlignment="1">
      <alignment wrapText="1"/>
    </xf>
    <xf numFmtId="0" fontId="5" fillId="0" borderId="0" xfId="0" applyFont="1" applyFill="1" applyAlignment="1">
      <alignment wrapText="1"/>
    </xf>
    <xf numFmtId="0" fontId="6" fillId="0" borderId="0" xfId="0" applyFont="1" applyFill="1" applyAlignment="1">
      <alignment wrapText="1"/>
    </xf>
    <xf numFmtId="0" fontId="7" fillId="0" borderId="0" xfId="0" applyFont="1" applyFill="1" applyBorder="1" applyAlignment="1">
      <alignment wrapText="1"/>
    </xf>
    <xf numFmtId="0" fontId="3" fillId="0" borderId="0" xfId="0" applyFont="1" applyFill="1" applyBorder="1"/>
    <xf numFmtId="0" fontId="2" fillId="0" borderId="0" xfId="0" applyFont="1" applyFill="1" applyAlignment="1">
      <alignment wrapText="1"/>
    </xf>
    <xf numFmtId="0" fontId="2" fillId="0" borderId="0" xfId="0" applyFont="1" applyFill="1" applyBorder="1"/>
    <xf numFmtId="165" fontId="0" fillId="3" borderId="0" xfId="0" applyNumberFormat="1" applyFill="1" applyAlignment="1">
      <alignment horizontal="center" vertical="center" wrapText="1"/>
    </xf>
    <xf numFmtId="165" fontId="0" fillId="0" borderId="0" xfId="0" applyNumberFormat="1" applyAlignment="1">
      <alignment wrapText="1"/>
    </xf>
    <xf numFmtId="49" fontId="0" fillId="3" borderId="0" xfId="0" applyNumberFormat="1" applyFill="1" applyAlignment="1">
      <alignment horizontal="center" vertical="center" wrapText="1"/>
    </xf>
    <xf numFmtId="49" fontId="0" fillId="0" borderId="0" xfId="0" applyNumberFormat="1" applyAlignment="1">
      <alignment wrapText="1"/>
    </xf>
    <xf numFmtId="1" fontId="0" fillId="3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wrapText="1"/>
    </xf>
    <xf numFmtId="49" fontId="0" fillId="0" borderId="0" xfId="0" applyNumberFormat="1" applyAlignment="1"/>
    <xf numFmtId="2" fontId="0" fillId="0" borderId="0" xfId="0" applyNumberFormat="1" applyAlignment="1">
      <alignment wrapText="1"/>
    </xf>
    <xf numFmtId="1" fontId="0" fillId="0" borderId="0" xfId="0" applyNumberFormat="1"/>
    <xf numFmtId="0" fontId="8" fillId="5" borderId="0" xfId="0" applyFont="1" applyFill="1" applyBorder="1"/>
    <xf numFmtId="0" fontId="0" fillId="5" borderId="0" xfId="0" applyFill="1" applyBorder="1"/>
    <xf numFmtId="0" fontId="0" fillId="5" borderId="0" xfId="0" applyFill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protection locked="0"/>
    </xf>
    <xf numFmtId="165" fontId="0" fillId="0" borderId="0" xfId="0" applyNumberFormat="1"/>
    <xf numFmtId="0" fontId="0" fillId="0" borderId="0" xfId="0" applyNumberFormat="1" applyAlignment="1" applyProtection="1">
      <protection locked="0"/>
    </xf>
    <xf numFmtId="164" fontId="0" fillId="0" borderId="0" xfId="0" applyNumberFormat="1"/>
    <xf numFmtId="49" fontId="0" fillId="0" borderId="0" xfId="0" applyNumberFormat="1"/>
    <xf numFmtId="1" fontId="0" fillId="0" borderId="0" xfId="0" applyNumberFormat="1" applyAlignment="1"/>
    <xf numFmtId="49" fontId="0" fillId="2" borderId="0" xfId="0" applyNumberFormat="1" applyFill="1" applyAlignment="1">
      <alignment horizontal="center" vertical="center"/>
    </xf>
    <xf numFmtId="2" fontId="0" fillId="0" borderId="0" xfId="0" applyNumberFormat="1"/>
    <xf numFmtId="1" fontId="0" fillId="2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0" borderId="0" xfId="0" applyAlignment="1"/>
    <xf numFmtId="0" fontId="0" fillId="2" borderId="0" xfId="0" applyFill="1" applyBorder="1" applyAlignment="1" applyProtection="1">
      <alignment horizontal="center" vertical="center" wrapText="1"/>
    </xf>
    <xf numFmtId="2" fontId="0" fillId="0" borderId="0" xfId="0" applyNumberFormat="1" applyAlignment="1" applyProtection="1"/>
    <xf numFmtId="15" fontId="0" fillId="0" borderId="0" xfId="0" applyNumberFormat="1" applyAlignment="1" applyProtection="1">
      <protection locked="0"/>
    </xf>
    <xf numFmtId="20" fontId="0" fillId="0" borderId="0" xfId="0" applyNumberFormat="1" applyAlignment="1" applyProtection="1">
      <protection locked="0"/>
    </xf>
    <xf numFmtId="49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2" fontId="0" fillId="0" borderId="0" xfId="0" applyNumberFormat="1" applyAlignment="1" applyProtection="1">
      <protection locked="0"/>
    </xf>
    <xf numFmtId="164" fontId="0" fillId="3" borderId="0" xfId="0" applyNumberFormat="1" applyFill="1" applyAlignment="1">
      <alignment horizontal="center" vertical="center"/>
    </xf>
    <xf numFmtId="165" fontId="0" fillId="3" borderId="0" xfId="0" applyNumberForma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164" fontId="0" fillId="0" borderId="0" xfId="0" applyNumberFormat="1" applyAlignment="1"/>
    <xf numFmtId="165" fontId="0" fillId="0" borderId="0" xfId="0" applyNumberFormat="1" applyAlignment="1"/>
    <xf numFmtId="165" fontId="0" fillId="2" borderId="0" xfId="0" applyNumberFormat="1" applyFill="1" applyAlignment="1">
      <alignment horizontal="center" vertical="center"/>
    </xf>
    <xf numFmtId="0" fontId="0" fillId="0" borderId="0" xfId="0" applyAlignment="1" applyProtection="1">
      <alignment wrapText="1"/>
      <protection locked="0"/>
    </xf>
    <xf numFmtId="0" fontId="0" fillId="0" borderId="0" xfId="0" applyNumberFormat="1" applyAlignment="1" applyProtection="1">
      <alignment wrapText="1"/>
      <protection locked="0"/>
    </xf>
    <xf numFmtId="2" fontId="0" fillId="0" borderId="0" xfId="0" applyNumberFormat="1" applyAlignment="1" applyProtection="1">
      <alignment wrapText="1"/>
    </xf>
    <xf numFmtId="0" fontId="0" fillId="4" borderId="0" xfId="0" applyFill="1" applyAlignment="1" applyProtection="1">
      <alignment horizontal="center" vertical="center" wrapText="1"/>
    </xf>
    <xf numFmtId="0" fontId="0" fillId="4" borderId="0" xfId="0" applyNumberFormat="1" applyFill="1" applyAlignment="1" applyProtection="1">
      <alignment horizontal="center" vertical="center" wrapText="1"/>
    </xf>
    <xf numFmtId="2" fontId="0" fillId="4" borderId="0" xfId="0" applyNumberFormat="1" applyFill="1" applyAlignment="1" applyProtection="1">
      <alignment horizontal="center" vertical="center" wrapText="1"/>
    </xf>
    <xf numFmtId="1" fontId="0" fillId="37" borderId="0" xfId="0" applyNumberFormat="1" applyFill="1" applyAlignment="1">
      <alignment horizontal="center" vertical="center" wrapText="1"/>
    </xf>
    <xf numFmtId="165" fontId="0" fillId="37" borderId="0" xfId="0" applyNumberFormat="1" applyFill="1" applyAlignment="1">
      <alignment horizontal="center" vertical="center" wrapText="1"/>
    </xf>
    <xf numFmtId="2" fontId="0" fillId="37" borderId="0" xfId="0" applyNumberFormat="1" applyFill="1" applyAlignment="1">
      <alignment horizontal="center" vertical="center" wrapText="1"/>
    </xf>
    <xf numFmtId="49" fontId="0" fillId="37" borderId="0" xfId="0" applyNumberFormat="1" applyFill="1" applyAlignment="1">
      <alignment horizontal="center" vertical="center"/>
    </xf>
    <xf numFmtId="49" fontId="0" fillId="37" borderId="0" xfId="0" applyNumberFormat="1" applyFill="1" applyAlignment="1">
      <alignment horizontal="center" vertical="center" wrapText="1"/>
    </xf>
    <xf numFmtId="0" fontId="0" fillId="37" borderId="0" xfId="0" applyFill="1"/>
    <xf numFmtId="49" fontId="0" fillId="2" borderId="22" xfId="0" applyNumberFormat="1" applyFill="1" applyBorder="1" applyAlignment="1" applyProtection="1">
      <alignment horizontal="center" vertical="center" wrapText="1"/>
    </xf>
    <xf numFmtId="49" fontId="0" fillId="2" borderId="12" xfId="0" applyNumberFormat="1" applyFill="1" applyBorder="1" applyAlignment="1" applyProtection="1">
      <alignment horizontal="center" vertical="center" wrapText="1"/>
    </xf>
    <xf numFmtId="1" fontId="0" fillId="2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Border="1" applyAlignment="1" applyProtection="1">
      <alignment horizontal="center" vertical="center" wrapText="1"/>
    </xf>
    <xf numFmtId="0" fontId="0" fillId="2" borderId="12" xfId="0" applyFill="1" applyBorder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2" fontId="0" fillId="2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164" fontId="0" fillId="3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180974</xdr:colOff>
      <xdr:row>0</xdr:row>
      <xdr:rowOff>63954</xdr:rowOff>
    </xdr:from>
    <xdr:to>
      <xdr:col>14</xdr:col>
      <xdr:colOff>504824</xdr:colOff>
      <xdr:row>23</xdr:row>
      <xdr:rowOff>104775</xdr:rowOff>
    </xdr:to>
    <xdr:sp macro="" textlink="">
      <xdr:nvSpPr>
        <xdr:cNvPr id="7" name="Rounded Rectangle 6"/>
        <xdr:cNvSpPr/>
      </xdr:nvSpPr>
      <xdr:spPr>
        <a:xfrm>
          <a:off x="180974" y="63954"/>
          <a:ext cx="8858250" cy="4574721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20</xdr:row>
      <xdr:rowOff>90600</xdr:rowOff>
    </xdr:from>
    <xdr:to>
      <xdr:col>3</xdr:col>
      <xdr:colOff>266700</xdr:colOff>
      <xdr:row>22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20</xdr:row>
      <xdr:rowOff>104775</xdr:rowOff>
    </xdr:from>
    <xdr:to>
      <xdr:col>12</xdr:col>
      <xdr:colOff>514350</xdr:colOff>
      <xdr:row>21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20</xdr:row>
          <xdr:rowOff>0</xdr:rowOff>
        </xdr:from>
        <xdr:to>
          <xdr:col>6</xdr:col>
          <xdr:colOff>419100</xdr:colOff>
          <xdr:row>22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20</xdr:row>
          <xdr:rowOff>0</xdr:rowOff>
        </xdr:from>
        <xdr:to>
          <xdr:col>9</xdr:col>
          <xdr:colOff>514350</xdr:colOff>
          <xdr:row>22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Z41"/>
  <sheetViews>
    <sheetView zoomScaleNormal="100" workbookViewId="0"/>
  </sheetViews>
  <sheetFormatPr defaultRowHeight="15" x14ac:dyDescent="0.25"/>
  <cols>
    <col min="1" max="16384" width="9.140625" style="43"/>
  </cols>
  <sheetData>
    <row r="2" spans="4:4" ht="21" x14ac:dyDescent="0.35">
      <c r="D2" s="41" t="s">
        <v>264</v>
      </c>
    </row>
    <row r="3" spans="4:4" ht="21" x14ac:dyDescent="0.35">
      <c r="D3" s="41" t="s">
        <v>409</v>
      </c>
    </row>
    <row r="4" spans="4:4" x14ac:dyDescent="0.25">
      <c r="D4" s="42" t="s">
        <v>265</v>
      </c>
    </row>
    <row r="5" spans="4:4" x14ac:dyDescent="0.25">
      <c r="D5" s="42" t="s">
        <v>228</v>
      </c>
    </row>
    <row r="6" spans="4:4" x14ac:dyDescent="0.25">
      <c r="D6" s="42"/>
    </row>
    <row r="7" spans="4:4" x14ac:dyDescent="0.25">
      <c r="D7" s="42" t="s">
        <v>233</v>
      </c>
    </row>
    <row r="8" spans="4:4" x14ac:dyDescent="0.25">
      <c r="D8" s="42"/>
    </row>
    <row r="9" spans="4:4" x14ac:dyDescent="0.25">
      <c r="D9" s="42" t="s">
        <v>229</v>
      </c>
    </row>
    <row r="10" spans="4:4" x14ac:dyDescent="0.25">
      <c r="D10" s="42"/>
    </row>
    <row r="11" spans="4:4" x14ac:dyDescent="0.25">
      <c r="D11" s="42" t="s">
        <v>230</v>
      </c>
    </row>
    <row r="12" spans="4:4" x14ac:dyDescent="0.25">
      <c r="D12" s="42" t="s">
        <v>231</v>
      </c>
    </row>
    <row r="13" spans="4:4" x14ac:dyDescent="0.25">
      <c r="D13" s="42"/>
    </row>
    <row r="14" spans="4:4" x14ac:dyDescent="0.25">
      <c r="D14" s="42" t="s">
        <v>262</v>
      </c>
    </row>
    <row r="15" spans="4:4" x14ac:dyDescent="0.25">
      <c r="D15" s="42"/>
    </row>
    <row r="16" spans="4:4" x14ac:dyDescent="0.25">
      <c r="D16" s="42" t="s">
        <v>232</v>
      </c>
    </row>
    <row r="18" spans="1:26" x14ac:dyDescent="0.25">
      <c r="D18" s="42" t="s">
        <v>234</v>
      </c>
    </row>
    <row r="19" spans="1:26" x14ac:dyDescent="0.25">
      <c r="D19" s="43" t="s">
        <v>263</v>
      </c>
    </row>
    <row r="25" spans="1:26" x14ac:dyDescent="0.25">
      <c r="A25" s="92" t="s">
        <v>236</v>
      </c>
      <c r="B25" s="92" t="s">
        <v>237</v>
      </c>
      <c r="C25" s="93" t="s">
        <v>0</v>
      </c>
      <c r="D25" s="93" t="s">
        <v>1</v>
      </c>
      <c r="E25" s="93" t="s">
        <v>273</v>
      </c>
      <c r="F25" s="93" t="s">
        <v>2</v>
      </c>
      <c r="G25" s="94" t="s">
        <v>3</v>
      </c>
      <c r="H25" s="94" t="s">
        <v>7</v>
      </c>
      <c r="I25" s="94" t="s">
        <v>8</v>
      </c>
      <c r="J25" s="87" t="s">
        <v>287</v>
      </c>
      <c r="K25" s="87" t="s">
        <v>220</v>
      </c>
      <c r="L25" s="87" t="s">
        <v>235</v>
      </c>
      <c r="M25" s="90" t="s">
        <v>4</v>
      </c>
      <c r="N25" s="90" t="s">
        <v>16</v>
      </c>
      <c r="O25" s="91" t="s">
        <v>9</v>
      </c>
      <c r="P25" s="91" t="s">
        <v>10</v>
      </c>
      <c r="Q25" s="91" t="s">
        <v>11</v>
      </c>
      <c r="R25" s="90" t="s">
        <v>5</v>
      </c>
      <c r="S25" s="87" t="s">
        <v>13</v>
      </c>
      <c r="T25" s="87" t="s">
        <v>14</v>
      </c>
      <c r="U25" s="88" t="s">
        <v>6</v>
      </c>
      <c r="V25" s="89" t="s">
        <v>281</v>
      </c>
      <c r="W25" s="89"/>
      <c r="X25" s="89"/>
      <c r="Y25" s="89"/>
      <c r="Z25" s="89"/>
    </row>
    <row r="26" spans="1:26" ht="45" x14ac:dyDescent="0.25">
      <c r="A26" s="92"/>
      <c r="B26" s="92"/>
      <c r="C26" s="93"/>
      <c r="D26" s="93"/>
      <c r="E26" s="93"/>
      <c r="F26" s="93"/>
      <c r="G26" s="94"/>
      <c r="H26" s="94"/>
      <c r="I26" s="94"/>
      <c r="J26" s="87"/>
      <c r="K26" s="87"/>
      <c r="L26" s="87"/>
      <c r="M26" s="90"/>
      <c r="N26" s="90"/>
      <c r="O26" s="91"/>
      <c r="P26" s="91"/>
      <c r="Q26" s="91"/>
      <c r="R26" s="90"/>
      <c r="S26" s="87"/>
      <c r="T26" s="87"/>
      <c r="U26" s="88"/>
      <c r="V26" s="57" t="s">
        <v>282</v>
      </c>
      <c r="W26" s="57" t="s">
        <v>283</v>
      </c>
      <c r="X26" s="57" t="s">
        <v>284</v>
      </c>
      <c r="Y26" s="57" t="s">
        <v>285</v>
      </c>
      <c r="Z26" s="57" t="s">
        <v>286</v>
      </c>
    </row>
    <row r="27" spans="1:26" x14ac:dyDescent="0.25">
      <c r="A27" s="60">
        <v>0.86111111111111116</v>
      </c>
      <c r="B27" s="60">
        <v>0.94791666666666663</v>
      </c>
      <c r="C27" s="61" t="s">
        <v>31</v>
      </c>
      <c r="D27" s="61" t="s">
        <v>199</v>
      </c>
      <c r="E27" s="62">
        <v>1450</v>
      </c>
      <c r="F27" s="45" t="s">
        <v>227</v>
      </c>
      <c r="G27" s="45">
        <v>10</v>
      </c>
      <c r="H27" s="45">
        <v>0</v>
      </c>
      <c r="I27" s="45">
        <v>0</v>
      </c>
      <c r="J27" s="60"/>
      <c r="K27" s="45">
        <v>500</v>
      </c>
      <c r="L27" s="45">
        <v>1</v>
      </c>
      <c r="M27" s="45" t="s">
        <v>270</v>
      </c>
      <c r="N27" s="61"/>
      <c r="O27" s="56">
        <v>17.34</v>
      </c>
      <c r="P27" s="56"/>
      <c r="Q27" s="56"/>
      <c r="R27" s="56" t="s">
        <v>34</v>
      </c>
      <c r="S27" s="56"/>
      <c r="T27" s="62"/>
      <c r="U27" s="56" t="s">
        <v>293</v>
      </c>
      <c r="V27" s="56"/>
      <c r="W27" s="56"/>
      <c r="X27" s="56"/>
      <c r="Y27" s="56"/>
      <c r="Z27" s="56"/>
    </row>
    <row r="28" spans="1:26" x14ac:dyDescent="0.25">
      <c r="A28" s="64"/>
      <c r="B28" s="64"/>
      <c r="C28" s="61"/>
      <c r="D28" s="61"/>
      <c r="E28" s="62"/>
      <c r="F28" s="61"/>
      <c r="G28" s="62"/>
      <c r="H28" s="62"/>
      <c r="I28" s="62"/>
      <c r="J28" s="60"/>
      <c r="K28" s="62">
        <v>600</v>
      </c>
      <c r="L28" s="62">
        <v>1</v>
      </c>
      <c r="M28" s="45" t="s">
        <v>271</v>
      </c>
      <c r="N28" s="61"/>
      <c r="O28" s="65">
        <v>17.46</v>
      </c>
      <c r="P28" s="65"/>
      <c r="Q28" s="65"/>
      <c r="R28" s="61" t="s">
        <v>34</v>
      </c>
      <c r="S28" s="62"/>
      <c r="T28" s="62"/>
      <c r="U28" s="61" t="s">
        <v>293</v>
      </c>
      <c r="V28" s="45"/>
      <c r="W28" s="45"/>
      <c r="X28" s="45"/>
      <c r="Y28" s="45"/>
      <c r="Z28" s="45"/>
    </row>
    <row r="29" spans="1:26" x14ac:dyDescent="0.25">
      <c r="A29" s="64"/>
      <c r="B29" s="64"/>
      <c r="C29" s="61"/>
      <c r="D29" s="61"/>
      <c r="E29" s="62"/>
      <c r="F29" s="61"/>
      <c r="G29" s="62"/>
      <c r="H29" s="62"/>
      <c r="I29" s="62"/>
      <c r="J29" s="60"/>
      <c r="K29" s="62">
        <v>750</v>
      </c>
      <c r="L29" s="62">
        <v>1</v>
      </c>
      <c r="M29" s="45" t="s">
        <v>267</v>
      </c>
      <c r="N29" s="61"/>
      <c r="O29" s="65"/>
      <c r="P29" s="65"/>
      <c r="Q29" s="65"/>
      <c r="R29" s="61" t="s">
        <v>34</v>
      </c>
      <c r="S29" s="62"/>
      <c r="T29" s="62"/>
      <c r="U29" s="61"/>
      <c r="V29" s="45"/>
      <c r="W29" s="45"/>
      <c r="X29" s="45"/>
      <c r="Y29" s="45"/>
      <c r="Z29" s="45"/>
    </row>
    <row r="30" spans="1:26" x14ac:dyDescent="0.25">
      <c r="A30" s="64"/>
      <c r="B30" s="64"/>
      <c r="C30" s="61"/>
      <c r="D30" s="61"/>
      <c r="E30" s="62"/>
      <c r="F30" s="61"/>
      <c r="G30" s="62"/>
      <c r="H30" s="62"/>
      <c r="I30" s="62"/>
      <c r="J30" s="60"/>
      <c r="K30" s="62">
        <v>750</v>
      </c>
      <c r="L30" s="62">
        <v>2</v>
      </c>
      <c r="M30" s="45" t="s">
        <v>267</v>
      </c>
      <c r="N30" s="61"/>
      <c r="O30" s="65"/>
      <c r="P30" s="65"/>
      <c r="Q30" s="65"/>
      <c r="R30" s="61" t="s">
        <v>34</v>
      </c>
      <c r="S30" s="62"/>
      <c r="T30" s="62"/>
      <c r="U30" s="61"/>
      <c r="V30" s="45"/>
      <c r="W30" s="45"/>
      <c r="X30" s="45"/>
      <c r="Y30" s="45"/>
      <c r="Z30" s="45"/>
    </row>
    <row r="31" spans="1:26" x14ac:dyDescent="0.25">
      <c r="A31" s="64"/>
      <c r="B31" s="64"/>
      <c r="C31" s="61"/>
      <c r="D31" s="61"/>
      <c r="E31" s="62"/>
      <c r="F31" s="61"/>
      <c r="G31" s="62"/>
      <c r="H31" s="62"/>
      <c r="I31" s="62"/>
      <c r="J31" s="60"/>
      <c r="K31" s="62">
        <v>1400</v>
      </c>
      <c r="L31" s="62">
        <v>1</v>
      </c>
      <c r="M31" s="45" t="s">
        <v>270</v>
      </c>
      <c r="N31" s="61"/>
      <c r="O31" s="65">
        <v>17</v>
      </c>
      <c r="P31" s="65"/>
      <c r="Q31" s="65"/>
      <c r="R31" s="61" t="s">
        <v>34</v>
      </c>
      <c r="S31" s="62"/>
      <c r="T31" s="62"/>
      <c r="U31" s="61" t="s">
        <v>293</v>
      </c>
      <c r="V31" s="45"/>
      <c r="W31" s="45"/>
      <c r="X31" s="45"/>
      <c r="Y31" s="45"/>
      <c r="Z31" s="45"/>
    </row>
    <row r="32" spans="1:26" x14ac:dyDescent="0.25">
      <c r="A32" s="64">
        <v>0.36805555555555558</v>
      </c>
      <c r="B32" s="64">
        <v>0.43194444444444446</v>
      </c>
      <c r="C32" s="61" t="s">
        <v>31</v>
      </c>
      <c r="D32" s="61" t="s">
        <v>196</v>
      </c>
      <c r="E32" s="62">
        <v>1750</v>
      </c>
      <c r="F32" s="61" t="s">
        <v>227</v>
      </c>
      <c r="G32" s="62">
        <v>12</v>
      </c>
      <c r="H32" s="62">
        <v>0</v>
      </c>
      <c r="I32" s="62">
        <v>0</v>
      </c>
      <c r="J32" s="60"/>
      <c r="K32" s="62"/>
      <c r="L32" s="62"/>
      <c r="M32" s="45"/>
      <c r="N32" s="61"/>
      <c r="O32" s="65"/>
      <c r="P32" s="65"/>
      <c r="Q32" s="65"/>
      <c r="R32" s="61"/>
      <c r="S32" s="62"/>
      <c r="T32" s="62"/>
      <c r="U32" s="61" t="s">
        <v>294</v>
      </c>
      <c r="V32" s="45"/>
      <c r="W32" s="45"/>
      <c r="X32" s="45"/>
      <c r="Y32" s="45"/>
      <c r="Z32" s="45"/>
    </row>
    <row r="33" spans="1:26" x14ac:dyDescent="0.25">
      <c r="A33" s="60">
        <v>0.87013888888888891</v>
      </c>
      <c r="B33" s="60">
        <v>0.9194444444444444</v>
      </c>
      <c r="C33" s="61" t="s">
        <v>31</v>
      </c>
      <c r="D33" s="61" t="s">
        <v>275</v>
      </c>
      <c r="E33" s="62"/>
      <c r="F33" s="45" t="s">
        <v>227</v>
      </c>
      <c r="G33" s="45">
        <v>11</v>
      </c>
      <c r="H33" s="45">
        <v>0</v>
      </c>
      <c r="I33" s="45">
        <v>0</v>
      </c>
      <c r="J33" s="60"/>
      <c r="K33" s="62"/>
      <c r="L33" s="62"/>
      <c r="M33" s="45" t="s">
        <v>269</v>
      </c>
      <c r="N33" s="61"/>
      <c r="O33" s="65">
        <v>29.55</v>
      </c>
      <c r="P33" s="65"/>
      <c r="Q33" s="65">
        <v>4.5</v>
      </c>
      <c r="R33" s="61" t="s">
        <v>34</v>
      </c>
      <c r="S33" s="62"/>
      <c r="T33" s="62"/>
      <c r="U33" s="61"/>
      <c r="V33" s="45">
        <v>1764</v>
      </c>
      <c r="W33" s="45">
        <v>1765</v>
      </c>
      <c r="X33" s="45">
        <v>1766</v>
      </c>
      <c r="Y33" s="45" t="s">
        <v>295</v>
      </c>
      <c r="Z33" s="45" t="s">
        <v>296</v>
      </c>
    </row>
    <row r="34" spans="1:26" x14ac:dyDescent="0.25">
      <c r="A34" s="64"/>
      <c r="B34" s="64"/>
      <c r="C34" s="61"/>
      <c r="D34" s="61"/>
      <c r="E34" s="62"/>
      <c r="F34" s="61"/>
      <c r="G34" s="62"/>
      <c r="H34" s="62"/>
      <c r="I34" s="62"/>
      <c r="J34" s="60"/>
      <c r="K34" s="62"/>
      <c r="L34" s="62"/>
      <c r="M34" s="45" t="s">
        <v>268</v>
      </c>
      <c r="N34" s="61"/>
      <c r="O34" s="65">
        <v>48.53</v>
      </c>
      <c r="P34" s="65"/>
      <c r="Q34" s="65"/>
      <c r="R34" s="61" t="s">
        <v>34</v>
      </c>
      <c r="S34" s="62"/>
      <c r="T34" s="62"/>
      <c r="U34" s="61"/>
      <c r="V34" s="45">
        <v>1767</v>
      </c>
      <c r="W34" s="45">
        <v>1768</v>
      </c>
      <c r="X34" s="45">
        <v>1769</v>
      </c>
      <c r="Y34" s="45" t="s">
        <v>295</v>
      </c>
      <c r="Z34" s="45" t="s">
        <v>296</v>
      </c>
    </row>
    <row r="35" spans="1:26" x14ac:dyDescent="0.25">
      <c r="A35" s="64">
        <v>0.39305555555555555</v>
      </c>
      <c r="B35" s="64">
        <v>0.4548611111111111</v>
      </c>
      <c r="C35" s="61" t="s">
        <v>31</v>
      </c>
      <c r="D35" s="61" t="s">
        <v>197</v>
      </c>
      <c r="E35" s="62">
        <v>750</v>
      </c>
      <c r="F35" s="61" t="s">
        <v>227</v>
      </c>
      <c r="G35" s="62">
        <v>3</v>
      </c>
      <c r="H35" s="62">
        <v>0</v>
      </c>
      <c r="I35" s="62">
        <v>0</v>
      </c>
      <c r="J35" s="60"/>
      <c r="K35" s="62"/>
      <c r="L35" s="62"/>
      <c r="M35" s="45"/>
      <c r="N35" s="61"/>
      <c r="O35" s="65"/>
      <c r="P35" s="65"/>
      <c r="Q35" s="65"/>
      <c r="R35" s="61"/>
      <c r="S35" s="62"/>
      <c r="T35" s="62"/>
      <c r="U35" s="61" t="s">
        <v>297</v>
      </c>
      <c r="V35" s="45"/>
      <c r="W35" s="45"/>
      <c r="X35" s="45"/>
      <c r="Y35" s="45"/>
      <c r="Z35" s="45"/>
    </row>
    <row r="36" spans="1:26" x14ac:dyDescent="0.25">
      <c r="A36" s="64">
        <v>0.86805555555555547</v>
      </c>
      <c r="B36" s="64">
        <v>0.92361111111111116</v>
      </c>
      <c r="C36" s="61" t="s">
        <v>31</v>
      </c>
      <c r="D36" s="61" t="s">
        <v>198</v>
      </c>
      <c r="E36" s="62">
        <v>1000</v>
      </c>
      <c r="F36" s="61" t="s">
        <v>227</v>
      </c>
      <c r="G36" s="62">
        <v>8</v>
      </c>
      <c r="H36" s="62">
        <v>0</v>
      </c>
      <c r="I36" s="62">
        <v>0</v>
      </c>
      <c r="J36" s="60"/>
      <c r="K36" s="62">
        <v>250</v>
      </c>
      <c r="L36" s="62">
        <v>1</v>
      </c>
      <c r="M36" s="45" t="s">
        <v>266</v>
      </c>
      <c r="N36" s="61"/>
      <c r="O36" s="65">
        <v>29.09</v>
      </c>
      <c r="P36" s="65">
        <v>29.09</v>
      </c>
      <c r="Q36" s="65"/>
      <c r="R36" s="61" t="s">
        <v>34</v>
      </c>
      <c r="S36" s="62"/>
      <c r="T36" s="62"/>
      <c r="U36" s="61"/>
      <c r="V36" s="45"/>
      <c r="W36" s="45"/>
      <c r="X36" s="45"/>
      <c r="Y36" s="45"/>
      <c r="Z36" s="45"/>
    </row>
    <row r="37" spans="1:26" x14ac:dyDescent="0.25">
      <c r="A37" s="64"/>
      <c r="B37" s="64"/>
      <c r="C37" s="61"/>
      <c r="D37" s="61"/>
      <c r="E37" s="62"/>
      <c r="F37" s="61"/>
      <c r="G37" s="62"/>
      <c r="H37" s="62"/>
      <c r="I37" s="62"/>
      <c r="J37" s="60"/>
      <c r="K37" s="62">
        <v>650</v>
      </c>
      <c r="L37" s="62">
        <v>1</v>
      </c>
      <c r="M37" s="45" t="s">
        <v>266</v>
      </c>
      <c r="N37" s="61"/>
      <c r="O37" s="65">
        <v>40.76</v>
      </c>
      <c r="P37" s="65">
        <v>31.13</v>
      </c>
      <c r="Q37" s="65"/>
      <c r="R37" s="61" t="s">
        <v>34</v>
      </c>
      <c r="S37" s="62"/>
      <c r="T37" s="62"/>
      <c r="U37" s="61"/>
      <c r="V37" s="45"/>
      <c r="W37" s="45"/>
      <c r="X37" s="45"/>
      <c r="Y37" s="45"/>
      <c r="Z37" s="45"/>
    </row>
    <row r="38" spans="1:26" x14ac:dyDescent="0.25">
      <c r="A38" s="64">
        <v>0.86805555555555547</v>
      </c>
      <c r="B38" s="64">
        <v>0.95347222222222217</v>
      </c>
      <c r="C38" s="61" t="s">
        <v>31</v>
      </c>
      <c r="D38" s="61" t="s">
        <v>199</v>
      </c>
      <c r="E38" s="62">
        <v>2250</v>
      </c>
      <c r="F38" s="61" t="s">
        <v>227</v>
      </c>
      <c r="G38" s="62">
        <v>12</v>
      </c>
      <c r="H38" s="62">
        <v>0</v>
      </c>
      <c r="I38" s="62">
        <v>0</v>
      </c>
      <c r="J38" s="64"/>
      <c r="K38" s="62">
        <v>1870</v>
      </c>
      <c r="L38" s="62">
        <v>1</v>
      </c>
      <c r="M38" s="45" t="s">
        <v>271</v>
      </c>
      <c r="N38" s="61"/>
      <c r="O38" s="65">
        <v>18.75</v>
      </c>
      <c r="P38" s="65">
        <v>8.33</v>
      </c>
      <c r="Q38" s="65"/>
      <c r="R38" s="61" t="s">
        <v>34</v>
      </c>
      <c r="S38" s="62"/>
      <c r="T38" s="62"/>
      <c r="U38" s="61" t="s">
        <v>298</v>
      </c>
      <c r="V38" s="45"/>
      <c r="W38" s="45"/>
      <c r="X38" s="45"/>
      <c r="Y38" s="45"/>
      <c r="Z38" s="45"/>
    </row>
    <row r="39" spans="1:26" x14ac:dyDescent="0.25">
      <c r="A39" s="64"/>
      <c r="B39" s="64"/>
      <c r="C39" s="61"/>
      <c r="D39" s="61"/>
      <c r="E39" s="62"/>
      <c r="F39" s="61"/>
      <c r="G39" s="62"/>
      <c r="H39" s="62"/>
      <c r="I39" s="62"/>
      <c r="J39" s="64"/>
      <c r="K39" s="62">
        <v>1880</v>
      </c>
      <c r="L39" s="62">
        <v>1</v>
      </c>
      <c r="M39" s="61" t="s">
        <v>271</v>
      </c>
      <c r="N39" s="61"/>
      <c r="O39" s="65">
        <v>39.79</v>
      </c>
      <c r="P39" s="65"/>
      <c r="Q39" s="65"/>
      <c r="R39" s="61" t="s">
        <v>34</v>
      </c>
      <c r="S39" s="62"/>
      <c r="T39" s="62"/>
      <c r="U39" s="61"/>
      <c r="V39" s="45"/>
      <c r="W39" s="45"/>
      <c r="X39" s="45"/>
      <c r="Y39" s="45"/>
      <c r="Z39" s="45"/>
    </row>
    <row r="40" spans="1:26" x14ac:dyDescent="0.25">
      <c r="A40" s="64"/>
      <c r="B40" s="64"/>
      <c r="C40" s="61"/>
      <c r="D40" s="61"/>
      <c r="E40" s="62"/>
      <c r="F40" s="61"/>
      <c r="G40" s="62"/>
      <c r="H40" s="62"/>
      <c r="I40" s="62"/>
      <c r="J40" s="64"/>
      <c r="K40" s="62">
        <v>1880</v>
      </c>
      <c r="L40" s="62">
        <v>1</v>
      </c>
      <c r="M40" s="61" t="s">
        <v>270</v>
      </c>
      <c r="N40" s="61"/>
      <c r="O40" s="65">
        <v>16.57</v>
      </c>
      <c r="P40" s="65"/>
      <c r="Q40" s="65"/>
      <c r="R40" s="61" t="s">
        <v>34</v>
      </c>
      <c r="S40" s="62"/>
      <c r="T40" s="62"/>
      <c r="U40" s="61" t="s">
        <v>293</v>
      </c>
      <c r="V40" s="45"/>
      <c r="W40" s="45"/>
      <c r="X40" s="45"/>
      <c r="Y40" s="45"/>
      <c r="Z40" s="45"/>
    </row>
    <row r="41" spans="1:26" x14ac:dyDescent="0.25">
      <c r="A41" s="64"/>
      <c r="B41" s="64"/>
      <c r="C41" s="61"/>
      <c r="D41" s="61"/>
      <c r="E41" s="62"/>
      <c r="F41" s="61"/>
      <c r="G41" s="62"/>
      <c r="H41" s="62"/>
      <c r="I41" s="62"/>
      <c r="J41" s="64"/>
      <c r="K41" s="62">
        <v>1880</v>
      </c>
      <c r="L41" s="62">
        <v>1</v>
      </c>
      <c r="M41" s="61" t="s">
        <v>271</v>
      </c>
      <c r="N41" s="61"/>
      <c r="O41" s="65">
        <v>30.22</v>
      </c>
      <c r="P41" s="65"/>
      <c r="Q41" s="65"/>
      <c r="R41" s="61" t="s">
        <v>34</v>
      </c>
      <c r="S41" s="62"/>
      <c r="T41" s="62"/>
      <c r="U41" s="61"/>
      <c r="V41" s="45"/>
      <c r="W41" s="45"/>
      <c r="X41" s="45"/>
      <c r="Y41" s="45"/>
      <c r="Z41" s="45"/>
    </row>
  </sheetData>
  <mergeCells count="22">
    <mergeCell ref="L25:L26"/>
    <mergeCell ref="A25:A26"/>
    <mergeCell ref="B25:B26"/>
    <mergeCell ref="C25:C26"/>
    <mergeCell ref="D25:D26"/>
    <mergeCell ref="E25:E26"/>
    <mergeCell ref="F25:F26"/>
    <mergeCell ref="G25:G26"/>
    <mergeCell ref="H25:H26"/>
    <mergeCell ref="I25:I26"/>
    <mergeCell ref="J25:J26"/>
    <mergeCell ref="K25:K26"/>
    <mergeCell ref="S25:S26"/>
    <mergeCell ref="T25:T26"/>
    <mergeCell ref="U25:U26"/>
    <mergeCell ref="V25:Z25"/>
    <mergeCell ref="M25:M26"/>
    <mergeCell ref="N25:N26"/>
    <mergeCell ref="O25:O26"/>
    <mergeCell ref="P25:P26"/>
    <mergeCell ref="Q25:Q26"/>
    <mergeCell ref="R25:R26"/>
  </mergeCells>
  <dataValidations count="12">
    <dataValidation showInputMessage="1" showErrorMessage="1" sqref="F25:F41"/>
    <dataValidation type="list" allowBlank="1" showInputMessage="1" showErrorMessage="1" sqref="M27:M41">
      <formula1>Species</formula1>
    </dataValidation>
    <dataValidation type="whole" showInputMessage="1" showErrorMessage="1" sqref="I27:I41">
      <formula1>0</formula1>
      <formula2>1</formula2>
    </dataValidation>
    <dataValidation type="whole" allowBlank="1" showInputMessage="1" showErrorMessage="1" sqref="G27:G41">
      <formula1>0</formula1>
      <formula2>30</formula2>
    </dataValidation>
    <dataValidation type="whole" allowBlank="1" showInputMessage="1" showErrorMessage="1" sqref="K27:K41 E27:E41">
      <formula1>0</formula1>
      <formula2>4000</formula2>
    </dataValidation>
    <dataValidation type="list" showInputMessage="1" showErrorMessage="1" sqref="D27:D41">
      <formula1>Transect</formula1>
    </dataValidation>
    <dataValidation type="list" showInputMessage="1" showErrorMessage="1" sqref="C27:C41">
      <formula1>Camp</formula1>
    </dataValidation>
    <dataValidation type="time" showInputMessage="1" showErrorMessage="1" errorTitle="Time Input" error="Time must be input as 24hr format: 00:00 e.g. 3:17om would be 15:17" sqref="A27:B41 J27:J41">
      <formula1>0</formula1>
      <formula2>0.999305555555556</formula2>
    </dataValidation>
    <dataValidation type="whole" allowBlank="1" showInputMessage="1" showErrorMessage="1" sqref="H27:H41">
      <formula1>0</formula1>
      <formula2>1</formula2>
    </dataValidation>
    <dataValidation type="whole" allowBlank="1" showInputMessage="1" showErrorMessage="1" sqref="L25 L27:L41">
      <formula1>0</formula1>
      <formula2>200</formula2>
    </dataValidation>
    <dataValidation type="decimal" showInputMessage="1" showErrorMessage="1" sqref="O27:Q41">
      <formula1>0</formula1>
      <formula2>5000</formula2>
    </dataValidation>
    <dataValidation type="list" showInputMessage="1" showErrorMessage="1" sqref="R27:R41">
      <formula1>Sex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20</xdr:row>
                    <xdr:rowOff>0</xdr:rowOff>
                  </from>
                  <to>
                    <xdr:col>6</xdr:col>
                    <xdr:colOff>419100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20</xdr:row>
                    <xdr:rowOff>0</xdr:rowOff>
                  </from>
                  <to>
                    <xdr:col>9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2"/>
  <sheetViews>
    <sheetView workbookViewId="0">
      <pane ySplit="2" topLeftCell="A3" activePane="bottomLeft" state="frozen"/>
      <selection pane="bottomLeft" sqref="A1:A2"/>
    </sheetView>
  </sheetViews>
  <sheetFormatPr defaultRowHeight="15" x14ac:dyDescent="0.25"/>
  <cols>
    <col min="1" max="1" width="13.7109375" style="63" customWidth="1"/>
    <col min="2" max="2" width="11.42578125" style="64" bestFit="1" customWidth="1"/>
    <col min="3" max="3" width="11.42578125" style="64" customWidth="1"/>
    <col min="4" max="4" width="16.85546875" style="61" customWidth="1"/>
    <col min="5" max="5" width="14.5703125" style="61" bestFit="1" customWidth="1"/>
    <col min="6" max="6" width="15.28515625" style="62" bestFit="1" customWidth="1"/>
    <col min="7" max="7" width="15.28515625" style="61" bestFit="1" customWidth="1"/>
    <col min="8" max="8" width="13.140625" style="62" bestFit="1" customWidth="1"/>
    <col min="9" max="9" width="10.85546875" style="62" bestFit="1" customWidth="1"/>
    <col min="10" max="10" width="11.7109375" style="62" bestFit="1" customWidth="1"/>
    <col min="11" max="11" width="13.42578125" style="64" customWidth="1"/>
    <col min="12" max="12" width="15.28515625" style="62" bestFit="1" customWidth="1"/>
    <col min="13" max="13" width="15.28515625" style="62" customWidth="1"/>
    <col min="14" max="14" width="16.7109375" style="61" bestFit="1" customWidth="1"/>
    <col min="15" max="15" width="16.7109375" style="61" customWidth="1"/>
    <col min="16" max="17" width="16.7109375" style="45" customWidth="1"/>
    <col min="18" max="18" width="37.28515625" style="47" customWidth="1"/>
    <col min="19" max="19" width="16.7109375" style="47" customWidth="1"/>
    <col min="20" max="20" width="10.140625" style="65" bestFit="1" customWidth="1"/>
    <col min="21" max="21" width="11" style="65" bestFit="1" customWidth="1"/>
    <col min="22" max="22" width="11.42578125" style="65" bestFit="1" customWidth="1"/>
    <col min="23" max="23" width="8.85546875" style="58" customWidth="1"/>
    <col min="24" max="24" width="10.140625" style="61" bestFit="1" customWidth="1"/>
    <col min="25" max="25" width="13.85546875" style="62" bestFit="1" customWidth="1"/>
    <col min="26" max="26" width="13.42578125" style="62" bestFit="1" customWidth="1"/>
    <col min="27" max="27" width="12.28515625" style="61" bestFit="1" customWidth="1"/>
    <col min="28" max="28" width="12.28515625" style="61" customWidth="1"/>
    <col min="29" max="32" width="9.140625" style="45"/>
    <col min="33" max="33" width="14.28515625" style="45" customWidth="1"/>
    <col min="34" max="16384" width="9.140625" style="45"/>
  </cols>
  <sheetData>
    <row r="1" spans="1:38" ht="15" customHeight="1" x14ac:dyDescent="0.25">
      <c r="A1" s="95" t="s">
        <v>15</v>
      </c>
      <c r="B1" s="92" t="s">
        <v>236</v>
      </c>
      <c r="C1" s="92" t="s">
        <v>237</v>
      </c>
      <c r="D1" s="93" t="s">
        <v>0</v>
      </c>
      <c r="E1" s="93" t="s">
        <v>1</v>
      </c>
      <c r="F1" s="93" t="s">
        <v>273</v>
      </c>
      <c r="G1" s="93" t="s">
        <v>2</v>
      </c>
      <c r="H1" s="94" t="s">
        <v>3</v>
      </c>
      <c r="I1" s="94" t="s">
        <v>7</v>
      </c>
      <c r="J1" s="94" t="s">
        <v>8</v>
      </c>
      <c r="K1" s="87" t="s">
        <v>287</v>
      </c>
      <c r="L1" s="87" t="s">
        <v>220</v>
      </c>
      <c r="M1" s="87" t="s">
        <v>235</v>
      </c>
      <c r="N1" s="90" t="s">
        <v>4</v>
      </c>
      <c r="O1" s="90" t="s">
        <v>16</v>
      </c>
      <c r="P1" s="73"/>
      <c r="Q1" s="73"/>
      <c r="R1" s="74"/>
      <c r="S1" s="74"/>
      <c r="T1" s="91" t="s">
        <v>9</v>
      </c>
      <c r="U1" s="91" t="s">
        <v>10</v>
      </c>
      <c r="V1" s="91" t="s">
        <v>11</v>
      </c>
      <c r="W1" s="75"/>
      <c r="X1" s="90" t="s">
        <v>5</v>
      </c>
      <c r="Y1" s="87" t="s">
        <v>13</v>
      </c>
      <c r="Z1" s="87" t="s">
        <v>14</v>
      </c>
      <c r="AA1" s="88" t="s">
        <v>6</v>
      </c>
      <c r="AB1" s="85" t="s">
        <v>411</v>
      </c>
      <c r="AC1" s="89" t="s">
        <v>281</v>
      </c>
      <c r="AD1" s="89"/>
      <c r="AE1" s="89"/>
      <c r="AF1" s="89"/>
      <c r="AG1" s="89"/>
      <c r="AH1" s="96"/>
      <c r="AI1" s="96"/>
      <c r="AJ1" s="96"/>
      <c r="AK1" s="96"/>
      <c r="AL1" s="96"/>
    </row>
    <row r="2" spans="1:38" s="44" customFormat="1" ht="90" x14ac:dyDescent="0.25">
      <c r="A2" s="95"/>
      <c r="B2" s="92"/>
      <c r="C2" s="92"/>
      <c r="D2" s="93"/>
      <c r="E2" s="93"/>
      <c r="F2" s="93"/>
      <c r="G2" s="93"/>
      <c r="H2" s="94"/>
      <c r="I2" s="94"/>
      <c r="J2" s="94"/>
      <c r="K2" s="87"/>
      <c r="L2" s="87"/>
      <c r="M2" s="87"/>
      <c r="N2" s="90"/>
      <c r="O2" s="90"/>
      <c r="P2" s="76" t="s">
        <v>18</v>
      </c>
      <c r="Q2" s="76" t="s">
        <v>19</v>
      </c>
      <c r="R2" s="77" t="s">
        <v>20</v>
      </c>
      <c r="S2" s="77" t="s">
        <v>21</v>
      </c>
      <c r="T2" s="91"/>
      <c r="U2" s="91"/>
      <c r="V2" s="91"/>
      <c r="W2" s="78" t="s">
        <v>12</v>
      </c>
      <c r="X2" s="90"/>
      <c r="Y2" s="87"/>
      <c r="Z2" s="87"/>
      <c r="AA2" s="88"/>
      <c r="AB2" s="86" t="s">
        <v>412</v>
      </c>
      <c r="AC2" s="57" t="s">
        <v>282</v>
      </c>
      <c r="AD2" s="57" t="s">
        <v>283</v>
      </c>
      <c r="AE2" s="57" t="s">
        <v>284</v>
      </c>
      <c r="AF2" s="57" t="s">
        <v>285</v>
      </c>
      <c r="AG2" s="57" t="s">
        <v>286</v>
      </c>
      <c r="AH2" s="96"/>
      <c r="AI2" s="96"/>
      <c r="AJ2" s="96"/>
      <c r="AK2" s="96"/>
      <c r="AL2" s="96"/>
    </row>
    <row r="3" spans="1:38" x14ac:dyDescent="0.25">
      <c r="A3" s="59">
        <v>42166</v>
      </c>
      <c r="B3" s="60">
        <v>0.53819444444444442</v>
      </c>
      <c r="C3" s="60">
        <v>0.57222222222222219</v>
      </c>
      <c r="D3" s="61" t="s">
        <v>30</v>
      </c>
      <c r="E3" s="61" t="s">
        <v>200</v>
      </c>
      <c r="F3" s="62">
        <v>3</v>
      </c>
      <c r="G3" s="45" t="s">
        <v>445</v>
      </c>
      <c r="H3" s="45">
        <v>2</v>
      </c>
      <c r="I3" s="45">
        <v>1</v>
      </c>
      <c r="J3" s="45">
        <v>1</v>
      </c>
      <c r="K3" s="60">
        <v>0.5083333333333333</v>
      </c>
      <c r="L3" s="45">
        <v>2</v>
      </c>
      <c r="M3" s="45">
        <v>2</v>
      </c>
      <c r="N3" s="45" t="s">
        <v>314</v>
      </c>
      <c r="P3" s="45" t="str">
        <f>IF(ISBLANK(N3),CONCATENATE(N3,O3),N3)</f>
        <v>Bolitoglossa conanti</v>
      </c>
      <c r="Q3" s="45">
        <f>IF(AND(ISBLANK(N3),ISBLANK(O3)),"",FIND(" ",P3))</f>
        <v>13</v>
      </c>
      <c r="R3" s="47" t="str">
        <f>IF(AND(ISBLANK(N3),ISBLANK(O3)),"",MID(P3,1,Q3))</f>
        <v xml:space="preserve">Bolitoglossa </v>
      </c>
      <c r="S3" s="47" t="str">
        <f>IF(AND(ISBLANK(N3),ISBLANK(O3)),"",MID(P3,Q3+1,99))</f>
        <v>conanti</v>
      </c>
      <c r="T3" s="56">
        <v>22</v>
      </c>
      <c r="U3" s="56">
        <v>1</v>
      </c>
      <c r="V3" s="56">
        <v>3</v>
      </c>
      <c r="W3" s="56">
        <f>IF(ISBLANK(T3),"",IF(ISBLANK(U3),T3,T3+U3))</f>
        <v>23</v>
      </c>
      <c r="X3" s="56" t="s">
        <v>33</v>
      </c>
      <c r="Y3" s="56">
        <v>12</v>
      </c>
      <c r="Z3" s="62">
        <v>21</v>
      </c>
      <c r="AA3" s="56" t="s">
        <v>446</v>
      </c>
      <c r="AB3" s="56" t="s">
        <v>447</v>
      </c>
      <c r="AC3" s="56" t="s">
        <v>448</v>
      </c>
      <c r="AD3" s="56" t="s">
        <v>449</v>
      </c>
      <c r="AE3" s="56" t="s">
        <v>449</v>
      </c>
      <c r="AF3" s="56" t="s">
        <v>449</v>
      </c>
      <c r="AG3" s="56" t="s">
        <v>449</v>
      </c>
    </row>
    <row r="4" spans="1:38" x14ac:dyDescent="0.25">
      <c r="A4" s="63">
        <v>42166</v>
      </c>
      <c r="B4" s="64">
        <v>0.57986111111111105</v>
      </c>
      <c r="C4" s="64">
        <v>0.66319444444444442</v>
      </c>
      <c r="D4" s="61" t="s">
        <v>30</v>
      </c>
      <c r="E4" s="61" t="s">
        <v>193</v>
      </c>
      <c r="F4" s="62">
        <v>5</v>
      </c>
      <c r="G4" s="61" t="s">
        <v>452</v>
      </c>
      <c r="H4" s="62">
        <v>6</v>
      </c>
      <c r="I4" s="62">
        <v>1</v>
      </c>
      <c r="J4" s="62">
        <v>1</v>
      </c>
      <c r="K4" s="64">
        <v>0.53055555555555556</v>
      </c>
      <c r="L4" s="62">
        <v>1</v>
      </c>
      <c r="M4" s="62">
        <v>1</v>
      </c>
      <c r="N4" s="61" t="s">
        <v>312</v>
      </c>
      <c r="P4" s="45" t="str">
        <f t="shared" ref="P4:P12" si="0">IF(ISBLANK(N4),CONCATENATE(N4,O4),N4)</f>
        <v>Atropoides mexicanus</v>
      </c>
      <c r="Q4" s="45">
        <f t="shared" ref="Q4:Q12" si="1">IF(AND(ISBLANK(N4),ISBLANK(O4)),"",FIND(" ",P4))</f>
        <v>11</v>
      </c>
      <c r="R4" s="47" t="str">
        <f t="shared" ref="R4:R12" si="2">IF(AND(ISBLANK(N4),ISBLANK(O4)),"",MID(P4,1,Q4))</f>
        <v xml:space="preserve">Atropoides </v>
      </c>
      <c r="S4" s="47" t="str">
        <f t="shared" ref="S4:S12" si="3">IF(AND(ISBLANK(N4),ISBLANK(O4)),"",MID(P4,Q4+1,99))</f>
        <v>mexicanus</v>
      </c>
      <c r="T4" s="65">
        <v>1</v>
      </c>
      <c r="U4" s="65">
        <v>1</v>
      </c>
      <c r="V4" s="65">
        <v>1</v>
      </c>
      <c r="W4" s="56">
        <f t="shared" ref="W4:W11" si="4">IF(ISBLANK(T4),"",IF(ISBLANK(U4),T4,T4+U4))</f>
        <v>2</v>
      </c>
      <c r="X4" s="61" t="s">
        <v>32</v>
      </c>
      <c r="Y4" s="62">
        <v>1</v>
      </c>
      <c r="Z4" s="62">
        <v>1</v>
      </c>
      <c r="AA4" s="61" t="s">
        <v>453</v>
      </c>
      <c r="AB4" s="61" t="s">
        <v>453</v>
      </c>
      <c r="AC4" s="45" t="s">
        <v>453</v>
      </c>
      <c r="AD4" s="45" t="s">
        <v>453</v>
      </c>
      <c r="AE4" s="45" t="s">
        <v>454</v>
      </c>
      <c r="AF4" s="45" t="s">
        <v>449</v>
      </c>
      <c r="AG4" s="45" t="s">
        <v>449</v>
      </c>
    </row>
    <row r="5" spans="1:38" x14ac:dyDescent="0.25">
      <c r="A5" s="63">
        <v>42166</v>
      </c>
      <c r="B5" s="64">
        <v>0.62152777777777779</v>
      </c>
      <c r="C5" s="64">
        <v>0.7055555555555556</v>
      </c>
      <c r="D5" s="61" t="s">
        <v>25</v>
      </c>
      <c r="E5" s="61" t="s">
        <v>194</v>
      </c>
      <c r="F5" s="62">
        <v>6</v>
      </c>
      <c r="G5" s="61" t="s">
        <v>452</v>
      </c>
      <c r="H5" s="62">
        <v>5</v>
      </c>
      <c r="I5" s="62">
        <v>0</v>
      </c>
      <c r="J5" s="62">
        <v>1</v>
      </c>
      <c r="K5" s="64">
        <v>0.56458333333333333</v>
      </c>
      <c r="L5" s="62">
        <v>1</v>
      </c>
      <c r="M5" s="62">
        <v>1</v>
      </c>
      <c r="N5" s="61" t="s">
        <v>311</v>
      </c>
      <c r="P5" s="45" t="str">
        <f t="shared" si="0"/>
        <v>Adelphicos quadrivirgatus</v>
      </c>
      <c r="Q5" s="45">
        <f t="shared" si="1"/>
        <v>11</v>
      </c>
      <c r="R5" s="47" t="str">
        <f t="shared" si="2"/>
        <v xml:space="preserve">Adelphicos </v>
      </c>
      <c r="S5" s="47" t="str">
        <f t="shared" si="3"/>
        <v>quadrivirgatus</v>
      </c>
      <c r="T5" s="65">
        <v>1</v>
      </c>
      <c r="U5" s="65">
        <v>1</v>
      </c>
      <c r="V5" s="65">
        <v>1</v>
      </c>
      <c r="W5" s="56">
        <f t="shared" si="4"/>
        <v>2</v>
      </c>
      <c r="X5" s="61" t="s">
        <v>32</v>
      </c>
      <c r="Y5" s="62">
        <v>1</v>
      </c>
      <c r="Z5" s="62">
        <v>1</v>
      </c>
      <c r="AA5" s="61" t="s">
        <v>453</v>
      </c>
      <c r="AB5" s="61" t="s">
        <v>453</v>
      </c>
      <c r="AC5" s="45" t="s">
        <v>453</v>
      </c>
      <c r="AD5" s="45" t="s">
        <v>454</v>
      </c>
      <c r="AE5" s="45" t="s">
        <v>449</v>
      </c>
      <c r="AF5" s="45" t="s">
        <v>455</v>
      </c>
      <c r="AG5" s="45" t="s">
        <v>454</v>
      </c>
    </row>
    <row r="6" spans="1:38" x14ac:dyDescent="0.25">
      <c r="P6" s="45" t="str">
        <f t="shared" si="0"/>
        <v/>
      </c>
      <c r="Q6" s="45" t="str">
        <f t="shared" si="1"/>
        <v/>
      </c>
      <c r="R6" s="47" t="str">
        <f t="shared" si="2"/>
        <v/>
      </c>
      <c r="S6" s="47" t="str">
        <f t="shared" si="3"/>
        <v/>
      </c>
      <c r="W6" s="56" t="str">
        <f t="shared" si="4"/>
        <v/>
      </c>
    </row>
    <row r="7" spans="1:38" x14ac:dyDescent="0.25">
      <c r="P7" s="45" t="str">
        <f t="shared" si="0"/>
        <v/>
      </c>
      <c r="Q7" s="45" t="str">
        <f t="shared" si="1"/>
        <v/>
      </c>
      <c r="R7" s="47" t="str">
        <f t="shared" si="2"/>
        <v/>
      </c>
      <c r="S7" s="47" t="str">
        <f t="shared" si="3"/>
        <v/>
      </c>
      <c r="W7" s="56" t="str">
        <f t="shared" si="4"/>
        <v/>
      </c>
    </row>
    <row r="8" spans="1:38" x14ac:dyDescent="0.25">
      <c r="P8" s="45" t="str">
        <f t="shared" si="0"/>
        <v/>
      </c>
      <c r="Q8" s="45" t="str">
        <f t="shared" si="1"/>
        <v/>
      </c>
      <c r="R8" s="47" t="str">
        <f t="shared" si="2"/>
        <v/>
      </c>
      <c r="S8" s="47" t="str">
        <f t="shared" si="3"/>
        <v/>
      </c>
      <c r="W8" s="56" t="str">
        <f t="shared" si="4"/>
        <v/>
      </c>
    </row>
    <row r="9" spans="1:38" x14ac:dyDescent="0.25">
      <c r="P9" s="45" t="str">
        <f t="shared" si="0"/>
        <v/>
      </c>
      <c r="Q9" s="45" t="str">
        <f t="shared" si="1"/>
        <v/>
      </c>
      <c r="R9" s="47" t="str">
        <f t="shared" si="2"/>
        <v/>
      </c>
      <c r="S9" s="47" t="str">
        <f t="shared" si="3"/>
        <v/>
      </c>
      <c r="W9" s="56" t="str">
        <f t="shared" si="4"/>
        <v/>
      </c>
    </row>
    <row r="10" spans="1:38" x14ac:dyDescent="0.25">
      <c r="P10" s="45" t="str">
        <f t="shared" si="0"/>
        <v/>
      </c>
      <c r="Q10" s="45" t="str">
        <f t="shared" si="1"/>
        <v/>
      </c>
      <c r="R10" s="47" t="str">
        <f t="shared" si="2"/>
        <v/>
      </c>
      <c r="S10" s="47" t="str">
        <f t="shared" si="3"/>
        <v/>
      </c>
      <c r="W10" s="56" t="str">
        <f t="shared" si="4"/>
        <v/>
      </c>
    </row>
    <row r="11" spans="1:38" x14ac:dyDescent="0.25">
      <c r="P11" s="45" t="str">
        <f t="shared" si="0"/>
        <v/>
      </c>
      <c r="Q11" s="45" t="str">
        <f t="shared" si="1"/>
        <v/>
      </c>
      <c r="R11" s="47" t="str">
        <f t="shared" si="2"/>
        <v/>
      </c>
      <c r="S11" s="47" t="str">
        <f t="shared" si="3"/>
        <v/>
      </c>
      <c r="W11" s="56" t="str">
        <f t="shared" si="4"/>
        <v/>
      </c>
    </row>
    <row r="12" spans="1:38" x14ac:dyDescent="0.25">
      <c r="P12" s="45" t="str">
        <f t="shared" si="0"/>
        <v/>
      </c>
      <c r="Q12" s="45" t="str">
        <f t="shared" si="1"/>
        <v/>
      </c>
      <c r="R12" s="47" t="str">
        <f t="shared" si="2"/>
        <v/>
      </c>
      <c r="S12" s="47" t="str">
        <f t="shared" si="3"/>
        <v/>
      </c>
    </row>
  </sheetData>
  <mergeCells count="28">
    <mergeCell ref="AI1:AI2"/>
    <mergeCell ref="AJ1:AJ2"/>
    <mergeCell ref="AK1:AK2"/>
    <mergeCell ref="AL1:AL2"/>
    <mergeCell ref="E1:E2"/>
    <mergeCell ref="M1:M2"/>
    <mergeCell ref="AC1:AG1"/>
    <mergeCell ref="AA1:AA2"/>
    <mergeCell ref="Z1:Z2"/>
    <mergeCell ref="Y1:Y2"/>
    <mergeCell ref="X1:X2"/>
    <mergeCell ref="K1:K2"/>
    <mergeCell ref="D1:D2"/>
    <mergeCell ref="C1:C2"/>
    <mergeCell ref="B1:B2"/>
    <mergeCell ref="A1:A2"/>
    <mergeCell ref="AH1:AH2"/>
    <mergeCell ref="L1:L2"/>
    <mergeCell ref="J1:J2"/>
    <mergeCell ref="I1:I2"/>
    <mergeCell ref="H1:H2"/>
    <mergeCell ref="G1:G2"/>
    <mergeCell ref="F1:F2"/>
    <mergeCell ref="V1:V2"/>
    <mergeCell ref="U1:U2"/>
    <mergeCell ref="T1:T2"/>
    <mergeCell ref="O1:O2"/>
    <mergeCell ref="N1:N2"/>
  </mergeCells>
  <dataValidations count="13">
    <dataValidation type="whole" allowBlank="1" showInputMessage="1" showErrorMessage="1" sqref="M1 M3:M1048576">
      <formula1>0</formula1>
      <formula2>200</formula2>
    </dataValidation>
    <dataValidation type="whole" allowBlank="1" showInputMessage="1" showErrorMessage="1" sqref="I3:I1048576">
      <formula1>0</formula1>
      <formula2>1</formula2>
    </dataValidation>
    <dataValidation type="time" showInputMessage="1" showErrorMessage="1" errorTitle="Time Input" error="Time must be input as 24hr format: 00:00 e.g. 3:17om would be 15:17" sqref="K3:K1048576 B3:C1048576">
      <formula1>0</formula1>
      <formula2>0.999305555555556</formula2>
    </dataValidation>
    <dataValidation type="list" showInputMessage="1" showErrorMessage="1" sqref="A3:A1048576">
      <formula1>Date2013</formula1>
    </dataValidation>
    <dataValidation type="list" showInputMessage="1" showErrorMessage="1" sqref="D3:D1048576">
      <formula1>Camp</formula1>
    </dataValidation>
    <dataValidation type="list" showInputMessage="1" showErrorMessage="1" sqref="E3:E1048576">
      <formula1>Transect</formula1>
    </dataValidation>
    <dataValidation type="whole" allowBlank="1" showInputMessage="1" showErrorMessage="1" sqref="F3:F1048576 L3:L1048576">
      <formula1>0</formula1>
      <formula2>4000</formula2>
    </dataValidation>
    <dataValidation type="whole" allowBlank="1" showInputMessage="1" showErrorMessage="1" sqref="H3:H1048576">
      <formula1>0</formula1>
      <formula2>30</formula2>
    </dataValidation>
    <dataValidation type="list" showInputMessage="1" showErrorMessage="1" sqref="X3:X1048576">
      <formula1>Sex</formula1>
    </dataValidation>
    <dataValidation type="whole" showInputMessage="1" showErrorMessage="1" sqref="J3:J1048576">
      <formula1>0</formula1>
      <formula2>1</formula2>
    </dataValidation>
    <dataValidation type="decimal" showInputMessage="1" showErrorMessage="1" sqref="T3:V1048576">
      <formula1>0</formula1>
      <formula2>5000</formula2>
    </dataValidation>
    <dataValidation type="list" allowBlank="1" showInputMessage="1" showErrorMessage="1" sqref="N3:N1048576">
      <formula1>Species</formula1>
    </dataValidation>
    <dataValidation showInputMessage="1" showErrorMessage="1" sqref="G1:G1048576"/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3"/>
  <sheetViews>
    <sheetView workbookViewId="0">
      <selection activeCell="A6" sqref="A6"/>
    </sheetView>
  </sheetViews>
  <sheetFormatPr defaultRowHeight="15" x14ac:dyDescent="0.25"/>
  <cols>
    <col min="1" max="1" width="15.42578125" style="40" customWidth="1"/>
    <col min="2" max="2" width="11.42578125" style="40" customWidth="1"/>
    <col min="3" max="3" width="13.7109375" style="19" customWidth="1"/>
    <col min="4" max="4" width="11.42578125" style="33" bestFit="1" customWidth="1"/>
    <col min="5" max="5" width="14.28515625" style="33" customWidth="1"/>
    <col min="6" max="6" width="16.85546875" style="35" customWidth="1"/>
    <col min="7" max="7" width="14.5703125" style="35" bestFit="1" customWidth="1"/>
    <col min="8" max="8" width="15.28515625" style="35" bestFit="1" customWidth="1"/>
    <col min="9" max="9" width="13.140625" style="37" bestFit="1" customWidth="1"/>
    <col min="10" max="10" width="10.85546875" style="37" bestFit="1" customWidth="1"/>
    <col min="11" max="11" width="11.7109375" style="37" bestFit="1" customWidth="1"/>
  </cols>
  <sheetData>
    <row r="1" spans="1:11" x14ac:dyDescent="0.25">
      <c r="A1" s="18" t="s">
        <v>238</v>
      </c>
      <c r="B1" s="18" t="s">
        <v>239</v>
      </c>
      <c r="C1" s="18" t="s">
        <v>240</v>
      </c>
      <c r="D1" s="32" t="s">
        <v>241</v>
      </c>
      <c r="E1" s="32" t="s">
        <v>242</v>
      </c>
      <c r="F1" s="34" t="s">
        <v>243</v>
      </c>
      <c r="G1" s="34" t="s">
        <v>244</v>
      </c>
      <c r="H1" s="34" t="s">
        <v>245</v>
      </c>
      <c r="I1" s="36" t="s">
        <v>246</v>
      </c>
      <c r="J1" s="36" t="s">
        <v>247</v>
      </c>
      <c r="K1" s="36" t="s">
        <v>248</v>
      </c>
    </row>
    <row r="2" spans="1:11" x14ac:dyDescent="0.25">
      <c r="A2" s="40">
        <v>9000</v>
      </c>
      <c r="B2" s="40">
        <f>IF(C2="","",2015)</f>
        <v>2015</v>
      </c>
      <c r="C2" s="48">
        <f>IF(ISBLANK(Data!A3),"",Data!A3)</f>
        <v>42166</v>
      </c>
      <c r="D2" s="46">
        <f>IF(ISBLANK(Data!B3),"",Data!B3)</f>
        <v>0.53819444444444442</v>
      </c>
      <c r="E2" s="46">
        <f>IF(ISBLANK(Data!C3),"",Data!C3)</f>
        <v>0.57222222222222219</v>
      </c>
      <c r="F2" s="49" t="str">
        <f>IF(ISBLANK(Data!D3),"",Data!D3)</f>
        <v>Cantiles</v>
      </c>
      <c r="G2" s="49" t="str">
        <f>IF(ISBLANK(Data!E3),"",Data!E3)</f>
        <v>CA2</v>
      </c>
      <c r="H2" s="49" t="str">
        <f>IF(ISBLANK(Data!G3),"",Data!G3)</f>
        <v>me</v>
      </c>
      <c r="I2" s="40">
        <f>IF(ISBLANK(Data!H3),"",Data!H3)</f>
        <v>2</v>
      </c>
      <c r="J2" s="40">
        <f>IF(ISBLANK(Data!I3),"",Data!I3)</f>
        <v>1</v>
      </c>
      <c r="K2" s="40">
        <f>IF(ISBLANK(Data!J3),"",Data!J3)</f>
        <v>1</v>
      </c>
    </row>
    <row r="3" spans="1:11" x14ac:dyDescent="0.25">
      <c r="A3" s="40">
        <f>IF(B3="",A2,A2+1)</f>
        <v>9001</v>
      </c>
      <c r="B3" s="40">
        <f t="shared" ref="B3:B12" si="0">IF(C3="","",2015)</f>
        <v>2015</v>
      </c>
      <c r="C3" s="48">
        <f>IF(ISBLANK(Data!A4),"",Data!A4)</f>
        <v>42166</v>
      </c>
      <c r="D3" s="46">
        <f>IF(ISBLANK(Data!B4),"",Data!B4)</f>
        <v>0.57986111111111105</v>
      </c>
      <c r="E3" s="46">
        <f>IF(ISBLANK(Data!C4),"",Data!C4)</f>
        <v>0.66319444444444442</v>
      </c>
      <c r="F3" s="49" t="str">
        <f>IF(ISBLANK(Data!D4),"",Data!D4)</f>
        <v>Cantiles</v>
      </c>
      <c r="G3" s="49" t="str">
        <f>IF(ISBLANK(Data!E4),"",Data!E4)</f>
        <v>BA2</v>
      </c>
      <c r="H3" s="49" t="str">
        <f>IF(ISBLANK(Data!G4),"",Data!G4)</f>
        <v>g</v>
      </c>
      <c r="I3" s="40">
        <f>IF(ISBLANK(Data!H4),"",Data!H4)</f>
        <v>6</v>
      </c>
      <c r="J3" s="40">
        <f>IF(ISBLANK(Data!I4),"",Data!I4)</f>
        <v>1</v>
      </c>
      <c r="K3" s="40">
        <f>IF(ISBLANK(Data!J4),"",Data!J4)</f>
        <v>1</v>
      </c>
    </row>
    <row r="4" spans="1:11" x14ac:dyDescent="0.25">
      <c r="A4" s="40">
        <f t="shared" ref="A4:A13" si="1">IF(B4="",A3,A3+1)</f>
        <v>9002</v>
      </c>
      <c r="B4" s="40">
        <f t="shared" si="0"/>
        <v>2015</v>
      </c>
      <c r="C4" s="48">
        <f>IF(ISBLANK(Data!A5),"",Data!A5)</f>
        <v>42166</v>
      </c>
      <c r="D4" s="46">
        <f>IF(ISBLANK(Data!B5),"",Data!B5)</f>
        <v>0.62152777777777779</v>
      </c>
      <c r="E4" s="46">
        <f>IF(ISBLANK(Data!C5),"",Data!C5)</f>
        <v>0.7055555555555556</v>
      </c>
      <c r="F4" s="49" t="str">
        <f>IF(ISBLANK(Data!D5),"",Data!D5)</f>
        <v>Buenos Aires</v>
      </c>
      <c r="G4" s="49" t="str">
        <f>IF(ISBLANK(Data!E5),"",Data!E5)</f>
        <v>BA3</v>
      </c>
      <c r="H4" s="49" t="str">
        <f>IF(ISBLANK(Data!G5),"",Data!G5)</f>
        <v>g</v>
      </c>
      <c r="I4" s="40">
        <f>IF(ISBLANK(Data!H5),"",Data!H5)</f>
        <v>5</v>
      </c>
      <c r="J4" s="40">
        <f>IF(ISBLANK(Data!I5),"",Data!I5)</f>
        <v>0</v>
      </c>
      <c r="K4" s="40">
        <f>IF(ISBLANK(Data!J5),"",Data!J5)</f>
        <v>1</v>
      </c>
    </row>
    <row r="5" spans="1:11" x14ac:dyDescent="0.25">
      <c r="A5" s="40">
        <f t="shared" si="1"/>
        <v>9002</v>
      </c>
      <c r="B5" s="40" t="str">
        <f t="shared" si="0"/>
        <v/>
      </c>
      <c r="C5" s="48" t="str">
        <f>IF(ISBLANK(Data!A6),"",Data!A6)</f>
        <v/>
      </c>
      <c r="D5" s="46" t="str">
        <f>IF(ISBLANK(Data!B6),"",Data!B6)</f>
        <v/>
      </c>
      <c r="E5" s="46" t="str">
        <f>IF(ISBLANK(Data!C6),"",Data!C6)</f>
        <v/>
      </c>
      <c r="F5" s="49" t="str">
        <f>IF(ISBLANK(Data!D6),"",Data!D6)</f>
        <v/>
      </c>
      <c r="G5" s="49" t="str">
        <f>IF(ISBLANK(Data!E6),"",Data!E6)</f>
        <v/>
      </c>
      <c r="H5" s="49" t="str">
        <f>IF(ISBLANK(Data!G6),"",Data!G6)</f>
        <v/>
      </c>
      <c r="I5" s="40" t="str">
        <f>IF(ISBLANK(Data!H6),"",Data!H6)</f>
        <v/>
      </c>
      <c r="J5" s="40" t="str">
        <f>IF(ISBLANK(Data!I6),"",Data!I6)</f>
        <v/>
      </c>
      <c r="K5" s="40" t="str">
        <f>IF(ISBLANK(Data!J6),"",Data!J6)</f>
        <v/>
      </c>
    </row>
    <row r="6" spans="1:11" x14ac:dyDescent="0.25">
      <c r="A6" s="40">
        <f t="shared" si="1"/>
        <v>9002</v>
      </c>
      <c r="B6" s="40" t="str">
        <f t="shared" si="0"/>
        <v/>
      </c>
      <c r="C6" s="48" t="str">
        <f>IF(ISBLANK(Data!A7),"",Data!A7)</f>
        <v/>
      </c>
      <c r="D6" s="46" t="str">
        <f>IF(ISBLANK(Data!B7),"",Data!B7)</f>
        <v/>
      </c>
      <c r="E6" s="46" t="str">
        <f>IF(ISBLANK(Data!C7),"",Data!C7)</f>
        <v/>
      </c>
      <c r="F6" s="49" t="str">
        <f>IF(ISBLANK(Data!D7),"",Data!D7)</f>
        <v/>
      </c>
      <c r="G6" s="49" t="str">
        <f>IF(ISBLANK(Data!E7),"",Data!E7)</f>
        <v/>
      </c>
      <c r="H6" s="49" t="str">
        <f>IF(ISBLANK(Data!G7),"",Data!G7)</f>
        <v/>
      </c>
      <c r="I6" s="40" t="str">
        <f>IF(ISBLANK(Data!H7),"",Data!H7)</f>
        <v/>
      </c>
      <c r="J6" s="40" t="str">
        <f>IF(ISBLANK(Data!I7),"",Data!I7)</f>
        <v/>
      </c>
      <c r="K6" s="40" t="str">
        <f>IF(ISBLANK(Data!J7),"",Data!J7)</f>
        <v/>
      </c>
    </row>
    <row r="7" spans="1:11" x14ac:dyDescent="0.25">
      <c r="A7" s="40">
        <f t="shared" si="1"/>
        <v>9002</v>
      </c>
      <c r="B7" s="40" t="str">
        <f t="shared" si="0"/>
        <v/>
      </c>
      <c r="C7" s="48" t="str">
        <f>IF(ISBLANK(Data!A8),"",Data!A8)</f>
        <v/>
      </c>
      <c r="D7" s="46" t="str">
        <f>IF(ISBLANK(Data!B8),"",Data!B8)</f>
        <v/>
      </c>
      <c r="E7" s="46" t="str">
        <f>IF(ISBLANK(Data!C8),"",Data!C8)</f>
        <v/>
      </c>
      <c r="F7" s="49" t="str">
        <f>IF(ISBLANK(Data!D8),"",Data!D8)</f>
        <v/>
      </c>
      <c r="G7" s="49" t="str">
        <f>IF(ISBLANK(Data!E8),"",Data!E8)</f>
        <v/>
      </c>
      <c r="H7" s="49" t="str">
        <f>IF(ISBLANK(Data!G8),"",Data!G8)</f>
        <v/>
      </c>
      <c r="I7" s="40" t="str">
        <f>IF(ISBLANK(Data!H8),"",Data!H8)</f>
        <v/>
      </c>
      <c r="J7" s="40" t="str">
        <f>IF(ISBLANK(Data!I8),"",Data!I8)</f>
        <v/>
      </c>
      <c r="K7" s="40" t="str">
        <f>IF(ISBLANK(Data!J8),"",Data!J8)</f>
        <v/>
      </c>
    </row>
    <row r="8" spans="1:11" x14ac:dyDescent="0.25">
      <c r="A8" s="40">
        <f t="shared" si="1"/>
        <v>9002</v>
      </c>
      <c r="B8" s="40" t="str">
        <f t="shared" si="0"/>
        <v/>
      </c>
      <c r="C8" s="48" t="str">
        <f>IF(ISBLANK(Data!A9),"",Data!A9)</f>
        <v/>
      </c>
      <c r="D8" s="46" t="str">
        <f>IF(ISBLANK(Data!B9),"",Data!B9)</f>
        <v/>
      </c>
      <c r="E8" s="46" t="str">
        <f>IF(ISBLANK(Data!C9),"",Data!C9)</f>
        <v/>
      </c>
      <c r="F8" s="49" t="str">
        <f>IF(ISBLANK(Data!D9),"",Data!D9)</f>
        <v/>
      </c>
      <c r="G8" s="49" t="str">
        <f>IF(ISBLANK(Data!E9),"",Data!E9)</f>
        <v/>
      </c>
      <c r="H8" s="49" t="str">
        <f>IF(ISBLANK(Data!G9),"",Data!G9)</f>
        <v/>
      </c>
      <c r="I8" s="40" t="str">
        <f>IF(ISBLANK(Data!H9),"",Data!H9)</f>
        <v/>
      </c>
      <c r="J8" s="40" t="str">
        <f>IF(ISBLANK(Data!I9),"",Data!I9)</f>
        <v/>
      </c>
      <c r="K8" s="40" t="str">
        <f>IF(ISBLANK(Data!J9),"",Data!J9)</f>
        <v/>
      </c>
    </row>
    <row r="9" spans="1:11" x14ac:dyDescent="0.25">
      <c r="A9" s="40">
        <f t="shared" si="1"/>
        <v>9002</v>
      </c>
      <c r="B9" s="40" t="str">
        <f t="shared" si="0"/>
        <v/>
      </c>
      <c r="C9" s="48" t="str">
        <f>IF(ISBLANK(Data!A10),"",Data!A10)</f>
        <v/>
      </c>
      <c r="D9" s="46" t="str">
        <f>IF(ISBLANK(Data!B10),"",Data!B10)</f>
        <v/>
      </c>
      <c r="E9" s="46" t="str">
        <f>IF(ISBLANK(Data!C10),"",Data!C10)</f>
        <v/>
      </c>
      <c r="F9" s="49" t="str">
        <f>IF(ISBLANK(Data!D10),"",Data!D10)</f>
        <v/>
      </c>
      <c r="G9" s="49" t="str">
        <f>IF(ISBLANK(Data!E10),"",Data!E10)</f>
        <v/>
      </c>
      <c r="H9" s="49" t="str">
        <f>IF(ISBLANK(Data!G10),"",Data!G10)</f>
        <v/>
      </c>
      <c r="I9" s="40" t="str">
        <f>IF(ISBLANK(Data!H10),"",Data!H10)</f>
        <v/>
      </c>
      <c r="J9" s="40" t="str">
        <f>IF(ISBLANK(Data!I10),"",Data!I10)</f>
        <v/>
      </c>
      <c r="K9" s="40" t="str">
        <f>IF(ISBLANK(Data!J10),"",Data!J10)</f>
        <v/>
      </c>
    </row>
    <row r="10" spans="1:11" x14ac:dyDescent="0.25">
      <c r="A10" s="40">
        <f t="shared" si="1"/>
        <v>9002</v>
      </c>
      <c r="B10" s="40" t="str">
        <f t="shared" si="0"/>
        <v/>
      </c>
      <c r="C10" s="48" t="str">
        <f>IF(ISBLANK(Data!A11),"",Data!A11)</f>
        <v/>
      </c>
      <c r="D10" s="46" t="str">
        <f>IF(ISBLANK(Data!B11),"",Data!B11)</f>
        <v/>
      </c>
      <c r="E10" s="46" t="str">
        <f>IF(ISBLANK(Data!C11),"",Data!C11)</f>
        <v/>
      </c>
      <c r="F10" s="49" t="str">
        <f>IF(ISBLANK(Data!D11),"",Data!D11)</f>
        <v/>
      </c>
      <c r="G10" s="49" t="str">
        <f>IF(ISBLANK(Data!E11),"",Data!E11)</f>
        <v/>
      </c>
      <c r="H10" s="49" t="str">
        <f>IF(ISBLANK(Data!G11),"",Data!G11)</f>
        <v/>
      </c>
      <c r="I10" s="40" t="str">
        <f>IF(ISBLANK(Data!H11),"",Data!H11)</f>
        <v/>
      </c>
      <c r="J10" s="40" t="str">
        <f>IF(ISBLANK(Data!I11),"",Data!I11)</f>
        <v/>
      </c>
      <c r="K10" s="40" t="str">
        <f>IF(ISBLANK(Data!J11),"",Data!J11)</f>
        <v/>
      </c>
    </row>
    <row r="11" spans="1:11" x14ac:dyDescent="0.25">
      <c r="A11" s="40">
        <f t="shared" si="1"/>
        <v>9002</v>
      </c>
      <c r="B11" s="40" t="str">
        <f t="shared" si="0"/>
        <v/>
      </c>
      <c r="C11" s="48" t="str">
        <f>IF(ISBLANK(Data!A12),"",Data!A12)</f>
        <v/>
      </c>
      <c r="D11" s="46" t="str">
        <f>IF(ISBLANK(Data!B12),"",Data!B12)</f>
        <v/>
      </c>
      <c r="E11" s="46" t="str">
        <f>IF(ISBLANK(Data!C12),"",Data!C12)</f>
        <v/>
      </c>
      <c r="F11" s="49" t="str">
        <f>IF(ISBLANK(Data!D12),"",Data!D12)</f>
        <v/>
      </c>
      <c r="G11" s="49" t="str">
        <f>IF(ISBLANK(Data!E12),"",Data!E12)</f>
        <v/>
      </c>
      <c r="H11" s="49" t="str">
        <f>IF(ISBLANK(Data!G12),"",Data!G12)</f>
        <v/>
      </c>
      <c r="I11" s="40" t="str">
        <f>IF(ISBLANK(Data!H12),"",Data!H12)</f>
        <v/>
      </c>
      <c r="J11" s="40" t="str">
        <f>IF(ISBLANK(Data!I12),"",Data!I12)</f>
        <v/>
      </c>
      <c r="K11" s="40" t="str">
        <f>IF(ISBLANK(Data!J12),"",Data!J12)</f>
        <v/>
      </c>
    </row>
    <row r="12" spans="1:11" x14ac:dyDescent="0.25">
      <c r="A12" s="40">
        <f t="shared" si="1"/>
        <v>9002</v>
      </c>
      <c r="B12" s="40" t="str">
        <f t="shared" si="0"/>
        <v/>
      </c>
      <c r="C12" s="48" t="str">
        <f>IF(ISBLANK(Data!A13),"",Data!A13)</f>
        <v/>
      </c>
      <c r="D12" s="46" t="str">
        <f>IF(ISBLANK(Data!B13),"",Data!B13)</f>
        <v/>
      </c>
      <c r="E12" s="46" t="str">
        <f>IF(ISBLANK(Data!C13),"",Data!C13)</f>
        <v/>
      </c>
      <c r="F12" s="49" t="str">
        <f>IF(ISBLANK(Data!D13),"",Data!D13)</f>
        <v/>
      </c>
      <c r="G12" s="49" t="str">
        <f>IF(ISBLANK(Data!E13),"",Data!E13)</f>
        <v/>
      </c>
      <c r="H12" s="49" t="str">
        <f>IF(ISBLANK(Data!G13),"",Data!G13)</f>
        <v/>
      </c>
      <c r="I12" s="40" t="str">
        <f>IF(ISBLANK(Data!H13),"",Data!H13)</f>
        <v/>
      </c>
      <c r="J12" s="40" t="str">
        <f>IF(ISBLANK(Data!I13),"",Data!I13)</f>
        <v/>
      </c>
      <c r="K12" s="40" t="str">
        <f>IF(ISBLANK(Data!J13),"",Data!J13)</f>
        <v/>
      </c>
    </row>
    <row r="13" spans="1:11" x14ac:dyDescent="0.25">
      <c r="A13" s="40">
        <f t="shared" si="1"/>
        <v>9002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3"/>
  <sheetViews>
    <sheetView workbookViewId="0">
      <selection activeCell="A5" sqref="A5"/>
    </sheetView>
  </sheetViews>
  <sheetFormatPr defaultRowHeight="15" x14ac:dyDescent="0.25"/>
  <cols>
    <col min="1" max="1" width="14.42578125" style="40" customWidth="1"/>
    <col min="2" max="2" width="14.42578125" style="46" customWidth="1"/>
    <col min="3" max="3" width="15.28515625" style="37" bestFit="1" customWidth="1"/>
    <col min="4" max="4" width="15.85546875" style="37" customWidth="1"/>
    <col min="5" max="6" width="16.7109375" style="35" customWidth="1"/>
    <col min="7" max="7" width="14.140625" style="37" customWidth="1"/>
    <col min="8" max="8" width="11" style="39" bestFit="1" customWidth="1"/>
    <col min="9" max="9" width="11.42578125" style="39" bestFit="1" customWidth="1"/>
    <col min="10" max="10" width="11.85546875" style="39" customWidth="1"/>
    <col min="11" max="11" width="10.140625" style="39" bestFit="1" customWidth="1"/>
    <col min="12" max="12" width="13.85546875" style="35" bestFit="1" customWidth="1"/>
    <col min="13" max="13" width="13.42578125" style="37" bestFit="1" customWidth="1"/>
    <col min="14" max="14" width="13.42578125" style="37" customWidth="1"/>
    <col min="15" max="16" width="13.42578125" style="35" customWidth="1"/>
  </cols>
  <sheetData>
    <row r="1" spans="1:21" s="56" customFormat="1" ht="45" x14ac:dyDescent="0.25">
      <c r="A1" s="53" t="s">
        <v>238</v>
      </c>
      <c r="B1" s="72" t="s">
        <v>310</v>
      </c>
      <c r="C1" s="53" t="s">
        <v>249</v>
      </c>
      <c r="D1" s="53" t="s">
        <v>250</v>
      </c>
      <c r="E1" s="54" t="s">
        <v>251</v>
      </c>
      <c r="F1" s="54" t="s">
        <v>252</v>
      </c>
      <c r="G1" s="53" t="s">
        <v>253</v>
      </c>
      <c r="H1" s="55" t="s">
        <v>254</v>
      </c>
      <c r="I1" s="55" t="s">
        <v>255</v>
      </c>
      <c r="J1" s="55" t="s">
        <v>256</v>
      </c>
      <c r="K1" s="55" t="s">
        <v>257</v>
      </c>
      <c r="L1" s="51" t="s">
        <v>258</v>
      </c>
      <c r="M1" s="53" t="s">
        <v>259</v>
      </c>
      <c r="N1" s="53" t="s">
        <v>260</v>
      </c>
      <c r="O1" s="51" t="s">
        <v>261</v>
      </c>
      <c r="P1" s="51" t="s">
        <v>413</v>
      </c>
      <c r="Q1" s="57" t="s">
        <v>288</v>
      </c>
      <c r="R1" s="57" t="s">
        <v>289</v>
      </c>
      <c r="S1" s="57" t="s">
        <v>290</v>
      </c>
      <c r="T1" s="57" t="s">
        <v>291</v>
      </c>
      <c r="U1" s="57" t="s">
        <v>292</v>
      </c>
    </row>
    <row r="2" spans="1:21" x14ac:dyDescent="0.25">
      <c r="A2" s="40">
        <v>9000</v>
      </c>
      <c r="B2" s="71">
        <f>IF(ISBLANK(Data!K3),"",Data!K3)</f>
        <v>0.5083333333333333</v>
      </c>
      <c r="C2" s="50">
        <f>IF(ISBLANK(Data!L3),"",Data!L3)</f>
        <v>2</v>
      </c>
      <c r="D2" s="50">
        <f>IF(ISBLANK(Data!M3),"",Data!M3)</f>
        <v>2</v>
      </c>
      <c r="E2" s="38" t="str">
        <f>IF(ISBLANK(Data!R3),"",Data!R3)</f>
        <v xml:space="preserve">Bolitoglossa </v>
      </c>
      <c r="F2" s="38" t="str">
        <f>IF(ISBLANK(Data!S3),"",Data!S3)</f>
        <v>conanti</v>
      </c>
      <c r="G2" s="40"/>
      <c r="H2" s="52">
        <f>IF(ISBLANK(Data!T3),"",Data!T3)</f>
        <v>22</v>
      </c>
      <c r="I2" s="52">
        <f>IF(ISBLANK(Data!U3),"",Data!U3)</f>
        <v>1</v>
      </c>
      <c r="J2" s="52">
        <f>IF(ISBLANK(Data!V3),"",Data!V3)</f>
        <v>3</v>
      </c>
      <c r="K2" s="52">
        <f>IF(ISBLANK(Data!W3),"",Data!W3)</f>
        <v>23</v>
      </c>
      <c r="L2" s="49" t="str">
        <f>IF(ISBLANK(Data!X3),"",Data!X3)</f>
        <v>Female</v>
      </c>
      <c r="M2" s="40">
        <f>IF(ISBLANK(Data!Y3),"",Data!Y3)</f>
        <v>12</v>
      </c>
      <c r="N2" s="40">
        <f>IF(ISBLANK(Data!Z3),"",Data!Z3)</f>
        <v>21</v>
      </c>
      <c r="O2" s="40" t="str">
        <f>IF(ISBLANK(Data!AA3),"",Data!AA3)</f>
        <v>gurr</v>
      </c>
      <c r="P2" s="40" t="str">
        <f>IF(ISBLANK(Data!AB3),"",Data!AB3)</f>
        <v>fdfd-fdfd</v>
      </c>
      <c r="Q2" s="40" t="str">
        <f>IF(ISBLANK(Data!AC3),"",Data!AC3)</f>
        <v>dfd</v>
      </c>
      <c r="R2" s="40" t="str">
        <f>IF(ISBLANK(Data!AD3),"",Data!AD3)</f>
        <v>fd</v>
      </c>
      <c r="S2" s="40" t="str">
        <f>IF(ISBLANK(Data!AE3),"",Data!AE3)</f>
        <v>fd</v>
      </c>
      <c r="T2" s="40" t="str">
        <f>IF(ISBLANK(Data!AF3),"",Data!AF3)</f>
        <v>fd</v>
      </c>
      <c r="U2" s="40" t="str">
        <f>IF(ISBLANK(Data!AG3),"",Data!AG3)</f>
        <v>fd</v>
      </c>
    </row>
    <row r="3" spans="1:21" x14ac:dyDescent="0.25">
      <c r="A3" s="40">
        <v>9001</v>
      </c>
      <c r="B3" s="71">
        <f>IF(ISBLANK(Data!K4),"",Data!K4)</f>
        <v>0.53055555555555556</v>
      </c>
      <c r="C3" s="50">
        <f>IF(ISBLANK(Data!L4),"",Data!L4)</f>
        <v>1</v>
      </c>
      <c r="D3" s="50">
        <f>IF(ISBLANK(Data!M4),"",Data!M4)</f>
        <v>1</v>
      </c>
      <c r="E3" s="38" t="str">
        <f>IF(ISBLANK(Data!R4),"",Data!R4)</f>
        <v xml:space="preserve">Atropoides </v>
      </c>
      <c r="F3" s="38" t="str">
        <f>IF(ISBLANK(Data!S4),"",Data!S4)</f>
        <v>mexicanus</v>
      </c>
      <c r="G3" s="40"/>
      <c r="H3" s="52">
        <f>IF(ISBLANK(Data!T4),"",Data!T4)</f>
        <v>1</v>
      </c>
      <c r="I3" s="52">
        <f>IF(ISBLANK(Data!U4),"",Data!U4)</f>
        <v>1</v>
      </c>
      <c r="J3" s="52">
        <f>IF(ISBLANK(Data!V4),"",Data!V4)</f>
        <v>1</v>
      </c>
      <c r="K3" s="52">
        <f>IF(ISBLANK(Data!W4),"",Data!W4)</f>
        <v>2</v>
      </c>
      <c r="L3" s="49" t="str">
        <f>IF(ISBLANK(Data!X4),"",Data!X4)</f>
        <v>Male</v>
      </c>
      <c r="M3" s="40">
        <f>IF(ISBLANK(Data!Y4),"",Data!Y4)</f>
        <v>1</v>
      </c>
      <c r="N3" s="40">
        <f>IF(ISBLANK(Data!Z4),"",Data!Z4)</f>
        <v>1</v>
      </c>
      <c r="O3" s="40" t="str">
        <f>IF(ISBLANK(Data!AA4),"",Data!AA4)</f>
        <v>gg</v>
      </c>
      <c r="P3" s="40" t="str">
        <f>IF(ISBLANK(Data!AB4),"",Data!AB4)</f>
        <v>gg</v>
      </c>
      <c r="Q3" s="40" t="str">
        <f>IF(ISBLANK(Data!AC4),"",Data!AC4)</f>
        <v>gg</v>
      </c>
      <c r="R3" s="40" t="str">
        <f>IF(ISBLANK(Data!AD4),"",Data!AD4)</f>
        <v>gg</v>
      </c>
      <c r="S3" s="40" t="str">
        <f>IF(ISBLANK(Data!AE4),"",Data!AE4)</f>
        <v>df</v>
      </c>
      <c r="T3" s="40" t="str">
        <f>IF(ISBLANK(Data!AF4),"",Data!AF4)</f>
        <v>fd</v>
      </c>
      <c r="U3" s="40" t="str">
        <f>IF(ISBLANK(Data!AG4),"",Data!AG4)</f>
        <v>fd</v>
      </c>
    </row>
    <row r="4" spans="1:21" x14ac:dyDescent="0.25">
      <c r="A4" s="40">
        <v>9002</v>
      </c>
      <c r="B4" s="71">
        <f>IF(ISBLANK(Data!K5),"",Data!K5)</f>
        <v>0.56458333333333333</v>
      </c>
      <c r="C4" s="50">
        <f>IF(ISBLANK(Data!L5),"",Data!L5)</f>
        <v>1</v>
      </c>
      <c r="D4" s="50">
        <f>IF(ISBLANK(Data!M5),"",Data!M5)</f>
        <v>1</v>
      </c>
      <c r="E4" s="38" t="str">
        <f>IF(ISBLANK(Data!R5),"",Data!R5)</f>
        <v xml:space="preserve">Adelphicos </v>
      </c>
      <c r="F4" s="38" t="str">
        <f>IF(ISBLANK(Data!S5),"",Data!S5)</f>
        <v>quadrivirgatus</v>
      </c>
      <c r="G4" s="40"/>
      <c r="H4" s="52">
        <f>IF(ISBLANK(Data!T5),"",Data!T5)</f>
        <v>1</v>
      </c>
      <c r="I4" s="52">
        <f>IF(ISBLANK(Data!U5),"",Data!U5)</f>
        <v>1</v>
      </c>
      <c r="J4" s="52">
        <f>IF(ISBLANK(Data!V5),"",Data!V5)</f>
        <v>1</v>
      </c>
      <c r="K4" s="52">
        <f>IF(ISBLANK(Data!W5),"",Data!W5)</f>
        <v>2</v>
      </c>
      <c r="L4" s="49" t="str">
        <f>IF(ISBLANK(Data!X5),"",Data!X5)</f>
        <v>Male</v>
      </c>
      <c r="M4" s="40">
        <f>IF(ISBLANK(Data!Y5),"",Data!Y5)</f>
        <v>1</v>
      </c>
      <c r="N4" s="40">
        <f>IF(ISBLANK(Data!Z5),"",Data!Z5)</f>
        <v>1</v>
      </c>
      <c r="O4" s="40" t="str">
        <f>IF(ISBLANK(Data!AA5),"",Data!AA5)</f>
        <v>gg</v>
      </c>
      <c r="P4" s="40" t="str">
        <f>IF(ISBLANK(Data!AB5),"",Data!AB5)</f>
        <v>gg</v>
      </c>
      <c r="Q4" s="40" t="str">
        <f>IF(ISBLANK(Data!AC5),"",Data!AC5)</f>
        <v>gg</v>
      </c>
      <c r="R4" s="40" t="str">
        <f>IF(ISBLANK(Data!AD5),"",Data!AD5)</f>
        <v>df</v>
      </c>
      <c r="S4" s="40" t="str">
        <f>IF(ISBLANK(Data!AE5),"",Data!AE5)</f>
        <v>fd</v>
      </c>
      <c r="T4" s="40" t="str">
        <f>IF(ISBLANK(Data!AF5),"",Data!AF5)</f>
        <v>d</v>
      </c>
      <c r="U4" s="40" t="str">
        <f>IF(ISBLANK(Data!AG5),"",Data!AG5)</f>
        <v>df</v>
      </c>
    </row>
    <row r="5" spans="1:21" x14ac:dyDescent="0.25">
      <c r="A5" s="40">
        <v>9002</v>
      </c>
      <c r="B5" s="71" t="str">
        <f>IF(ISBLANK(Data!K6),"",Data!K6)</f>
        <v/>
      </c>
      <c r="C5" s="50" t="str">
        <f>IF(ISBLANK(Data!L6),"",Data!L6)</f>
        <v/>
      </c>
      <c r="D5" s="50" t="str">
        <f>IF(ISBLANK(Data!M6),"",Data!M6)</f>
        <v/>
      </c>
      <c r="E5" s="38" t="str">
        <f>IF(ISBLANK(Data!R6),"",Data!R6)</f>
        <v/>
      </c>
      <c r="F5" s="38" t="str">
        <f>IF(ISBLANK(Data!S6),"",Data!S6)</f>
        <v/>
      </c>
      <c r="G5" s="40"/>
      <c r="H5" s="52" t="str">
        <f>IF(ISBLANK(Data!T6),"",Data!T6)</f>
        <v/>
      </c>
      <c r="I5" s="52" t="str">
        <f>IF(ISBLANK(Data!U6),"",Data!U6)</f>
        <v/>
      </c>
      <c r="J5" s="52" t="str">
        <f>IF(ISBLANK(Data!V6),"",Data!V6)</f>
        <v/>
      </c>
      <c r="K5" s="52" t="str">
        <f>IF(ISBLANK(Data!W6),"",Data!W6)</f>
        <v/>
      </c>
      <c r="L5" s="49" t="str">
        <f>IF(ISBLANK(Data!X6),"",Data!X6)</f>
        <v/>
      </c>
      <c r="M5" s="40" t="str">
        <f>IF(ISBLANK(Data!Y6),"",Data!Y6)</f>
        <v/>
      </c>
      <c r="N5" s="40" t="str">
        <f>IF(ISBLANK(Data!Z6),"",Data!Z6)</f>
        <v/>
      </c>
      <c r="O5" s="40" t="str">
        <f>IF(ISBLANK(Data!AA6),"",Data!AA6)</f>
        <v/>
      </c>
      <c r="P5" s="40" t="str">
        <f>IF(ISBLANK(Data!AB6),"",Data!AB6)</f>
        <v/>
      </c>
      <c r="Q5" s="40" t="str">
        <f>IF(ISBLANK(Data!AC6),"",Data!AC6)</f>
        <v/>
      </c>
      <c r="R5" s="40" t="str">
        <f>IF(ISBLANK(Data!AD6),"",Data!AD6)</f>
        <v/>
      </c>
      <c r="S5" s="40" t="str">
        <f>IF(ISBLANK(Data!AE6),"",Data!AE6)</f>
        <v/>
      </c>
      <c r="T5" s="40" t="str">
        <f>IF(ISBLANK(Data!AF6),"",Data!AF6)</f>
        <v/>
      </c>
      <c r="U5" s="40" t="str">
        <f>IF(ISBLANK(Data!AG6),"",Data!AG6)</f>
        <v/>
      </c>
    </row>
    <row r="6" spans="1:21" x14ac:dyDescent="0.25">
      <c r="A6" s="40">
        <v>9002</v>
      </c>
      <c r="B6" s="71" t="str">
        <f>IF(ISBLANK(Data!K7),"",Data!K7)</f>
        <v/>
      </c>
      <c r="C6" s="50" t="str">
        <f>IF(ISBLANK(Data!L7),"",Data!L7)</f>
        <v/>
      </c>
      <c r="D6" s="50" t="str">
        <f>IF(ISBLANK(Data!M7),"",Data!M7)</f>
        <v/>
      </c>
      <c r="E6" s="38" t="str">
        <f>IF(ISBLANK(Data!R7),"",Data!R7)</f>
        <v/>
      </c>
      <c r="F6" s="38" t="str">
        <f>IF(ISBLANK(Data!S7),"",Data!S7)</f>
        <v/>
      </c>
      <c r="G6" s="40"/>
      <c r="H6" s="52" t="str">
        <f>IF(ISBLANK(Data!T7),"",Data!T7)</f>
        <v/>
      </c>
      <c r="I6" s="52" t="str">
        <f>IF(ISBLANK(Data!U7),"",Data!U7)</f>
        <v/>
      </c>
      <c r="J6" s="52" t="str">
        <f>IF(ISBLANK(Data!V7),"",Data!V7)</f>
        <v/>
      </c>
      <c r="K6" s="52" t="str">
        <f>IF(ISBLANK(Data!W7),"",Data!W7)</f>
        <v/>
      </c>
      <c r="L6" s="49" t="str">
        <f>IF(ISBLANK(Data!X7),"",Data!X7)</f>
        <v/>
      </c>
      <c r="M6" s="40" t="str">
        <f>IF(ISBLANK(Data!Y7),"",Data!Y7)</f>
        <v/>
      </c>
      <c r="N6" s="40" t="str">
        <f>IF(ISBLANK(Data!Z7),"",Data!Z7)</f>
        <v/>
      </c>
      <c r="O6" s="40" t="str">
        <f>IF(ISBLANK(Data!AA7),"",Data!AA7)</f>
        <v/>
      </c>
      <c r="P6" s="40" t="str">
        <f>IF(ISBLANK(Data!AB7),"",Data!AB7)</f>
        <v/>
      </c>
      <c r="Q6" s="40" t="str">
        <f>IF(ISBLANK(Data!AC7),"",Data!AC7)</f>
        <v/>
      </c>
      <c r="R6" s="40" t="str">
        <f>IF(ISBLANK(Data!AD7),"",Data!AD7)</f>
        <v/>
      </c>
      <c r="S6" s="40" t="str">
        <f>IF(ISBLANK(Data!AE7),"",Data!AE7)</f>
        <v/>
      </c>
      <c r="T6" s="40" t="str">
        <f>IF(ISBLANK(Data!AF7),"",Data!AF7)</f>
        <v/>
      </c>
      <c r="U6" s="40" t="str">
        <f>IF(ISBLANK(Data!AG7),"",Data!AG7)</f>
        <v/>
      </c>
    </row>
    <row r="7" spans="1:21" x14ac:dyDescent="0.25">
      <c r="A7" s="40">
        <v>9002</v>
      </c>
      <c r="B7" s="71" t="str">
        <f>IF(ISBLANK(Data!K8),"",Data!K8)</f>
        <v/>
      </c>
      <c r="C7" s="50" t="str">
        <f>IF(ISBLANK(Data!L8),"",Data!L8)</f>
        <v/>
      </c>
      <c r="D7" s="50" t="str">
        <f>IF(ISBLANK(Data!M8),"",Data!M8)</f>
        <v/>
      </c>
      <c r="E7" s="38" t="str">
        <f>IF(ISBLANK(Data!R8),"",Data!R8)</f>
        <v/>
      </c>
      <c r="F7" s="38" t="str">
        <f>IF(ISBLANK(Data!S8),"",Data!S8)</f>
        <v/>
      </c>
      <c r="G7" s="40"/>
      <c r="H7" s="52" t="str">
        <f>IF(ISBLANK(Data!T8),"",Data!T8)</f>
        <v/>
      </c>
      <c r="I7" s="52" t="str">
        <f>IF(ISBLANK(Data!U8),"",Data!U8)</f>
        <v/>
      </c>
      <c r="J7" s="52" t="str">
        <f>IF(ISBLANK(Data!V8),"",Data!V8)</f>
        <v/>
      </c>
      <c r="K7" s="52" t="str">
        <f>IF(ISBLANK(Data!W8),"",Data!W8)</f>
        <v/>
      </c>
      <c r="L7" s="49" t="str">
        <f>IF(ISBLANK(Data!X8),"",Data!X8)</f>
        <v/>
      </c>
      <c r="M7" s="40" t="str">
        <f>IF(ISBLANK(Data!Y8),"",Data!Y8)</f>
        <v/>
      </c>
      <c r="N7" s="40" t="str">
        <f>IF(ISBLANK(Data!Z8),"",Data!Z8)</f>
        <v/>
      </c>
      <c r="O7" s="40" t="str">
        <f>IF(ISBLANK(Data!AA8),"",Data!AA8)</f>
        <v/>
      </c>
      <c r="P7" s="40" t="str">
        <f>IF(ISBLANK(Data!AB8),"",Data!AB8)</f>
        <v/>
      </c>
      <c r="Q7" s="40" t="str">
        <f>IF(ISBLANK(Data!AC8),"",Data!AC8)</f>
        <v/>
      </c>
      <c r="R7" s="40" t="str">
        <f>IF(ISBLANK(Data!AD8),"",Data!AD8)</f>
        <v/>
      </c>
      <c r="S7" s="40" t="str">
        <f>IF(ISBLANK(Data!AE8),"",Data!AE8)</f>
        <v/>
      </c>
      <c r="T7" s="40" t="str">
        <f>IF(ISBLANK(Data!AF8),"",Data!AF8)</f>
        <v/>
      </c>
      <c r="U7" s="40" t="str">
        <f>IF(ISBLANK(Data!AG8),"",Data!AG8)</f>
        <v/>
      </c>
    </row>
    <row r="8" spans="1:21" x14ac:dyDescent="0.25">
      <c r="A8" s="40">
        <v>9002</v>
      </c>
      <c r="B8" s="71" t="str">
        <f>IF(ISBLANK(Data!K9),"",Data!K9)</f>
        <v/>
      </c>
      <c r="C8" s="50" t="str">
        <f>IF(ISBLANK(Data!L9),"",Data!L9)</f>
        <v/>
      </c>
      <c r="D8" s="50" t="str">
        <f>IF(ISBLANK(Data!M9),"",Data!M9)</f>
        <v/>
      </c>
      <c r="E8" s="38" t="str">
        <f>IF(ISBLANK(Data!R9),"",Data!R9)</f>
        <v/>
      </c>
      <c r="F8" s="38" t="str">
        <f>IF(ISBLANK(Data!S9),"",Data!S9)</f>
        <v/>
      </c>
      <c r="G8" s="40"/>
      <c r="H8" s="52" t="str">
        <f>IF(ISBLANK(Data!T9),"",Data!T9)</f>
        <v/>
      </c>
      <c r="I8" s="52" t="str">
        <f>IF(ISBLANK(Data!U9),"",Data!U9)</f>
        <v/>
      </c>
      <c r="J8" s="52" t="str">
        <f>IF(ISBLANK(Data!V9),"",Data!V9)</f>
        <v/>
      </c>
      <c r="K8" s="52" t="str">
        <f>IF(ISBLANK(Data!W9),"",Data!W9)</f>
        <v/>
      </c>
      <c r="L8" s="49" t="str">
        <f>IF(ISBLANK(Data!X9),"",Data!X9)</f>
        <v/>
      </c>
      <c r="M8" s="40" t="str">
        <f>IF(ISBLANK(Data!Y9),"",Data!Y9)</f>
        <v/>
      </c>
      <c r="N8" s="40" t="str">
        <f>IF(ISBLANK(Data!Z9),"",Data!Z9)</f>
        <v/>
      </c>
      <c r="O8" s="40" t="str">
        <f>IF(ISBLANK(Data!AA9),"",Data!AA9)</f>
        <v/>
      </c>
      <c r="P8" s="40" t="str">
        <f>IF(ISBLANK(Data!AB9),"",Data!AB9)</f>
        <v/>
      </c>
      <c r="Q8" s="40" t="str">
        <f>IF(ISBLANK(Data!AC9),"",Data!AC9)</f>
        <v/>
      </c>
      <c r="R8" s="40" t="str">
        <f>IF(ISBLANK(Data!AD9),"",Data!AD9)</f>
        <v/>
      </c>
      <c r="S8" s="40" t="str">
        <f>IF(ISBLANK(Data!AE9),"",Data!AE9)</f>
        <v/>
      </c>
      <c r="T8" s="40" t="str">
        <f>IF(ISBLANK(Data!AF9),"",Data!AF9)</f>
        <v/>
      </c>
      <c r="U8" s="40" t="str">
        <f>IF(ISBLANK(Data!AG9),"",Data!AG9)</f>
        <v/>
      </c>
    </row>
    <row r="9" spans="1:21" x14ac:dyDescent="0.25">
      <c r="A9" s="40">
        <v>9002</v>
      </c>
      <c r="B9" s="71" t="str">
        <f>IF(ISBLANK(Data!K10),"",Data!K10)</f>
        <v/>
      </c>
      <c r="C9" s="50" t="str">
        <f>IF(ISBLANK(Data!L10),"",Data!L10)</f>
        <v/>
      </c>
      <c r="D9" s="50" t="str">
        <f>IF(ISBLANK(Data!M10),"",Data!M10)</f>
        <v/>
      </c>
      <c r="E9" s="38" t="str">
        <f>IF(ISBLANK(Data!R10),"",Data!R10)</f>
        <v/>
      </c>
      <c r="F9" s="38" t="str">
        <f>IF(ISBLANK(Data!S10),"",Data!S10)</f>
        <v/>
      </c>
      <c r="G9" s="40"/>
      <c r="H9" s="52" t="str">
        <f>IF(ISBLANK(Data!T10),"",Data!T10)</f>
        <v/>
      </c>
      <c r="I9" s="52" t="str">
        <f>IF(ISBLANK(Data!U10),"",Data!U10)</f>
        <v/>
      </c>
      <c r="J9" s="52" t="str">
        <f>IF(ISBLANK(Data!V10),"",Data!V10)</f>
        <v/>
      </c>
      <c r="K9" s="52" t="str">
        <f>IF(ISBLANK(Data!W10),"",Data!W10)</f>
        <v/>
      </c>
      <c r="L9" s="49" t="str">
        <f>IF(ISBLANK(Data!X10),"",Data!X10)</f>
        <v/>
      </c>
      <c r="M9" s="40" t="str">
        <f>IF(ISBLANK(Data!Y10),"",Data!Y10)</f>
        <v/>
      </c>
      <c r="N9" s="40" t="str">
        <f>IF(ISBLANK(Data!Z10),"",Data!Z10)</f>
        <v/>
      </c>
      <c r="O9" s="40" t="str">
        <f>IF(ISBLANK(Data!AA10),"",Data!AA10)</f>
        <v/>
      </c>
      <c r="P9" s="40" t="str">
        <f>IF(ISBLANK(Data!AB10),"",Data!AB10)</f>
        <v/>
      </c>
      <c r="Q9" s="40" t="str">
        <f>IF(ISBLANK(Data!AC10),"",Data!AC10)</f>
        <v/>
      </c>
      <c r="R9" s="40" t="str">
        <f>IF(ISBLANK(Data!AD10),"",Data!AD10)</f>
        <v/>
      </c>
      <c r="S9" s="40" t="str">
        <f>IF(ISBLANK(Data!AE10),"",Data!AE10)</f>
        <v/>
      </c>
      <c r="T9" s="40" t="str">
        <f>IF(ISBLANK(Data!AF10),"",Data!AF10)</f>
        <v/>
      </c>
      <c r="U9" s="40" t="str">
        <f>IF(ISBLANK(Data!AG10),"",Data!AG10)</f>
        <v/>
      </c>
    </row>
    <row r="10" spans="1:21" x14ac:dyDescent="0.25">
      <c r="A10" s="40">
        <v>9002</v>
      </c>
      <c r="B10" s="71" t="str">
        <f>IF(ISBLANK(Data!K11),"",Data!K11)</f>
        <v/>
      </c>
      <c r="C10" s="50" t="str">
        <f>IF(ISBLANK(Data!L11),"",Data!L11)</f>
        <v/>
      </c>
      <c r="D10" s="50" t="str">
        <f>IF(ISBLANK(Data!M11),"",Data!M11)</f>
        <v/>
      </c>
      <c r="E10" s="38" t="str">
        <f>IF(ISBLANK(Data!R11),"",Data!R11)</f>
        <v/>
      </c>
      <c r="F10" s="38" t="str">
        <f>IF(ISBLANK(Data!S11),"",Data!S11)</f>
        <v/>
      </c>
      <c r="G10" s="40"/>
      <c r="H10" s="52" t="str">
        <f>IF(ISBLANK(Data!T11),"",Data!T11)</f>
        <v/>
      </c>
      <c r="I10" s="52" t="str">
        <f>IF(ISBLANK(Data!U11),"",Data!U11)</f>
        <v/>
      </c>
      <c r="J10" s="52" t="str">
        <f>IF(ISBLANK(Data!V11),"",Data!V11)</f>
        <v/>
      </c>
      <c r="K10" s="52" t="str">
        <f>IF(ISBLANK(Data!W11),"",Data!W11)</f>
        <v/>
      </c>
      <c r="L10" s="49" t="str">
        <f>IF(ISBLANK(Data!X11),"",Data!X11)</f>
        <v/>
      </c>
      <c r="M10" s="40" t="str">
        <f>IF(ISBLANK(Data!Y11),"",Data!Y11)</f>
        <v/>
      </c>
      <c r="N10" s="40" t="str">
        <f>IF(ISBLANK(Data!Z11),"",Data!Z11)</f>
        <v/>
      </c>
      <c r="O10" s="40" t="str">
        <f>IF(ISBLANK(Data!AA11),"",Data!AA11)</f>
        <v/>
      </c>
      <c r="P10" s="40" t="str">
        <f>IF(ISBLANK(Data!AB11),"",Data!AB11)</f>
        <v/>
      </c>
      <c r="Q10" s="40" t="str">
        <f>IF(ISBLANK(Data!AC11),"",Data!AC11)</f>
        <v/>
      </c>
      <c r="R10" s="40" t="str">
        <f>IF(ISBLANK(Data!AD11),"",Data!AD11)</f>
        <v/>
      </c>
      <c r="S10" s="40" t="str">
        <f>IF(ISBLANK(Data!AE11),"",Data!AE11)</f>
        <v/>
      </c>
      <c r="T10" s="40" t="str">
        <f>IF(ISBLANK(Data!AF11),"",Data!AF11)</f>
        <v/>
      </c>
      <c r="U10" s="40" t="str">
        <f>IF(ISBLANK(Data!AG11),"",Data!AG11)</f>
        <v/>
      </c>
    </row>
    <row r="11" spans="1:21" x14ac:dyDescent="0.25">
      <c r="A11" s="40">
        <v>9002</v>
      </c>
      <c r="B11" s="71" t="str">
        <f>IF(ISBLANK(Data!K12),"",Data!K12)</f>
        <v/>
      </c>
      <c r="C11" s="50" t="str">
        <f>IF(ISBLANK(Data!L12),"",Data!L12)</f>
        <v/>
      </c>
      <c r="D11" s="50" t="str">
        <f>IF(ISBLANK(Data!M12),"",Data!M12)</f>
        <v/>
      </c>
      <c r="E11" s="38" t="str">
        <f>IF(ISBLANK(Data!R12),"",Data!R12)</f>
        <v/>
      </c>
      <c r="F11" s="38" t="str">
        <f>IF(ISBLANK(Data!S12),"",Data!S12)</f>
        <v/>
      </c>
      <c r="G11" s="40"/>
      <c r="H11" s="52" t="str">
        <f>IF(ISBLANK(Data!T12),"",Data!T12)</f>
        <v/>
      </c>
      <c r="I11" s="52" t="str">
        <f>IF(ISBLANK(Data!U12),"",Data!U12)</f>
        <v/>
      </c>
      <c r="J11" s="52" t="str">
        <f>IF(ISBLANK(Data!V12),"",Data!V12)</f>
        <v/>
      </c>
      <c r="K11" s="52" t="str">
        <f>IF(ISBLANK(Data!W12),"",Data!W12)</f>
        <v/>
      </c>
      <c r="L11" s="49" t="str">
        <f>IF(ISBLANK(Data!X12),"",Data!X12)</f>
        <v/>
      </c>
      <c r="M11" s="40" t="str">
        <f>IF(ISBLANK(Data!Y12),"",Data!Y12)</f>
        <v/>
      </c>
      <c r="N11" s="40" t="str">
        <f>IF(ISBLANK(Data!Z12),"",Data!Z12)</f>
        <v/>
      </c>
      <c r="O11" s="40" t="str">
        <f>IF(ISBLANK(Data!AA12),"",Data!AA12)</f>
        <v/>
      </c>
      <c r="P11" s="40" t="str">
        <f>IF(ISBLANK(Data!AB12),"",Data!AB12)</f>
        <v/>
      </c>
      <c r="Q11" s="40" t="str">
        <f>IF(ISBLANK(Data!AC12),"",Data!AC12)</f>
        <v/>
      </c>
      <c r="R11" s="40" t="str">
        <f>IF(ISBLANK(Data!AD12),"",Data!AD12)</f>
        <v/>
      </c>
      <c r="S11" s="40" t="str">
        <f>IF(ISBLANK(Data!AE12),"",Data!AE12)</f>
        <v/>
      </c>
      <c r="T11" s="40" t="str">
        <f>IF(ISBLANK(Data!AF12),"",Data!AF12)</f>
        <v/>
      </c>
      <c r="U11" s="40" t="str">
        <f>IF(ISBLANK(Data!AG12),"",Data!AG12)</f>
        <v/>
      </c>
    </row>
    <row r="12" spans="1:21" x14ac:dyDescent="0.25">
      <c r="A12" s="40">
        <v>9002</v>
      </c>
      <c r="B12" s="71" t="str">
        <f>IF(ISBLANK(Data!K13),"",Data!K13)</f>
        <v/>
      </c>
      <c r="C12" s="50" t="str">
        <f>IF(ISBLANK(Data!L13),"",Data!L13)</f>
        <v/>
      </c>
      <c r="D12" s="50" t="str">
        <f>IF(ISBLANK(Data!M13),"",Data!M13)</f>
        <v/>
      </c>
      <c r="E12" s="38" t="str">
        <f>IF(ISBLANK(Data!R13),"",Data!R13)</f>
        <v/>
      </c>
      <c r="F12" s="38" t="str">
        <f>IF(ISBLANK(Data!S13),"",Data!S13)</f>
        <v/>
      </c>
      <c r="G12" s="40"/>
      <c r="H12" s="52" t="str">
        <f>IF(ISBLANK(Data!T13),"",Data!T13)</f>
        <v/>
      </c>
      <c r="I12" s="52" t="str">
        <f>IF(ISBLANK(Data!U13),"",Data!U13)</f>
        <v/>
      </c>
      <c r="J12" s="52" t="str">
        <f>IF(ISBLANK(Data!V13),"",Data!V13)</f>
        <v/>
      </c>
      <c r="K12" s="52" t="str">
        <f>IF(ISBLANK(Data!W13),"",Data!W13)</f>
        <v/>
      </c>
      <c r="L12" s="49" t="str">
        <f>IF(ISBLANK(Data!X13),"",Data!X13)</f>
        <v/>
      </c>
      <c r="M12" s="40" t="str">
        <f>IF(ISBLANK(Data!Y13),"",Data!Y13)</f>
        <v/>
      </c>
      <c r="N12" s="40" t="str">
        <f>IF(ISBLANK(Data!Z13),"",Data!Z13)</f>
        <v/>
      </c>
      <c r="O12" s="40" t="str">
        <f>IF(ISBLANK(Data!AA13),"",Data!AA13)</f>
        <v/>
      </c>
      <c r="P12" s="40" t="str">
        <f>IF(ISBLANK(Data!AB13),"",Data!AB13)</f>
        <v/>
      </c>
      <c r="Q12" s="40" t="str">
        <f>IF(ISBLANK(Data!AC13),"",Data!AC13)</f>
        <v/>
      </c>
      <c r="R12" s="40" t="str">
        <f>IF(ISBLANK(Data!AD13),"",Data!AD13)</f>
        <v/>
      </c>
      <c r="S12" s="40" t="str">
        <f>IF(ISBLANK(Data!AE13),"",Data!AE13)</f>
        <v/>
      </c>
      <c r="T12" s="40" t="str">
        <f>IF(ISBLANK(Data!AF13),"",Data!AF13)</f>
        <v/>
      </c>
      <c r="U12" s="40" t="str">
        <f>IF(ISBLANK(Data!AG13),"",Data!AG13)</f>
        <v/>
      </c>
    </row>
    <row r="13" spans="1:21" x14ac:dyDescent="0.25">
      <c r="A13" s="40">
        <v>9002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workbookViewId="0"/>
  </sheetViews>
  <sheetFormatPr defaultRowHeight="15" x14ac:dyDescent="0.25"/>
  <cols>
    <col min="1" max="1" width="15.42578125" style="50" customWidth="1"/>
    <col min="2" max="2" width="11.42578125" style="50" customWidth="1"/>
    <col min="3" max="3" width="13.7109375" style="70" customWidth="1"/>
    <col min="4" max="4" width="11.42578125" style="71" bestFit="1" customWidth="1"/>
    <col min="5" max="5" width="14.28515625" style="71" customWidth="1"/>
    <col min="6" max="6" width="16.85546875" style="38" customWidth="1"/>
    <col min="7" max="7" width="14.5703125" style="38" bestFit="1" customWidth="1"/>
    <col min="8" max="8" width="15.28515625" style="38" bestFit="1" customWidth="1"/>
    <col min="9" max="9" width="13.140625" style="50" bestFit="1" customWidth="1"/>
    <col min="10" max="10" width="10.85546875" style="50" bestFit="1" customWidth="1"/>
    <col min="11" max="11" width="11.7109375" style="50" bestFit="1" customWidth="1"/>
    <col min="12" max="16384" width="9.140625" style="56"/>
  </cols>
  <sheetData>
    <row r="1" spans="1:11" x14ac:dyDescent="0.25">
      <c r="A1" s="66" t="s">
        <v>238</v>
      </c>
      <c r="B1" s="66" t="s">
        <v>239</v>
      </c>
      <c r="C1" s="66" t="s">
        <v>240</v>
      </c>
      <c r="D1" s="67" t="s">
        <v>241</v>
      </c>
      <c r="E1" s="67" t="s">
        <v>242</v>
      </c>
      <c r="F1" s="68" t="s">
        <v>243</v>
      </c>
      <c r="G1" s="68" t="s">
        <v>244</v>
      </c>
      <c r="H1" s="68" t="s">
        <v>245</v>
      </c>
      <c r="I1" s="69" t="s">
        <v>246</v>
      </c>
      <c r="J1" s="69" t="s">
        <v>247</v>
      </c>
      <c r="K1" s="69" t="s">
        <v>248</v>
      </c>
    </row>
    <row r="2" spans="1:11" x14ac:dyDescent="0.25">
      <c r="A2" s="50">
        <v>9000</v>
      </c>
      <c r="B2" s="50">
        <v>2015</v>
      </c>
      <c r="C2" s="70">
        <v>42166</v>
      </c>
      <c r="D2" s="71">
        <v>0.53819444444444442</v>
      </c>
      <c r="E2" s="71">
        <v>0.57222222222222219</v>
      </c>
      <c r="F2" s="38" t="s">
        <v>30</v>
      </c>
      <c r="G2" s="38" t="s">
        <v>200</v>
      </c>
      <c r="H2" s="38" t="s">
        <v>445</v>
      </c>
      <c r="I2" s="50">
        <v>2</v>
      </c>
      <c r="J2" s="50">
        <v>1</v>
      </c>
      <c r="K2" s="50">
        <v>1</v>
      </c>
    </row>
    <row r="3" spans="1:11" x14ac:dyDescent="0.25">
      <c r="A3" s="50">
        <v>9001</v>
      </c>
      <c r="B3" s="50">
        <v>2015</v>
      </c>
      <c r="C3" s="70">
        <v>42166</v>
      </c>
      <c r="D3" s="71">
        <v>0.57986111111111105</v>
      </c>
      <c r="E3" s="71">
        <v>0.66319444444444442</v>
      </c>
      <c r="F3" s="38" t="s">
        <v>30</v>
      </c>
      <c r="G3" s="38" t="s">
        <v>193</v>
      </c>
      <c r="H3" s="38" t="s">
        <v>452</v>
      </c>
      <c r="I3" s="50">
        <v>6</v>
      </c>
      <c r="J3" s="50">
        <v>1</v>
      </c>
      <c r="K3" s="50">
        <v>1</v>
      </c>
    </row>
    <row r="4" spans="1:11" x14ac:dyDescent="0.25">
      <c r="A4" s="50">
        <v>9002</v>
      </c>
      <c r="B4" s="50">
        <v>2015</v>
      </c>
      <c r="C4" s="70">
        <v>42166</v>
      </c>
      <c r="D4" s="71">
        <v>0.62152777777777779</v>
      </c>
      <c r="E4" s="71">
        <v>0.7055555555555556</v>
      </c>
      <c r="F4" s="38" t="s">
        <v>25</v>
      </c>
      <c r="G4" s="38" t="s">
        <v>194</v>
      </c>
      <c r="H4" s="38" t="s">
        <v>452</v>
      </c>
      <c r="I4" s="50">
        <v>5</v>
      </c>
      <c r="J4" s="50">
        <v>0</v>
      </c>
      <c r="K4" s="5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2"/>
  <sheetViews>
    <sheetView tabSelected="1" workbookViewId="0">
      <selection activeCell="A7" sqref="A7"/>
    </sheetView>
  </sheetViews>
  <sheetFormatPr defaultRowHeight="15" x14ac:dyDescent="0.25"/>
  <cols>
    <col min="1" max="1" width="14.5703125" style="37" bestFit="1" customWidth="1"/>
    <col min="2" max="2" width="14.85546875" style="33" bestFit="1" customWidth="1"/>
    <col min="3" max="3" width="19.140625" style="37" customWidth="1"/>
    <col min="4" max="4" width="18.7109375" style="39" customWidth="1"/>
    <col min="5" max="5" width="13.42578125" style="38" bestFit="1" customWidth="1"/>
    <col min="6" max="6" width="17.140625" style="35" customWidth="1"/>
    <col min="7" max="7" width="9.7109375" style="37" bestFit="1" customWidth="1"/>
    <col min="8" max="8" width="10.5703125" style="39" bestFit="1" customWidth="1"/>
    <col min="9" max="9" width="11" style="39" bestFit="1" customWidth="1"/>
    <col min="10" max="10" width="8.42578125" style="39" bestFit="1" customWidth="1"/>
    <col min="11" max="11" width="9.7109375" style="39" bestFit="1" customWidth="1"/>
    <col min="12" max="12" width="14.140625" style="49" customWidth="1"/>
    <col min="13" max="13" width="13.28515625" style="40" customWidth="1"/>
    <col min="14" max="14" width="27.140625" style="40" bestFit="1" customWidth="1"/>
    <col min="15" max="19" width="18.7109375" customWidth="1"/>
  </cols>
  <sheetData>
    <row r="1" spans="1:21" ht="23.25" customHeight="1" x14ac:dyDescent="0.25">
      <c r="A1" s="79" t="s">
        <v>238</v>
      </c>
      <c r="B1" s="80" t="s">
        <v>310</v>
      </c>
      <c r="C1" s="79" t="s">
        <v>249</v>
      </c>
      <c r="D1" s="81" t="s">
        <v>250</v>
      </c>
      <c r="E1" s="82" t="s">
        <v>251</v>
      </c>
      <c r="F1" s="83" t="s">
        <v>252</v>
      </c>
      <c r="G1" s="79" t="s">
        <v>253</v>
      </c>
      <c r="H1" s="81" t="s">
        <v>254</v>
      </c>
      <c r="I1" s="81" t="s">
        <v>255</v>
      </c>
      <c r="J1" s="81" t="s">
        <v>256</v>
      </c>
      <c r="K1" s="81" t="s">
        <v>257</v>
      </c>
      <c r="L1" s="83" t="s">
        <v>258</v>
      </c>
      <c r="M1" s="79" t="s">
        <v>259</v>
      </c>
      <c r="N1" s="79" t="s">
        <v>260</v>
      </c>
      <c r="O1" s="79" t="s">
        <v>261</v>
      </c>
      <c r="P1" s="79" t="s">
        <v>413</v>
      </c>
      <c r="Q1" s="79" t="s">
        <v>288</v>
      </c>
      <c r="R1" s="79" t="s">
        <v>289</v>
      </c>
      <c r="S1" s="79" t="s">
        <v>290</v>
      </c>
      <c r="T1" s="84" t="s">
        <v>291</v>
      </c>
      <c r="U1" t="s">
        <v>292</v>
      </c>
    </row>
    <row r="2" spans="1:21" x14ac:dyDescent="0.25">
      <c r="A2" s="37">
        <v>9000</v>
      </c>
      <c r="B2" s="33">
        <v>0.5083333333333333</v>
      </c>
      <c r="C2" s="37">
        <v>2</v>
      </c>
      <c r="D2" s="39">
        <v>2</v>
      </c>
      <c r="E2" s="38" t="s">
        <v>450</v>
      </c>
      <c r="F2" s="35" t="s">
        <v>451</v>
      </c>
      <c r="H2" s="39">
        <v>22</v>
      </c>
      <c r="I2" s="39">
        <v>1</v>
      </c>
      <c r="J2" s="39">
        <v>3</v>
      </c>
      <c r="K2" s="39">
        <v>23</v>
      </c>
      <c r="L2" s="49" t="s">
        <v>33</v>
      </c>
      <c r="M2" s="40">
        <v>12</v>
      </c>
      <c r="N2" s="40">
        <v>21</v>
      </c>
      <c r="O2" t="s">
        <v>446</v>
      </c>
      <c r="P2" t="s">
        <v>447</v>
      </c>
      <c r="Q2" t="s">
        <v>448</v>
      </c>
      <c r="R2" t="s">
        <v>449</v>
      </c>
      <c r="S2" t="s">
        <v>449</v>
      </c>
      <c r="T2" t="s">
        <v>449</v>
      </c>
      <c r="U2" t="s">
        <v>449</v>
      </c>
    </row>
    <row r="3" spans="1:21" x14ac:dyDescent="0.25">
      <c r="A3" s="37">
        <v>9001</v>
      </c>
      <c r="B3" s="33">
        <v>0.53055555555555556</v>
      </c>
      <c r="C3" s="37">
        <v>1</v>
      </c>
      <c r="D3" s="39">
        <v>1</v>
      </c>
      <c r="E3" s="38" t="s">
        <v>456</v>
      </c>
      <c r="F3" s="35" t="s">
        <v>457</v>
      </c>
      <c r="H3" s="39">
        <v>1</v>
      </c>
      <c r="I3" s="39">
        <v>1</v>
      </c>
      <c r="J3" s="39">
        <v>1</v>
      </c>
      <c r="K3" s="39">
        <v>2</v>
      </c>
      <c r="L3" s="49" t="s">
        <v>32</v>
      </c>
      <c r="M3" s="40">
        <v>1</v>
      </c>
      <c r="N3" s="40">
        <v>1</v>
      </c>
      <c r="O3" t="s">
        <v>453</v>
      </c>
      <c r="P3" t="s">
        <v>453</v>
      </c>
      <c r="Q3" t="s">
        <v>453</v>
      </c>
      <c r="R3" t="s">
        <v>453</v>
      </c>
      <c r="S3" t="s">
        <v>454</v>
      </c>
      <c r="T3" t="s">
        <v>449</v>
      </c>
      <c r="U3" t="s">
        <v>449</v>
      </c>
    </row>
    <row r="4" spans="1:21" x14ac:dyDescent="0.25">
      <c r="A4" s="37">
        <v>9002</v>
      </c>
      <c r="B4" s="33">
        <v>0.56458333333333333</v>
      </c>
      <c r="C4" s="37">
        <v>1</v>
      </c>
      <c r="D4" s="39">
        <v>1</v>
      </c>
      <c r="E4" s="38" t="s">
        <v>458</v>
      </c>
      <c r="F4" s="35" t="s">
        <v>459</v>
      </c>
      <c r="H4" s="39">
        <v>1</v>
      </c>
      <c r="I4" s="39">
        <v>1</v>
      </c>
      <c r="J4" s="39">
        <v>1</v>
      </c>
      <c r="K4" s="39">
        <v>2</v>
      </c>
      <c r="L4" s="49" t="s">
        <v>32</v>
      </c>
      <c r="M4" s="40">
        <v>1</v>
      </c>
      <c r="N4" s="40">
        <v>1</v>
      </c>
      <c r="O4" t="s">
        <v>453</v>
      </c>
      <c r="P4" t="s">
        <v>453</v>
      </c>
      <c r="Q4" t="s">
        <v>453</v>
      </c>
      <c r="R4" t="s">
        <v>454</v>
      </c>
      <c r="S4" t="s">
        <v>449</v>
      </c>
      <c r="T4" t="s">
        <v>455</v>
      </c>
      <c r="U4" t="s">
        <v>454</v>
      </c>
    </row>
    <row r="5" spans="1:21" x14ac:dyDescent="0.25">
      <c r="A5" s="37">
        <v>9002</v>
      </c>
      <c r="B5" s="33" t="s">
        <v>410</v>
      </c>
      <c r="C5" s="37" t="s">
        <v>410</v>
      </c>
      <c r="D5" s="39" t="s">
        <v>410</v>
      </c>
      <c r="E5" s="38" t="s">
        <v>410</v>
      </c>
      <c r="F5" s="35" t="s">
        <v>410</v>
      </c>
      <c r="H5" s="39" t="s">
        <v>410</v>
      </c>
      <c r="I5" s="39" t="s">
        <v>410</v>
      </c>
      <c r="J5" s="39" t="s">
        <v>410</v>
      </c>
      <c r="K5" s="39" t="s">
        <v>410</v>
      </c>
      <c r="L5" s="49" t="s">
        <v>410</v>
      </c>
      <c r="M5" s="40" t="s">
        <v>410</v>
      </c>
      <c r="N5" s="40" t="s">
        <v>410</v>
      </c>
      <c r="O5" t="s">
        <v>410</v>
      </c>
      <c r="P5" t="s">
        <v>410</v>
      </c>
      <c r="Q5" t="s">
        <v>410</v>
      </c>
      <c r="R5" t="s">
        <v>410</v>
      </c>
      <c r="S5" t="s">
        <v>410</v>
      </c>
      <c r="T5" t="s">
        <v>410</v>
      </c>
      <c r="U5" t="s">
        <v>410</v>
      </c>
    </row>
    <row r="6" spans="1:21" x14ac:dyDescent="0.25">
      <c r="A6" s="37">
        <v>9002</v>
      </c>
      <c r="B6" s="33" t="s">
        <v>410</v>
      </c>
      <c r="C6" s="37" t="s">
        <v>410</v>
      </c>
      <c r="D6" s="39" t="s">
        <v>410</v>
      </c>
      <c r="E6" s="38" t="s">
        <v>410</v>
      </c>
      <c r="F6" s="35" t="s">
        <v>410</v>
      </c>
      <c r="H6" s="39" t="s">
        <v>410</v>
      </c>
      <c r="I6" s="39" t="s">
        <v>410</v>
      </c>
      <c r="J6" s="39" t="s">
        <v>410</v>
      </c>
      <c r="K6" s="39" t="s">
        <v>410</v>
      </c>
      <c r="L6" s="49" t="s">
        <v>410</v>
      </c>
      <c r="M6" s="40" t="s">
        <v>410</v>
      </c>
      <c r="N6" s="40" t="s">
        <v>410</v>
      </c>
      <c r="O6" t="s">
        <v>410</v>
      </c>
      <c r="P6" t="s">
        <v>410</v>
      </c>
      <c r="Q6" t="s">
        <v>410</v>
      </c>
      <c r="R6" t="s">
        <v>410</v>
      </c>
      <c r="S6" t="s">
        <v>410</v>
      </c>
      <c r="T6" t="s">
        <v>410</v>
      </c>
      <c r="U6" t="s">
        <v>410</v>
      </c>
    </row>
    <row r="7" spans="1:21" x14ac:dyDescent="0.25">
      <c r="A7" s="37">
        <v>9002</v>
      </c>
      <c r="B7" s="33" t="s">
        <v>410</v>
      </c>
      <c r="C7" s="37" t="s">
        <v>410</v>
      </c>
      <c r="D7" s="39" t="s">
        <v>410</v>
      </c>
      <c r="E7" s="38" t="s">
        <v>410</v>
      </c>
      <c r="F7" s="35" t="s">
        <v>410</v>
      </c>
      <c r="H7" s="39" t="s">
        <v>410</v>
      </c>
      <c r="I7" s="39" t="s">
        <v>410</v>
      </c>
      <c r="J7" s="39" t="s">
        <v>410</v>
      </c>
      <c r="K7" s="39" t="s">
        <v>410</v>
      </c>
      <c r="L7" s="49" t="s">
        <v>410</v>
      </c>
      <c r="M7" s="40" t="s">
        <v>410</v>
      </c>
      <c r="N7" s="40" t="s">
        <v>410</v>
      </c>
      <c r="O7" t="s">
        <v>410</v>
      </c>
      <c r="P7" t="s">
        <v>410</v>
      </c>
      <c r="Q7" t="s">
        <v>410</v>
      </c>
      <c r="R7" t="s">
        <v>410</v>
      </c>
      <c r="S7" t="s">
        <v>410</v>
      </c>
      <c r="T7" t="s">
        <v>410</v>
      </c>
      <c r="U7" t="s">
        <v>410</v>
      </c>
    </row>
    <row r="8" spans="1:21" x14ac:dyDescent="0.25">
      <c r="A8" s="37">
        <v>9002</v>
      </c>
      <c r="B8" s="33" t="s">
        <v>410</v>
      </c>
      <c r="C8" s="37" t="s">
        <v>410</v>
      </c>
      <c r="D8" s="39" t="s">
        <v>410</v>
      </c>
      <c r="E8" s="38" t="s">
        <v>410</v>
      </c>
      <c r="F8" s="35" t="s">
        <v>410</v>
      </c>
      <c r="H8" s="39" t="s">
        <v>410</v>
      </c>
      <c r="I8" s="39" t="s">
        <v>410</v>
      </c>
      <c r="J8" s="39" t="s">
        <v>410</v>
      </c>
      <c r="K8" s="39" t="s">
        <v>410</v>
      </c>
      <c r="L8" s="49" t="s">
        <v>410</v>
      </c>
      <c r="M8" s="40" t="s">
        <v>410</v>
      </c>
      <c r="N8" s="40" t="s">
        <v>410</v>
      </c>
      <c r="O8" t="s">
        <v>410</v>
      </c>
      <c r="P8" t="s">
        <v>410</v>
      </c>
      <c r="Q8" t="s">
        <v>410</v>
      </c>
      <c r="R8" t="s">
        <v>410</v>
      </c>
      <c r="S8" t="s">
        <v>410</v>
      </c>
      <c r="T8" t="s">
        <v>410</v>
      </c>
      <c r="U8" t="s">
        <v>410</v>
      </c>
    </row>
    <row r="9" spans="1:21" x14ac:dyDescent="0.25">
      <c r="A9" s="37">
        <v>9002</v>
      </c>
      <c r="B9" s="33" t="s">
        <v>410</v>
      </c>
      <c r="C9" s="37" t="s">
        <v>410</v>
      </c>
      <c r="D9" s="39" t="s">
        <v>410</v>
      </c>
      <c r="E9" s="38" t="s">
        <v>410</v>
      </c>
      <c r="F9" s="35" t="s">
        <v>410</v>
      </c>
      <c r="H9" s="39" t="s">
        <v>410</v>
      </c>
      <c r="I9" s="39" t="s">
        <v>410</v>
      </c>
      <c r="J9" s="39" t="s">
        <v>410</v>
      </c>
      <c r="K9" s="39" t="s">
        <v>410</v>
      </c>
      <c r="L9" s="49" t="s">
        <v>410</v>
      </c>
      <c r="M9" s="40" t="s">
        <v>410</v>
      </c>
      <c r="N9" s="40" t="s">
        <v>410</v>
      </c>
      <c r="O9" t="s">
        <v>410</v>
      </c>
      <c r="P9" t="s">
        <v>410</v>
      </c>
      <c r="Q9" t="s">
        <v>410</v>
      </c>
      <c r="R9" t="s">
        <v>410</v>
      </c>
      <c r="S9" t="s">
        <v>410</v>
      </c>
      <c r="T9" t="s">
        <v>410</v>
      </c>
      <c r="U9" t="s">
        <v>410</v>
      </c>
    </row>
    <row r="10" spans="1:21" x14ac:dyDescent="0.25">
      <c r="A10" s="37">
        <v>9002</v>
      </c>
      <c r="B10" s="33" t="s">
        <v>410</v>
      </c>
      <c r="C10" s="37" t="s">
        <v>410</v>
      </c>
      <c r="D10" s="39" t="s">
        <v>410</v>
      </c>
      <c r="E10" s="38" t="s">
        <v>410</v>
      </c>
      <c r="F10" s="35" t="s">
        <v>410</v>
      </c>
      <c r="H10" s="39" t="s">
        <v>410</v>
      </c>
      <c r="I10" s="39" t="s">
        <v>410</v>
      </c>
      <c r="J10" s="39" t="s">
        <v>410</v>
      </c>
      <c r="K10" s="39" t="s">
        <v>410</v>
      </c>
      <c r="L10" s="49" t="s">
        <v>410</v>
      </c>
      <c r="M10" s="40" t="s">
        <v>410</v>
      </c>
      <c r="N10" s="40" t="s">
        <v>410</v>
      </c>
      <c r="O10" t="s">
        <v>410</v>
      </c>
      <c r="P10" t="s">
        <v>410</v>
      </c>
      <c r="Q10" t="s">
        <v>410</v>
      </c>
      <c r="R10" t="s">
        <v>410</v>
      </c>
      <c r="S10" t="s">
        <v>410</v>
      </c>
      <c r="T10" t="s">
        <v>410</v>
      </c>
      <c r="U10" t="s">
        <v>410</v>
      </c>
    </row>
    <row r="11" spans="1:21" x14ac:dyDescent="0.25">
      <c r="A11" s="37">
        <v>9002</v>
      </c>
      <c r="B11" s="33" t="s">
        <v>410</v>
      </c>
      <c r="C11" s="37" t="s">
        <v>410</v>
      </c>
      <c r="D11" s="39" t="s">
        <v>410</v>
      </c>
      <c r="E11" s="38" t="s">
        <v>410</v>
      </c>
      <c r="F11" s="35" t="s">
        <v>410</v>
      </c>
      <c r="H11" s="39" t="s">
        <v>410</v>
      </c>
      <c r="I11" s="39" t="s">
        <v>410</v>
      </c>
      <c r="J11" s="39" t="s">
        <v>410</v>
      </c>
      <c r="K11" s="39" t="s">
        <v>410</v>
      </c>
      <c r="L11" s="49" t="s">
        <v>410</v>
      </c>
      <c r="M11" s="40" t="s">
        <v>410</v>
      </c>
      <c r="N11" s="40" t="s">
        <v>410</v>
      </c>
      <c r="O11" t="s">
        <v>410</v>
      </c>
      <c r="P11" t="s">
        <v>410</v>
      </c>
      <c r="Q11" t="s">
        <v>410</v>
      </c>
      <c r="R11" t="s">
        <v>410</v>
      </c>
      <c r="S11" t="s">
        <v>410</v>
      </c>
      <c r="T11" t="s">
        <v>410</v>
      </c>
      <c r="U11" t="s">
        <v>410</v>
      </c>
    </row>
    <row r="12" spans="1:21" x14ac:dyDescent="0.25">
      <c r="A12" s="37">
        <v>9002</v>
      </c>
      <c r="B12" s="33" t="s">
        <v>410</v>
      </c>
      <c r="C12" s="37" t="s">
        <v>410</v>
      </c>
      <c r="D12" s="39" t="s">
        <v>410</v>
      </c>
      <c r="E12" s="38" t="s">
        <v>410</v>
      </c>
      <c r="F12" s="35" t="s">
        <v>410</v>
      </c>
      <c r="H12" s="39" t="s">
        <v>410</v>
      </c>
      <c r="I12" s="39" t="s">
        <v>410</v>
      </c>
      <c r="J12" s="39" t="s">
        <v>410</v>
      </c>
      <c r="K12" s="39" t="s">
        <v>410</v>
      </c>
      <c r="L12" s="49" t="s">
        <v>410</v>
      </c>
      <c r="M12" s="40" t="s">
        <v>410</v>
      </c>
      <c r="N12" s="40" t="s">
        <v>410</v>
      </c>
      <c r="O12" t="s">
        <v>410</v>
      </c>
      <c r="P12" t="s">
        <v>410</v>
      </c>
      <c r="Q12" t="s">
        <v>410</v>
      </c>
      <c r="R12" t="s">
        <v>410</v>
      </c>
      <c r="S12" t="s">
        <v>410</v>
      </c>
      <c r="T12" t="s">
        <v>410</v>
      </c>
      <c r="U12" t="s">
        <v>410</v>
      </c>
    </row>
  </sheetData>
  <pageMargins left="0.7" right="0.7" top="0.75" bottom="0.75" header="0.3" footer="0.3"/>
  <pageSetup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367"/>
  <sheetViews>
    <sheetView topLeftCell="Z1" workbookViewId="0"/>
  </sheetViews>
  <sheetFormatPr defaultRowHeight="15" x14ac:dyDescent="0.25"/>
  <cols>
    <col min="2" max="2" width="9.85546875" bestFit="1" customWidth="1"/>
    <col min="6" max="6" width="22.140625" customWidth="1"/>
    <col min="8" max="8" width="18.42578125" customWidth="1"/>
    <col min="13" max="13" width="10.140625" style="5" bestFit="1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</cols>
  <sheetData>
    <row r="1" spans="1:28" s="1" customFormat="1" ht="30" x14ac:dyDescent="0.25">
      <c r="A1" s="1" t="s">
        <v>24</v>
      </c>
      <c r="B1" s="1" t="s">
        <v>22</v>
      </c>
      <c r="C1" s="1" t="s">
        <v>17</v>
      </c>
      <c r="D1" s="1" t="s">
        <v>1</v>
      </c>
      <c r="E1" s="1" t="s">
        <v>191</v>
      </c>
      <c r="F1" s="1" t="s">
        <v>2</v>
      </c>
      <c r="G1" s="1" t="s">
        <v>23</v>
      </c>
      <c r="H1" s="1" t="s">
        <v>4</v>
      </c>
      <c r="I1" s="1" t="s">
        <v>5</v>
      </c>
      <c r="L1" s="6" t="s">
        <v>35</v>
      </c>
      <c r="M1" s="7" t="s">
        <v>42</v>
      </c>
      <c r="N1" s="8" t="s">
        <v>36</v>
      </c>
      <c r="O1" s="7" t="s">
        <v>43</v>
      </c>
      <c r="P1" s="8" t="s">
        <v>37</v>
      </c>
      <c r="Q1" s="7" t="s">
        <v>44</v>
      </c>
      <c r="R1" s="8" t="s">
        <v>38</v>
      </c>
      <c r="S1" s="7" t="s">
        <v>45</v>
      </c>
      <c r="T1" s="8" t="s">
        <v>39</v>
      </c>
      <c r="U1" s="7" t="s">
        <v>46</v>
      </c>
      <c r="V1" s="8" t="s">
        <v>40</v>
      </c>
      <c r="W1" s="7" t="s">
        <v>47</v>
      </c>
      <c r="X1" s="9" t="s">
        <v>41</v>
      </c>
      <c r="Y1" s="3" t="s">
        <v>48</v>
      </c>
      <c r="AA1" s="1" t="s">
        <v>308</v>
      </c>
      <c r="AB1" s="1" t="s">
        <v>309</v>
      </c>
    </row>
    <row r="2" spans="1:28" x14ac:dyDescent="0.25">
      <c r="A2">
        <v>159</v>
      </c>
      <c r="B2" s="2">
        <v>42161</v>
      </c>
      <c r="C2" t="s">
        <v>31</v>
      </c>
      <c r="D2" t="s">
        <v>192</v>
      </c>
      <c r="E2" t="s">
        <v>49</v>
      </c>
      <c r="F2" s="21" t="s">
        <v>221</v>
      </c>
      <c r="G2">
        <v>0</v>
      </c>
      <c r="H2" t="s">
        <v>272</v>
      </c>
      <c r="I2" t="s">
        <v>33</v>
      </c>
      <c r="L2" s="10">
        <v>1</v>
      </c>
      <c r="M2" s="4">
        <v>38718</v>
      </c>
      <c r="N2" s="11">
        <v>1</v>
      </c>
      <c r="O2" s="4">
        <v>39083</v>
      </c>
      <c r="P2" s="11">
        <v>1</v>
      </c>
      <c r="Q2" s="4">
        <v>39448</v>
      </c>
      <c r="R2" s="11">
        <v>1</v>
      </c>
      <c r="S2" s="4">
        <v>39814</v>
      </c>
      <c r="T2" s="11">
        <v>1</v>
      </c>
      <c r="U2" s="4">
        <v>40179</v>
      </c>
      <c r="V2" s="11">
        <v>1</v>
      </c>
      <c r="W2" s="4">
        <v>40544</v>
      </c>
      <c r="X2" s="12">
        <v>1</v>
      </c>
      <c r="Y2" s="4">
        <v>40909</v>
      </c>
      <c r="AA2">
        <v>1956</v>
      </c>
      <c r="AB2" t="s">
        <v>192</v>
      </c>
    </row>
    <row r="3" spans="1:28" x14ac:dyDescent="0.25">
      <c r="A3">
        <v>160</v>
      </c>
      <c r="B3" s="2">
        <v>42162</v>
      </c>
      <c r="C3" t="s">
        <v>25</v>
      </c>
      <c r="D3" t="s">
        <v>193</v>
      </c>
      <c r="E3" t="s">
        <v>50</v>
      </c>
      <c r="F3" s="21" t="s">
        <v>222</v>
      </c>
      <c r="G3">
        <v>1</v>
      </c>
      <c r="H3" t="s">
        <v>311</v>
      </c>
      <c r="I3" t="s">
        <v>32</v>
      </c>
      <c r="L3" s="10">
        <v>2</v>
      </c>
      <c r="M3" s="4">
        <v>38719</v>
      </c>
      <c r="N3" s="11">
        <v>2</v>
      </c>
      <c r="O3" s="4">
        <v>39084</v>
      </c>
      <c r="P3" s="11">
        <v>2</v>
      </c>
      <c r="Q3" s="4">
        <v>39449</v>
      </c>
      <c r="R3" s="11">
        <v>2</v>
      </c>
      <c r="S3" s="4">
        <v>39815</v>
      </c>
      <c r="T3" s="11">
        <v>2</v>
      </c>
      <c r="U3" s="4">
        <v>40180</v>
      </c>
      <c r="V3" s="11">
        <v>2</v>
      </c>
      <c r="W3" s="4">
        <v>40545</v>
      </c>
      <c r="X3" s="12">
        <v>2</v>
      </c>
      <c r="Y3" s="4">
        <v>40910</v>
      </c>
      <c r="AA3">
        <v>1901</v>
      </c>
      <c r="AB3" t="s">
        <v>195</v>
      </c>
    </row>
    <row r="4" spans="1:28" x14ac:dyDescent="0.25">
      <c r="A4">
        <v>161</v>
      </c>
      <c r="B4" s="2">
        <v>42163</v>
      </c>
      <c r="C4" t="s">
        <v>414</v>
      </c>
      <c r="D4" t="s">
        <v>194</v>
      </c>
      <c r="E4" t="s">
        <v>51</v>
      </c>
      <c r="F4" s="21" t="s">
        <v>223</v>
      </c>
      <c r="H4" t="s">
        <v>312</v>
      </c>
      <c r="I4" t="s">
        <v>34</v>
      </c>
      <c r="L4" s="10">
        <v>3</v>
      </c>
      <c r="M4" s="4">
        <v>38720</v>
      </c>
      <c r="N4" s="11">
        <v>3</v>
      </c>
      <c r="O4" s="4">
        <v>39085</v>
      </c>
      <c r="P4" s="11">
        <v>3</v>
      </c>
      <c r="Q4" s="4">
        <v>39450</v>
      </c>
      <c r="R4" s="11">
        <v>3</v>
      </c>
      <c r="S4" s="4">
        <v>39816</v>
      </c>
      <c r="T4" s="11">
        <v>3</v>
      </c>
      <c r="U4" s="4">
        <v>40181</v>
      </c>
      <c r="V4" s="11">
        <v>3</v>
      </c>
      <c r="W4" s="4">
        <v>40546</v>
      </c>
      <c r="X4" s="12">
        <v>3</v>
      </c>
      <c r="Y4" s="4">
        <v>40911</v>
      </c>
      <c r="AA4">
        <v>1658</v>
      </c>
      <c r="AB4" t="s">
        <v>193</v>
      </c>
    </row>
    <row r="5" spans="1:28" x14ac:dyDescent="0.25">
      <c r="A5">
        <v>162</v>
      </c>
      <c r="B5" s="2">
        <v>42164</v>
      </c>
      <c r="C5" t="s">
        <v>30</v>
      </c>
      <c r="D5" t="s">
        <v>195</v>
      </c>
      <c r="E5" t="s">
        <v>52</v>
      </c>
      <c r="F5" s="21" t="s">
        <v>224</v>
      </c>
      <c r="H5" t="s">
        <v>313</v>
      </c>
      <c r="L5" s="10">
        <v>4</v>
      </c>
      <c r="M5" s="4">
        <v>38721</v>
      </c>
      <c r="N5" s="11">
        <v>4</v>
      </c>
      <c r="O5" s="4">
        <v>39086</v>
      </c>
      <c r="P5" s="11">
        <v>4</v>
      </c>
      <c r="Q5" s="4">
        <v>39451</v>
      </c>
      <c r="R5" s="11">
        <v>4</v>
      </c>
      <c r="S5" s="4">
        <v>39817</v>
      </c>
      <c r="T5" s="11">
        <v>4</v>
      </c>
      <c r="U5" s="4">
        <v>40182</v>
      </c>
      <c r="V5" s="11">
        <v>4</v>
      </c>
      <c r="W5" s="4">
        <v>40547</v>
      </c>
      <c r="X5" s="12">
        <v>4</v>
      </c>
      <c r="Y5" s="4">
        <v>40912</v>
      </c>
      <c r="AA5">
        <v>349</v>
      </c>
      <c r="AB5" t="s">
        <v>194</v>
      </c>
    </row>
    <row r="6" spans="1:28" x14ac:dyDescent="0.25">
      <c r="A6">
        <v>163</v>
      </c>
      <c r="B6" s="2">
        <v>42165</v>
      </c>
      <c r="C6" t="s">
        <v>29</v>
      </c>
      <c r="D6" t="s">
        <v>274</v>
      </c>
      <c r="E6" t="s">
        <v>53</v>
      </c>
      <c r="F6" s="21" t="s">
        <v>225</v>
      </c>
      <c r="H6" t="s">
        <v>314</v>
      </c>
      <c r="L6" s="10">
        <v>5</v>
      </c>
      <c r="M6" s="4">
        <v>38722</v>
      </c>
      <c r="N6" s="11">
        <v>5</v>
      </c>
      <c r="O6" s="4">
        <v>39087</v>
      </c>
      <c r="P6" s="11">
        <v>5</v>
      </c>
      <c r="Q6" s="4">
        <v>39452</v>
      </c>
      <c r="R6" s="11">
        <v>5</v>
      </c>
      <c r="S6" s="4">
        <v>39818</v>
      </c>
      <c r="T6" s="11">
        <v>5</v>
      </c>
      <c r="U6" s="4">
        <v>40183</v>
      </c>
      <c r="V6" s="11">
        <v>5</v>
      </c>
      <c r="W6" s="4">
        <v>40548</v>
      </c>
      <c r="X6" s="12">
        <v>5</v>
      </c>
      <c r="Y6" s="4">
        <v>40913</v>
      </c>
      <c r="AA6">
        <v>1734</v>
      </c>
      <c r="AB6" t="s">
        <v>196</v>
      </c>
    </row>
    <row r="7" spans="1:28" x14ac:dyDescent="0.25">
      <c r="A7">
        <v>164</v>
      </c>
      <c r="B7" s="2">
        <v>42166</v>
      </c>
      <c r="C7" t="s">
        <v>28</v>
      </c>
      <c r="D7" t="s">
        <v>196</v>
      </c>
      <c r="E7" t="s">
        <v>54</v>
      </c>
      <c r="F7" s="21" t="s">
        <v>226</v>
      </c>
      <c r="H7" t="s">
        <v>300</v>
      </c>
      <c r="L7" s="10">
        <v>6</v>
      </c>
      <c r="M7" s="4">
        <v>38723</v>
      </c>
      <c r="N7" s="11">
        <v>6</v>
      </c>
      <c r="O7" s="4">
        <v>39088</v>
      </c>
      <c r="P7" s="11">
        <v>6</v>
      </c>
      <c r="Q7" s="4">
        <v>39453</v>
      </c>
      <c r="R7" s="11">
        <v>6</v>
      </c>
      <c r="S7" s="4">
        <v>39819</v>
      </c>
      <c r="T7" s="11">
        <v>6</v>
      </c>
      <c r="U7" s="4">
        <v>40184</v>
      </c>
      <c r="V7" s="11">
        <v>6</v>
      </c>
      <c r="W7" s="4">
        <v>40549</v>
      </c>
      <c r="X7" s="12">
        <v>6</v>
      </c>
      <c r="Y7" s="4">
        <v>40914</v>
      </c>
      <c r="AA7">
        <v>1323</v>
      </c>
      <c r="AB7" t="s">
        <v>197</v>
      </c>
    </row>
    <row r="8" spans="1:28" x14ac:dyDescent="0.25">
      <c r="A8">
        <v>165</v>
      </c>
      <c r="B8" s="2">
        <v>42167</v>
      </c>
      <c r="C8" t="s">
        <v>26</v>
      </c>
      <c r="D8" t="s">
        <v>197</v>
      </c>
      <c r="E8" t="s">
        <v>55</v>
      </c>
      <c r="F8" s="21" t="s">
        <v>227</v>
      </c>
      <c r="H8" t="s">
        <v>315</v>
      </c>
      <c r="L8" s="10">
        <v>7</v>
      </c>
      <c r="M8" s="4">
        <v>38724</v>
      </c>
      <c r="N8" s="11">
        <v>7</v>
      </c>
      <c r="O8" s="4">
        <v>39089</v>
      </c>
      <c r="P8" s="11">
        <v>7</v>
      </c>
      <c r="Q8" s="4">
        <v>39454</v>
      </c>
      <c r="R8" s="11">
        <v>7</v>
      </c>
      <c r="S8" s="4">
        <v>39820</v>
      </c>
      <c r="T8" s="11">
        <v>7</v>
      </c>
      <c r="U8" s="4">
        <v>40185</v>
      </c>
      <c r="V8" s="11">
        <v>7</v>
      </c>
      <c r="W8" s="4">
        <v>40550</v>
      </c>
      <c r="X8" s="12">
        <v>7</v>
      </c>
      <c r="Y8" s="4">
        <v>40915</v>
      </c>
      <c r="AA8">
        <v>2167</v>
      </c>
      <c r="AB8" t="s">
        <v>198</v>
      </c>
    </row>
    <row r="9" spans="1:28" x14ac:dyDescent="0.25">
      <c r="A9">
        <v>166</v>
      </c>
      <c r="B9" s="2">
        <v>42168</v>
      </c>
      <c r="C9" t="s">
        <v>27</v>
      </c>
      <c r="D9" t="s">
        <v>198</v>
      </c>
      <c r="E9" t="s">
        <v>56</v>
      </c>
      <c r="F9" s="21"/>
      <c r="H9" t="s">
        <v>316</v>
      </c>
      <c r="L9" s="10">
        <v>8</v>
      </c>
      <c r="M9" s="4">
        <v>38725</v>
      </c>
      <c r="N9" s="11">
        <v>8</v>
      </c>
      <c r="O9" s="4">
        <v>39090</v>
      </c>
      <c r="P9" s="11">
        <v>8</v>
      </c>
      <c r="Q9" s="4">
        <v>39455</v>
      </c>
      <c r="R9" s="11">
        <v>8</v>
      </c>
      <c r="S9" s="4">
        <v>39821</v>
      </c>
      <c r="T9" s="11">
        <v>8</v>
      </c>
      <c r="U9" s="4">
        <v>40186</v>
      </c>
      <c r="V9" s="11">
        <v>8</v>
      </c>
      <c r="W9" s="4">
        <v>40551</v>
      </c>
      <c r="X9" s="12">
        <v>8</v>
      </c>
      <c r="Y9" s="4">
        <v>40916</v>
      </c>
      <c r="AA9">
        <v>2104</v>
      </c>
      <c r="AB9" t="s">
        <v>199</v>
      </c>
    </row>
    <row r="10" spans="1:28" x14ac:dyDescent="0.25">
      <c r="A10">
        <v>167</v>
      </c>
      <c r="B10" s="2">
        <v>42169</v>
      </c>
      <c r="D10" t="s">
        <v>199</v>
      </c>
      <c r="E10" t="s">
        <v>57</v>
      </c>
      <c r="F10" s="27"/>
      <c r="H10" t="s">
        <v>317</v>
      </c>
      <c r="L10" s="10">
        <v>9</v>
      </c>
      <c r="M10" s="4">
        <v>38726</v>
      </c>
      <c r="N10" s="11">
        <v>9</v>
      </c>
      <c r="O10" s="4">
        <v>39091</v>
      </c>
      <c r="P10" s="11">
        <v>9</v>
      </c>
      <c r="Q10" s="4">
        <v>39456</v>
      </c>
      <c r="R10" s="11">
        <v>9</v>
      </c>
      <c r="S10" s="4">
        <v>39822</v>
      </c>
      <c r="T10" s="11">
        <v>9</v>
      </c>
      <c r="U10" s="4">
        <v>40187</v>
      </c>
      <c r="V10" s="11">
        <v>9</v>
      </c>
      <c r="W10" s="4">
        <v>40552</v>
      </c>
      <c r="X10" s="12">
        <v>9</v>
      </c>
      <c r="Y10" s="4">
        <v>40917</v>
      </c>
      <c r="AA10">
        <v>1301</v>
      </c>
      <c r="AB10" t="s">
        <v>202</v>
      </c>
    </row>
    <row r="11" spans="1:28" x14ac:dyDescent="0.25">
      <c r="A11">
        <v>168</v>
      </c>
      <c r="B11" s="2">
        <v>42170</v>
      </c>
      <c r="D11" t="s">
        <v>275</v>
      </c>
      <c r="E11" t="s">
        <v>58</v>
      </c>
      <c r="F11" s="21"/>
      <c r="H11" t="s">
        <v>307</v>
      </c>
      <c r="L11" s="10">
        <v>10</v>
      </c>
      <c r="M11" s="4">
        <v>38727</v>
      </c>
      <c r="N11" s="11">
        <v>10</v>
      </c>
      <c r="O11" s="4">
        <v>39092</v>
      </c>
      <c r="P11" s="11">
        <v>10</v>
      </c>
      <c r="Q11" s="4">
        <v>39457</v>
      </c>
      <c r="R11" s="11">
        <v>10</v>
      </c>
      <c r="S11" s="4">
        <v>39823</v>
      </c>
      <c r="T11" s="11">
        <v>10</v>
      </c>
      <c r="U11" s="4">
        <v>40188</v>
      </c>
      <c r="V11" s="11">
        <v>10</v>
      </c>
      <c r="W11" s="4">
        <v>40553</v>
      </c>
      <c r="X11" s="12">
        <v>10</v>
      </c>
      <c r="Y11" s="4">
        <v>40918</v>
      </c>
      <c r="AA11">
        <v>1848</v>
      </c>
      <c r="AB11" t="s">
        <v>200</v>
      </c>
    </row>
    <row r="12" spans="1:28" x14ac:dyDescent="0.25">
      <c r="A12">
        <v>169</v>
      </c>
      <c r="B12" s="2">
        <v>42171</v>
      </c>
      <c r="D12" t="s">
        <v>200</v>
      </c>
      <c r="E12" t="s">
        <v>59</v>
      </c>
      <c r="F12" s="21"/>
      <c r="H12" t="s">
        <v>318</v>
      </c>
      <c r="L12" s="10">
        <v>11</v>
      </c>
      <c r="M12" s="4">
        <v>38728</v>
      </c>
      <c r="N12" s="11">
        <v>11</v>
      </c>
      <c r="O12" s="4">
        <v>39093</v>
      </c>
      <c r="P12" s="11">
        <v>11</v>
      </c>
      <c r="Q12" s="4">
        <v>39458</v>
      </c>
      <c r="R12" s="11">
        <v>11</v>
      </c>
      <c r="S12" s="4">
        <v>39824</v>
      </c>
      <c r="T12" s="11">
        <v>11</v>
      </c>
      <c r="U12" s="4">
        <v>40189</v>
      </c>
      <c r="V12" s="11">
        <v>11</v>
      </c>
      <c r="W12" s="4">
        <v>40554</v>
      </c>
      <c r="X12" s="12">
        <v>11</v>
      </c>
      <c r="Y12" s="4">
        <v>40919</v>
      </c>
      <c r="AA12">
        <v>1592</v>
      </c>
      <c r="AB12" t="s">
        <v>201</v>
      </c>
    </row>
    <row r="13" spans="1:28" x14ac:dyDescent="0.25">
      <c r="A13">
        <v>170</v>
      </c>
      <c r="B13" s="2">
        <v>42172</v>
      </c>
      <c r="D13" t="s">
        <v>201</v>
      </c>
      <c r="E13" t="s">
        <v>60</v>
      </c>
      <c r="F13" s="24"/>
      <c r="H13" t="s">
        <v>319</v>
      </c>
      <c r="L13" s="10">
        <v>12</v>
      </c>
      <c r="M13" s="4">
        <v>38729</v>
      </c>
      <c r="N13" s="11">
        <v>12</v>
      </c>
      <c r="O13" s="4">
        <v>39094</v>
      </c>
      <c r="P13" s="11">
        <v>12</v>
      </c>
      <c r="Q13" s="4">
        <v>39459</v>
      </c>
      <c r="R13" s="11">
        <v>12</v>
      </c>
      <c r="S13" s="4">
        <v>39825</v>
      </c>
      <c r="T13" s="11">
        <v>12</v>
      </c>
      <c r="U13" s="4">
        <v>40190</v>
      </c>
      <c r="V13" s="11">
        <v>12</v>
      </c>
      <c r="W13" s="4">
        <v>40555</v>
      </c>
      <c r="X13" s="12">
        <v>12</v>
      </c>
      <c r="Y13" s="4">
        <v>40920</v>
      </c>
      <c r="AA13">
        <v>1919</v>
      </c>
      <c r="AB13" t="s">
        <v>203</v>
      </c>
    </row>
    <row r="14" spans="1:28" x14ac:dyDescent="0.25">
      <c r="A14">
        <v>171</v>
      </c>
      <c r="B14" s="2">
        <v>42173</v>
      </c>
      <c r="D14" t="s">
        <v>202</v>
      </c>
      <c r="E14" t="s">
        <v>61</v>
      </c>
      <c r="F14" s="22"/>
      <c r="H14" t="s">
        <v>320</v>
      </c>
      <c r="L14" s="10">
        <v>13</v>
      </c>
      <c r="M14" s="4">
        <v>38730</v>
      </c>
      <c r="N14" s="11">
        <v>13</v>
      </c>
      <c r="O14" s="4">
        <v>39095</v>
      </c>
      <c r="P14" s="11">
        <v>13</v>
      </c>
      <c r="Q14" s="4">
        <v>39460</v>
      </c>
      <c r="R14" s="11">
        <v>13</v>
      </c>
      <c r="S14" s="4">
        <v>39826</v>
      </c>
      <c r="T14" s="11">
        <v>13</v>
      </c>
      <c r="U14" s="4">
        <v>40191</v>
      </c>
      <c r="V14" s="11">
        <v>13</v>
      </c>
      <c r="W14" s="4">
        <v>40556</v>
      </c>
      <c r="X14" s="12">
        <v>13</v>
      </c>
      <c r="Y14" s="4">
        <v>40921</v>
      </c>
      <c r="AA14">
        <v>2826</v>
      </c>
      <c r="AB14" t="s">
        <v>205</v>
      </c>
    </row>
    <row r="15" spans="1:28" x14ac:dyDescent="0.25">
      <c r="A15">
        <v>172</v>
      </c>
      <c r="B15" s="2">
        <v>42174</v>
      </c>
      <c r="D15" t="s">
        <v>203</v>
      </c>
      <c r="E15" t="s">
        <v>62</v>
      </c>
      <c r="F15" s="22"/>
      <c r="H15" t="s">
        <v>440</v>
      </c>
      <c r="L15" s="10">
        <v>14</v>
      </c>
      <c r="M15" s="4">
        <v>38731</v>
      </c>
      <c r="N15" s="11">
        <v>14</v>
      </c>
      <c r="O15" s="4">
        <v>39096</v>
      </c>
      <c r="P15" s="11">
        <v>14</v>
      </c>
      <c r="Q15" s="4">
        <v>39461</v>
      </c>
      <c r="R15" s="11">
        <v>14</v>
      </c>
      <c r="S15" s="4">
        <v>39827</v>
      </c>
      <c r="T15" s="11">
        <v>14</v>
      </c>
      <c r="U15" s="4">
        <v>40192</v>
      </c>
      <c r="V15" s="11">
        <v>14</v>
      </c>
      <c r="W15" s="4">
        <v>40557</v>
      </c>
      <c r="X15" s="12">
        <v>14</v>
      </c>
      <c r="Y15" s="4">
        <v>40922</v>
      </c>
      <c r="AA15">
        <v>2913</v>
      </c>
      <c r="AB15" t="s">
        <v>303</v>
      </c>
    </row>
    <row r="16" spans="1:28" x14ac:dyDescent="0.25">
      <c r="A16">
        <v>173</v>
      </c>
      <c r="B16" s="2">
        <v>42175</v>
      </c>
      <c r="D16" t="s">
        <v>276</v>
      </c>
      <c r="E16" t="s">
        <v>63</v>
      </c>
      <c r="F16" s="30"/>
      <c r="H16" t="s">
        <v>441</v>
      </c>
      <c r="L16" s="10">
        <v>15</v>
      </c>
      <c r="M16" s="4">
        <v>38732</v>
      </c>
      <c r="N16" s="11">
        <v>15</v>
      </c>
      <c r="O16" s="4">
        <v>39097</v>
      </c>
      <c r="P16" s="11">
        <v>15</v>
      </c>
      <c r="Q16" s="4">
        <v>39462</v>
      </c>
      <c r="R16" s="11">
        <v>15</v>
      </c>
      <c r="S16" s="4">
        <v>39828</v>
      </c>
      <c r="T16" s="11">
        <v>15</v>
      </c>
      <c r="U16" s="4">
        <v>40193</v>
      </c>
      <c r="V16" s="11">
        <v>15</v>
      </c>
      <c r="W16" s="4">
        <v>40558</v>
      </c>
      <c r="X16" s="12">
        <v>15</v>
      </c>
      <c r="Y16" s="4">
        <v>40923</v>
      </c>
      <c r="AA16">
        <v>1049</v>
      </c>
      <c r="AB16" t="s">
        <v>204</v>
      </c>
    </row>
    <row r="17" spans="1:28" x14ac:dyDescent="0.25">
      <c r="A17">
        <v>174</v>
      </c>
      <c r="B17" s="2">
        <v>42176</v>
      </c>
      <c r="D17" t="s">
        <v>204</v>
      </c>
      <c r="E17" t="s">
        <v>64</v>
      </c>
      <c r="F17" s="30"/>
      <c r="H17" t="s">
        <v>321</v>
      </c>
      <c r="L17" s="10">
        <v>16</v>
      </c>
      <c r="M17" s="4">
        <v>38733</v>
      </c>
      <c r="N17" s="11">
        <v>16</v>
      </c>
      <c r="O17" s="4">
        <v>39098</v>
      </c>
      <c r="P17" s="11">
        <v>16</v>
      </c>
      <c r="Q17" s="4">
        <v>39463</v>
      </c>
      <c r="R17" s="11">
        <v>16</v>
      </c>
      <c r="S17" s="4">
        <v>39829</v>
      </c>
      <c r="T17" s="11">
        <v>16</v>
      </c>
      <c r="U17" s="4">
        <v>40194</v>
      </c>
      <c r="V17" s="11">
        <v>16</v>
      </c>
      <c r="W17" s="4">
        <v>40559</v>
      </c>
      <c r="X17" s="12">
        <v>16</v>
      </c>
      <c r="Y17" s="4">
        <v>40924</v>
      </c>
      <c r="AA17">
        <v>1722</v>
      </c>
      <c r="AB17" t="s">
        <v>207</v>
      </c>
    </row>
    <row r="18" spans="1:28" x14ac:dyDescent="0.25">
      <c r="A18">
        <v>175</v>
      </c>
      <c r="B18" s="2">
        <v>42177</v>
      </c>
      <c r="D18" t="s">
        <v>205</v>
      </c>
      <c r="E18" t="s">
        <v>65</v>
      </c>
      <c r="F18" s="23"/>
      <c r="H18" t="s">
        <v>322</v>
      </c>
      <c r="L18" s="10">
        <v>17</v>
      </c>
      <c r="M18" s="4">
        <v>38734</v>
      </c>
      <c r="N18" s="11">
        <v>17</v>
      </c>
      <c r="O18" s="4">
        <v>39099</v>
      </c>
      <c r="P18" s="11">
        <v>17</v>
      </c>
      <c r="Q18" s="4">
        <v>39464</v>
      </c>
      <c r="R18" s="11">
        <v>17</v>
      </c>
      <c r="S18" s="4">
        <v>39830</v>
      </c>
      <c r="T18" s="11">
        <v>17</v>
      </c>
      <c r="U18" s="4">
        <v>40195</v>
      </c>
      <c r="V18" s="11">
        <v>17</v>
      </c>
      <c r="W18" s="4">
        <v>40560</v>
      </c>
      <c r="X18" s="12">
        <v>17</v>
      </c>
      <c r="Y18" s="4">
        <v>40925</v>
      </c>
      <c r="AA18">
        <v>2477</v>
      </c>
      <c r="AB18" t="s">
        <v>208</v>
      </c>
    </row>
    <row r="19" spans="1:28" x14ac:dyDescent="0.25">
      <c r="A19">
        <v>176</v>
      </c>
      <c r="B19" s="2">
        <v>42178</v>
      </c>
      <c r="D19" t="s">
        <v>206</v>
      </c>
      <c r="E19" t="s">
        <v>66</v>
      </c>
      <c r="F19" s="23"/>
      <c r="H19" t="s">
        <v>323</v>
      </c>
      <c r="L19" s="10">
        <v>18</v>
      </c>
      <c r="M19" s="4">
        <v>38735</v>
      </c>
      <c r="N19" s="11">
        <v>18</v>
      </c>
      <c r="O19" s="4">
        <v>39100</v>
      </c>
      <c r="P19" s="11">
        <v>18</v>
      </c>
      <c r="Q19" s="4">
        <v>39465</v>
      </c>
      <c r="R19" s="11">
        <v>18</v>
      </c>
      <c r="S19" s="4">
        <v>39831</v>
      </c>
      <c r="T19" s="11">
        <v>18</v>
      </c>
      <c r="U19" s="4">
        <v>40196</v>
      </c>
      <c r="V19" s="11">
        <v>18</v>
      </c>
      <c r="W19" s="4">
        <v>40561</v>
      </c>
      <c r="X19" s="12">
        <v>18</v>
      </c>
      <c r="Y19" s="4">
        <v>40926</v>
      </c>
      <c r="AA19">
        <v>1044</v>
      </c>
      <c r="AB19" t="s">
        <v>209</v>
      </c>
    </row>
    <row r="20" spans="1:28" x14ac:dyDescent="0.25">
      <c r="A20">
        <v>177</v>
      </c>
      <c r="B20" s="2">
        <v>42179</v>
      </c>
      <c r="D20" t="s">
        <v>277</v>
      </c>
      <c r="E20" t="s">
        <v>67</v>
      </c>
      <c r="F20" s="23"/>
      <c r="H20" t="s">
        <v>324</v>
      </c>
      <c r="L20" s="10">
        <v>19</v>
      </c>
      <c r="M20" s="4">
        <v>38736</v>
      </c>
      <c r="N20" s="11">
        <v>19</v>
      </c>
      <c r="O20" s="4">
        <v>39101</v>
      </c>
      <c r="P20" s="11">
        <v>19</v>
      </c>
      <c r="Q20" s="4">
        <v>39466</v>
      </c>
      <c r="R20" s="11">
        <v>19</v>
      </c>
      <c r="S20" s="4">
        <v>39832</v>
      </c>
      <c r="T20" s="11">
        <v>19</v>
      </c>
      <c r="U20" s="4">
        <v>40197</v>
      </c>
      <c r="V20" s="11">
        <v>19</v>
      </c>
      <c r="W20" s="4">
        <v>40562</v>
      </c>
      <c r="X20" s="12">
        <v>19</v>
      </c>
      <c r="Y20" s="4">
        <v>40927</v>
      </c>
      <c r="AA20">
        <v>2114</v>
      </c>
      <c r="AB20" t="s">
        <v>211</v>
      </c>
    </row>
    <row r="21" spans="1:28" x14ac:dyDescent="0.25">
      <c r="A21">
        <v>178</v>
      </c>
      <c r="B21" s="2">
        <v>42180</v>
      </c>
      <c r="D21" t="s">
        <v>415</v>
      </c>
      <c r="E21" t="s">
        <v>68</v>
      </c>
      <c r="F21" s="30"/>
      <c r="H21" t="s">
        <v>325</v>
      </c>
      <c r="L21" s="10">
        <v>20</v>
      </c>
      <c r="M21" s="4">
        <v>38737</v>
      </c>
      <c r="N21" s="11">
        <v>20</v>
      </c>
      <c r="O21" s="4">
        <v>39102</v>
      </c>
      <c r="P21" s="11">
        <v>20</v>
      </c>
      <c r="Q21" s="4">
        <v>39467</v>
      </c>
      <c r="R21" s="11">
        <v>20</v>
      </c>
      <c r="S21" s="4">
        <v>39833</v>
      </c>
      <c r="T21" s="11">
        <v>20</v>
      </c>
      <c r="U21" s="4">
        <v>40198</v>
      </c>
      <c r="V21" s="11">
        <v>20</v>
      </c>
      <c r="W21" s="4">
        <v>40563</v>
      </c>
      <c r="X21" s="12">
        <v>20</v>
      </c>
      <c r="Y21" s="4">
        <v>40928</v>
      </c>
      <c r="AA21">
        <v>2578</v>
      </c>
      <c r="AB21" t="s">
        <v>213</v>
      </c>
    </row>
    <row r="22" spans="1:28" x14ac:dyDescent="0.25">
      <c r="A22">
        <v>179</v>
      </c>
      <c r="B22" s="2">
        <v>42181</v>
      </c>
      <c r="D22" t="s">
        <v>416</v>
      </c>
      <c r="E22" t="s">
        <v>69</v>
      </c>
      <c r="F22" s="30"/>
      <c r="H22" t="s">
        <v>326</v>
      </c>
      <c r="L22" s="10">
        <v>21</v>
      </c>
      <c r="M22" s="4">
        <v>38738</v>
      </c>
      <c r="N22" s="11">
        <v>21</v>
      </c>
      <c r="O22" s="4">
        <v>39103</v>
      </c>
      <c r="P22" s="11">
        <v>21</v>
      </c>
      <c r="Q22" s="4">
        <v>39468</v>
      </c>
      <c r="R22" s="11">
        <v>21</v>
      </c>
      <c r="S22" s="4">
        <v>39834</v>
      </c>
      <c r="T22" s="11">
        <v>21</v>
      </c>
      <c r="U22" s="4">
        <v>40199</v>
      </c>
      <c r="V22" s="11">
        <v>21</v>
      </c>
      <c r="W22" s="4">
        <v>40564</v>
      </c>
      <c r="X22" s="12">
        <v>21</v>
      </c>
      <c r="Y22" s="4">
        <v>40929</v>
      </c>
      <c r="AA22">
        <v>1066</v>
      </c>
      <c r="AB22" t="s">
        <v>215</v>
      </c>
    </row>
    <row r="23" spans="1:28" x14ac:dyDescent="0.25">
      <c r="A23">
        <v>180</v>
      </c>
      <c r="B23" s="2">
        <v>42182</v>
      </c>
      <c r="D23" t="s">
        <v>417</v>
      </c>
      <c r="E23" t="s">
        <v>70</v>
      </c>
      <c r="F23" s="21"/>
      <c r="H23" t="s">
        <v>327</v>
      </c>
      <c r="L23" s="10">
        <v>22</v>
      </c>
      <c r="M23" s="4">
        <v>38739</v>
      </c>
      <c r="N23" s="11">
        <v>22</v>
      </c>
      <c r="O23" s="4">
        <v>39104</v>
      </c>
      <c r="P23" s="11">
        <v>22</v>
      </c>
      <c r="Q23" s="4">
        <v>39469</v>
      </c>
      <c r="R23" s="11">
        <v>22</v>
      </c>
      <c r="S23" s="4">
        <v>39835</v>
      </c>
      <c r="T23" s="11">
        <v>22</v>
      </c>
      <c r="U23" s="4">
        <v>40200</v>
      </c>
      <c r="V23" s="11">
        <v>22</v>
      </c>
      <c r="W23" s="4">
        <v>40565</v>
      </c>
      <c r="X23" s="12">
        <v>22</v>
      </c>
      <c r="Y23" s="4">
        <v>40930</v>
      </c>
      <c r="AA23">
        <v>2430</v>
      </c>
      <c r="AB23" t="s">
        <v>212</v>
      </c>
    </row>
    <row r="24" spans="1:28" x14ac:dyDescent="0.25">
      <c r="A24">
        <v>181</v>
      </c>
      <c r="B24" s="2">
        <v>42183</v>
      </c>
      <c r="D24" t="s">
        <v>418</v>
      </c>
      <c r="E24" t="s">
        <v>71</v>
      </c>
      <c r="F24" s="21"/>
      <c r="H24" t="s">
        <v>328</v>
      </c>
      <c r="L24" s="10">
        <v>23</v>
      </c>
      <c r="M24" s="4">
        <v>38740</v>
      </c>
      <c r="N24" s="11">
        <v>23</v>
      </c>
      <c r="O24" s="4">
        <v>39105</v>
      </c>
      <c r="P24" s="11">
        <v>23</v>
      </c>
      <c r="Q24" s="4">
        <v>39470</v>
      </c>
      <c r="R24" s="11">
        <v>23</v>
      </c>
      <c r="S24" s="4">
        <v>39836</v>
      </c>
      <c r="T24" s="11">
        <v>23</v>
      </c>
      <c r="U24" s="4">
        <v>40201</v>
      </c>
      <c r="V24" s="11">
        <v>23</v>
      </c>
      <c r="W24" s="4">
        <v>40566</v>
      </c>
      <c r="X24" s="12">
        <v>23</v>
      </c>
      <c r="Y24" s="4">
        <v>40931</v>
      </c>
      <c r="AA24">
        <v>632</v>
      </c>
      <c r="AB24" t="s">
        <v>214</v>
      </c>
    </row>
    <row r="25" spans="1:28" x14ac:dyDescent="0.25">
      <c r="A25">
        <v>182</v>
      </c>
      <c r="B25" s="2">
        <v>42184</v>
      </c>
      <c r="D25" t="s">
        <v>419</v>
      </c>
      <c r="E25" t="s">
        <v>72</v>
      </c>
      <c r="F25" s="21"/>
      <c r="H25" t="s">
        <v>329</v>
      </c>
      <c r="L25" s="10">
        <v>24</v>
      </c>
      <c r="M25" s="4">
        <v>38741</v>
      </c>
      <c r="N25" s="11">
        <v>24</v>
      </c>
      <c r="O25" s="4">
        <v>39106</v>
      </c>
      <c r="P25" s="11">
        <v>24</v>
      </c>
      <c r="Q25" s="4">
        <v>39471</v>
      </c>
      <c r="R25" s="11">
        <v>24</v>
      </c>
      <c r="S25" s="4">
        <v>39837</v>
      </c>
      <c r="T25" s="11">
        <v>24</v>
      </c>
      <c r="U25" s="4">
        <v>40202</v>
      </c>
      <c r="V25" s="11">
        <v>24</v>
      </c>
      <c r="W25" s="4">
        <v>40567</v>
      </c>
      <c r="X25" s="12">
        <v>24</v>
      </c>
      <c r="Y25" s="4">
        <v>40932</v>
      </c>
      <c r="AA25">
        <v>1679</v>
      </c>
      <c r="AB25" t="s">
        <v>218</v>
      </c>
    </row>
    <row r="26" spans="1:28" x14ac:dyDescent="0.25">
      <c r="A26">
        <v>183</v>
      </c>
      <c r="B26" s="2">
        <v>42185</v>
      </c>
      <c r="D26" t="s">
        <v>207</v>
      </c>
      <c r="E26" t="s">
        <v>73</v>
      </c>
      <c r="F26" s="27"/>
      <c r="H26" t="s">
        <v>330</v>
      </c>
      <c r="L26" s="10">
        <v>25</v>
      </c>
      <c r="M26" s="4">
        <v>38742</v>
      </c>
      <c r="N26" s="11">
        <v>25</v>
      </c>
      <c r="O26" s="4">
        <v>39107</v>
      </c>
      <c r="P26" s="11">
        <v>25</v>
      </c>
      <c r="Q26" s="4">
        <v>39472</v>
      </c>
      <c r="R26" s="11">
        <v>25</v>
      </c>
      <c r="S26" s="4">
        <v>39838</v>
      </c>
      <c r="T26" s="11">
        <v>25</v>
      </c>
      <c r="U26" s="4">
        <v>40203</v>
      </c>
      <c r="V26" s="11">
        <v>25</v>
      </c>
      <c r="W26" s="4">
        <v>40568</v>
      </c>
      <c r="X26" s="12">
        <v>25</v>
      </c>
      <c r="Y26" s="4">
        <v>40933</v>
      </c>
      <c r="AA26">
        <v>1125</v>
      </c>
      <c r="AB26" t="s">
        <v>219</v>
      </c>
    </row>
    <row r="27" spans="1:28" x14ac:dyDescent="0.25">
      <c r="A27">
        <v>184</v>
      </c>
      <c r="B27" s="2">
        <v>42186</v>
      </c>
      <c r="D27" t="s">
        <v>208</v>
      </c>
      <c r="E27" t="s">
        <v>74</v>
      </c>
      <c r="F27" s="27"/>
      <c r="H27" t="s">
        <v>331</v>
      </c>
      <c r="L27" s="10">
        <v>26</v>
      </c>
      <c r="M27" s="4">
        <v>38743</v>
      </c>
      <c r="N27" s="11">
        <v>26</v>
      </c>
      <c r="O27" s="4">
        <v>39108</v>
      </c>
      <c r="P27" s="11">
        <v>26</v>
      </c>
      <c r="Q27" s="4">
        <v>39473</v>
      </c>
      <c r="R27" s="11">
        <v>26</v>
      </c>
      <c r="S27" s="4">
        <v>39839</v>
      </c>
      <c r="T27" s="11">
        <v>26</v>
      </c>
      <c r="U27" s="4">
        <v>40204</v>
      </c>
      <c r="V27" s="11">
        <v>26</v>
      </c>
      <c r="W27" s="4">
        <v>40569</v>
      </c>
      <c r="X27" s="12">
        <v>26</v>
      </c>
      <c r="Y27" s="4">
        <v>40934</v>
      </c>
      <c r="AA27">
        <v>1151</v>
      </c>
      <c r="AB27" t="s">
        <v>216</v>
      </c>
    </row>
    <row r="28" spans="1:28" x14ac:dyDescent="0.25">
      <c r="A28">
        <v>185</v>
      </c>
      <c r="B28" s="2">
        <v>42187</v>
      </c>
      <c r="D28" t="s">
        <v>209</v>
      </c>
      <c r="E28" t="s">
        <v>75</v>
      </c>
      <c r="F28" s="21"/>
      <c r="H28" t="s">
        <v>332</v>
      </c>
      <c r="L28" s="10">
        <v>27</v>
      </c>
      <c r="M28" s="4">
        <v>38744</v>
      </c>
      <c r="N28" s="11">
        <v>27</v>
      </c>
      <c r="O28" s="4">
        <v>39109</v>
      </c>
      <c r="P28" s="11">
        <v>27</v>
      </c>
      <c r="Q28" s="4">
        <v>39474</v>
      </c>
      <c r="R28" s="11">
        <v>27</v>
      </c>
      <c r="S28" s="4">
        <v>39840</v>
      </c>
      <c r="T28" s="11">
        <v>27</v>
      </c>
      <c r="U28" s="4">
        <v>40205</v>
      </c>
      <c r="V28" s="11">
        <v>27</v>
      </c>
      <c r="W28" s="4">
        <v>40570</v>
      </c>
      <c r="X28" s="12">
        <v>27</v>
      </c>
      <c r="Y28" s="4">
        <v>40935</v>
      </c>
      <c r="AA28">
        <v>370</v>
      </c>
      <c r="AB28" t="s">
        <v>217</v>
      </c>
    </row>
    <row r="29" spans="1:28" x14ac:dyDescent="0.25">
      <c r="A29">
        <v>186</v>
      </c>
      <c r="B29" s="2">
        <v>42188</v>
      </c>
      <c r="D29" t="s">
        <v>210</v>
      </c>
      <c r="E29" t="s">
        <v>76</v>
      </c>
      <c r="F29" s="21"/>
      <c r="H29" t="s">
        <v>333</v>
      </c>
      <c r="L29" s="10">
        <v>28</v>
      </c>
      <c r="M29" s="4">
        <v>38745</v>
      </c>
      <c r="N29" s="11">
        <v>28</v>
      </c>
      <c r="O29" s="4">
        <v>39110</v>
      </c>
      <c r="P29" s="11">
        <v>28</v>
      </c>
      <c r="Q29" s="4">
        <v>39475</v>
      </c>
      <c r="R29" s="11">
        <v>28</v>
      </c>
      <c r="S29" s="4">
        <v>39841</v>
      </c>
      <c r="T29" s="11">
        <v>28</v>
      </c>
      <c r="U29" s="4">
        <v>40206</v>
      </c>
      <c r="V29" s="11">
        <v>28</v>
      </c>
      <c r="W29" s="4">
        <v>40571</v>
      </c>
      <c r="X29" s="12">
        <v>28</v>
      </c>
      <c r="Y29" s="4">
        <v>40936</v>
      </c>
    </row>
    <row r="30" spans="1:28" x14ac:dyDescent="0.25">
      <c r="A30">
        <v>187</v>
      </c>
      <c r="B30" s="2">
        <v>42189</v>
      </c>
      <c r="D30" t="s">
        <v>211</v>
      </c>
      <c r="E30" t="s">
        <v>77</v>
      </c>
      <c r="H30" t="s">
        <v>334</v>
      </c>
      <c r="L30" s="10">
        <v>29</v>
      </c>
      <c r="M30" s="4">
        <v>38746</v>
      </c>
      <c r="N30" s="11">
        <v>29</v>
      </c>
      <c r="O30" s="4">
        <v>39111</v>
      </c>
      <c r="P30" s="11">
        <v>29</v>
      </c>
      <c r="Q30" s="4">
        <v>39476</v>
      </c>
      <c r="R30" s="11">
        <v>29</v>
      </c>
      <c r="S30" s="4">
        <v>39842</v>
      </c>
      <c r="T30" s="11">
        <v>29</v>
      </c>
      <c r="U30" s="4">
        <v>40207</v>
      </c>
      <c r="V30" s="11">
        <v>29</v>
      </c>
      <c r="W30" s="4">
        <v>40572</v>
      </c>
      <c r="X30" s="12">
        <v>29</v>
      </c>
      <c r="Y30" s="4">
        <v>40937</v>
      </c>
    </row>
    <row r="31" spans="1:28" x14ac:dyDescent="0.25">
      <c r="A31">
        <v>188</v>
      </c>
      <c r="B31" s="2">
        <v>42190</v>
      </c>
      <c r="D31" t="s">
        <v>278</v>
      </c>
      <c r="E31" t="s">
        <v>78</v>
      </c>
      <c r="F31" s="27"/>
      <c r="H31" t="s">
        <v>335</v>
      </c>
      <c r="L31" s="10">
        <v>30</v>
      </c>
      <c r="M31" s="4">
        <v>38747</v>
      </c>
      <c r="N31" s="11">
        <v>30</v>
      </c>
      <c r="O31" s="4">
        <v>39112</v>
      </c>
      <c r="P31" s="11">
        <v>30</v>
      </c>
      <c r="Q31" s="4">
        <v>39477</v>
      </c>
      <c r="R31" s="11">
        <v>30</v>
      </c>
      <c r="S31" s="4">
        <v>39843</v>
      </c>
      <c r="T31" s="11">
        <v>30</v>
      </c>
      <c r="U31" s="4">
        <v>40208</v>
      </c>
      <c r="V31" s="11">
        <v>30</v>
      </c>
      <c r="W31" s="4">
        <v>40573</v>
      </c>
      <c r="X31" s="12">
        <v>30</v>
      </c>
      <c r="Y31" s="4">
        <v>40938</v>
      </c>
    </row>
    <row r="32" spans="1:28" x14ac:dyDescent="0.25">
      <c r="A32">
        <v>189</v>
      </c>
      <c r="B32" s="2">
        <v>42191</v>
      </c>
      <c r="D32" t="s">
        <v>212</v>
      </c>
      <c r="E32" t="s">
        <v>79</v>
      </c>
      <c r="H32" t="s">
        <v>336</v>
      </c>
      <c r="L32" s="10">
        <v>31</v>
      </c>
      <c r="M32" s="4">
        <v>38748</v>
      </c>
      <c r="N32" s="11">
        <v>31</v>
      </c>
      <c r="O32" s="4">
        <v>39113</v>
      </c>
      <c r="P32" s="11">
        <v>31</v>
      </c>
      <c r="Q32" s="4">
        <v>39478</v>
      </c>
      <c r="R32" s="11">
        <v>31</v>
      </c>
      <c r="S32" s="4">
        <v>39844</v>
      </c>
      <c r="T32" s="11">
        <v>31</v>
      </c>
      <c r="U32" s="4">
        <v>40209</v>
      </c>
      <c r="V32" s="11">
        <v>31</v>
      </c>
      <c r="W32" s="4">
        <v>40574</v>
      </c>
      <c r="X32" s="12">
        <v>31</v>
      </c>
      <c r="Y32" s="4">
        <v>40939</v>
      </c>
    </row>
    <row r="33" spans="1:25" x14ac:dyDescent="0.25">
      <c r="A33">
        <v>190</v>
      </c>
      <c r="B33" s="2">
        <v>42192</v>
      </c>
      <c r="D33" t="s">
        <v>213</v>
      </c>
      <c r="E33" t="s">
        <v>80</v>
      </c>
      <c r="F33" s="21"/>
      <c r="H33" t="s">
        <v>337</v>
      </c>
      <c r="L33" s="10">
        <v>32</v>
      </c>
      <c r="M33" s="4">
        <v>38749</v>
      </c>
      <c r="N33" s="11">
        <v>32</v>
      </c>
      <c r="O33" s="4">
        <v>39114</v>
      </c>
      <c r="P33" s="11">
        <v>32</v>
      </c>
      <c r="Q33" s="4">
        <v>39479</v>
      </c>
      <c r="R33" s="11">
        <v>32</v>
      </c>
      <c r="S33" s="4">
        <v>39845</v>
      </c>
      <c r="T33" s="11">
        <v>32</v>
      </c>
      <c r="U33" s="4">
        <v>40210</v>
      </c>
      <c r="V33" s="11">
        <v>32</v>
      </c>
      <c r="W33" s="4">
        <v>40575</v>
      </c>
      <c r="X33" s="12">
        <v>32</v>
      </c>
      <c r="Y33" s="4">
        <v>40940</v>
      </c>
    </row>
    <row r="34" spans="1:25" x14ac:dyDescent="0.25">
      <c r="A34">
        <v>191</v>
      </c>
      <c r="B34" s="2">
        <v>42193</v>
      </c>
      <c r="D34" t="s">
        <v>214</v>
      </c>
      <c r="E34" t="s">
        <v>81</v>
      </c>
      <c r="F34" s="21"/>
      <c r="H34" t="s">
        <v>338</v>
      </c>
      <c r="L34" s="10">
        <v>33</v>
      </c>
      <c r="M34" s="4">
        <v>38750</v>
      </c>
      <c r="N34" s="11">
        <v>33</v>
      </c>
      <c r="O34" s="4">
        <v>39115</v>
      </c>
      <c r="P34" s="11">
        <v>33</v>
      </c>
      <c r="Q34" s="4">
        <v>39480</v>
      </c>
      <c r="R34" s="11">
        <v>33</v>
      </c>
      <c r="S34" s="4">
        <v>39846</v>
      </c>
      <c r="T34" s="11">
        <v>33</v>
      </c>
      <c r="U34" s="4">
        <v>40211</v>
      </c>
      <c r="V34" s="11">
        <v>33</v>
      </c>
      <c r="W34" s="4">
        <v>40576</v>
      </c>
      <c r="X34" s="12">
        <v>33</v>
      </c>
      <c r="Y34" s="4">
        <v>40941</v>
      </c>
    </row>
    <row r="35" spans="1:25" x14ac:dyDescent="0.25">
      <c r="A35">
        <v>192</v>
      </c>
      <c r="B35" s="2">
        <v>42194</v>
      </c>
      <c r="D35" t="s">
        <v>215</v>
      </c>
      <c r="E35" t="s">
        <v>82</v>
      </c>
      <c r="F35" s="27"/>
      <c r="H35" t="s">
        <v>339</v>
      </c>
      <c r="L35" s="10">
        <v>34</v>
      </c>
      <c r="M35" s="4">
        <v>38751</v>
      </c>
      <c r="N35" s="11">
        <v>34</v>
      </c>
      <c r="O35" s="4">
        <v>39116</v>
      </c>
      <c r="P35" s="11">
        <v>34</v>
      </c>
      <c r="Q35" s="4">
        <v>39481</v>
      </c>
      <c r="R35" s="11">
        <v>34</v>
      </c>
      <c r="S35" s="4">
        <v>39847</v>
      </c>
      <c r="T35" s="11">
        <v>34</v>
      </c>
      <c r="U35" s="4">
        <v>40212</v>
      </c>
      <c r="V35" s="11">
        <v>34</v>
      </c>
      <c r="W35" s="4">
        <v>40577</v>
      </c>
      <c r="X35" s="12">
        <v>34</v>
      </c>
      <c r="Y35" s="4">
        <v>40942</v>
      </c>
    </row>
    <row r="36" spans="1:25" x14ac:dyDescent="0.25">
      <c r="A36">
        <v>193</v>
      </c>
      <c r="B36" s="2">
        <v>42195</v>
      </c>
      <c r="D36" t="s">
        <v>279</v>
      </c>
      <c r="E36" t="s">
        <v>83</v>
      </c>
      <c r="F36" s="21"/>
      <c r="H36" t="s">
        <v>340</v>
      </c>
      <c r="L36" s="10">
        <v>35</v>
      </c>
      <c r="M36" s="4">
        <v>38752</v>
      </c>
      <c r="N36" s="11">
        <v>35</v>
      </c>
      <c r="O36" s="4">
        <v>39117</v>
      </c>
      <c r="P36" s="11">
        <v>35</v>
      </c>
      <c r="Q36" s="4">
        <v>39482</v>
      </c>
      <c r="R36" s="11">
        <v>35</v>
      </c>
      <c r="S36" s="4">
        <v>39848</v>
      </c>
      <c r="T36" s="11">
        <v>35</v>
      </c>
      <c r="U36" s="4">
        <v>40213</v>
      </c>
      <c r="V36" s="11">
        <v>35</v>
      </c>
      <c r="W36" s="4">
        <v>40578</v>
      </c>
      <c r="X36" s="12">
        <v>35</v>
      </c>
      <c r="Y36" s="4">
        <v>40943</v>
      </c>
    </row>
    <row r="37" spans="1:25" x14ac:dyDescent="0.25">
      <c r="A37">
        <v>194</v>
      </c>
      <c r="B37" s="2">
        <v>42196</v>
      </c>
      <c r="D37" t="s">
        <v>216</v>
      </c>
      <c r="E37" t="s">
        <v>84</v>
      </c>
      <c r="F37" s="21"/>
      <c r="H37" t="s">
        <v>341</v>
      </c>
      <c r="L37" s="10">
        <v>36</v>
      </c>
      <c r="M37" s="4">
        <v>38753</v>
      </c>
      <c r="N37" s="11">
        <v>36</v>
      </c>
      <c r="O37" s="4">
        <v>39118</v>
      </c>
      <c r="P37" s="11">
        <v>36</v>
      </c>
      <c r="Q37" s="4">
        <v>39483</v>
      </c>
      <c r="R37" s="11">
        <v>36</v>
      </c>
      <c r="S37" s="4">
        <v>39849</v>
      </c>
      <c r="T37" s="11">
        <v>36</v>
      </c>
      <c r="U37" s="4">
        <v>40214</v>
      </c>
      <c r="V37" s="11">
        <v>36</v>
      </c>
      <c r="W37" s="4">
        <v>40579</v>
      </c>
      <c r="X37" s="12">
        <v>36</v>
      </c>
      <c r="Y37" s="4">
        <v>40944</v>
      </c>
    </row>
    <row r="38" spans="1:25" x14ac:dyDescent="0.25">
      <c r="A38">
        <v>195</v>
      </c>
      <c r="B38" s="2">
        <v>42197</v>
      </c>
      <c r="D38" t="s">
        <v>217</v>
      </c>
      <c r="E38" t="s">
        <v>85</v>
      </c>
      <c r="F38" s="20"/>
      <c r="H38" t="s">
        <v>342</v>
      </c>
      <c r="L38" s="10">
        <v>37</v>
      </c>
      <c r="M38" s="4">
        <v>38754</v>
      </c>
      <c r="N38" s="11">
        <v>37</v>
      </c>
      <c r="O38" s="4">
        <v>39119</v>
      </c>
      <c r="P38" s="11">
        <v>37</v>
      </c>
      <c r="Q38" s="4">
        <v>39484</v>
      </c>
      <c r="R38" s="11">
        <v>37</v>
      </c>
      <c r="S38" s="4">
        <v>39850</v>
      </c>
      <c r="T38" s="11">
        <v>37</v>
      </c>
      <c r="U38" s="4">
        <v>40215</v>
      </c>
      <c r="V38" s="11">
        <v>37</v>
      </c>
      <c r="W38" s="4">
        <v>40580</v>
      </c>
      <c r="X38" s="12">
        <v>37</v>
      </c>
      <c r="Y38" s="4">
        <v>40945</v>
      </c>
    </row>
    <row r="39" spans="1:25" x14ac:dyDescent="0.25">
      <c r="A39">
        <v>196</v>
      </c>
      <c r="B39" s="2">
        <v>42198</v>
      </c>
      <c r="D39" t="s">
        <v>218</v>
      </c>
      <c r="E39" t="s">
        <v>86</v>
      </c>
      <c r="F39" s="25"/>
      <c r="H39" t="s">
        <v>301</v>
      </c>
      <c r="L39" s="10">
        <v>38</v>
      </c>
      <c r="M39" s="4">
        <v>38755</v>
      </c>
      <c r="N39" s="11">
        <v>38</v>
      </c>
      <c r="O39" s="4">
        <v>39120</v>
      </c>
      <c r="P39" s="11">
        <v>38</v>
      </c>
      <c r="Q39" s="4">
        <v>39485</v>
      </c>
      <c r="R39" s="11">
        <v>38</v>
      </c>
      <c r="S39" s="4">
        <v>39851</v>
      </c>
      <c r="T39" s="11">
        <v>38</v>
      </c>
      <c r="U39" s="4">
        <v>40216</v>
      </c>
      <c r="V39" s="11">
        <v>38</v>
      </c>
      <c r="W39" s="4">
        <v>40581</v>
      </c>
      <c r="X39" s="12">
        <v>38</v>
      </c>
      <c r="Y39" s="4">
        <v>40946</v>
      </c>
    </row>
    <row r="40" spans="1:25" x14ac:dyDescent="0.25">
      <c r="A40">
        <v>197</v>
      </c>
      <c r="B40" s="2">
        <v>42199</v>
      </c>
      <c r="D40" t="s">
        <v>219</v>
      </c>
      <c r="E40" t="s">
        <v>87</v>
      </c>
      <c r="F40" s="26"/>
      <c r="H40" t="s">
        <v>343</v>
      </c>
      <c r="L40" s="10">
        <v>39</v>
      </c>
      <c r="M40" s="4">
        <v>38756</v>
      </c>
      <c r="N40" s="11">
        <v>39</v>
      </c>
      <c r="O40" s="4">
        <v>39121</v>
      </c>
      <c r="P40" s="11">
        <v>39</v>
      </c>
      <c r="Q40" s="4">
        <v>39486</v>
      </c>
      <c r="R40" s="11">
        <v>39</v>
      </c>
      <c r="S40" s="4">
        <v>39852</v>
      </c>
      <c r="T40" s="11">
        <v>39</v>
      </c>
      <c r="U40" s="4">
        <v>40217</v>
      </c>
      <c r="V40" s="11">
        <v>39</v>
      </c>
      <c r="W40" s="4">
        <v>40582</v>
      </c>
      <c r="X40" s="12">
        <v>39</v>
      </c>
      <c r="Y40" s="4">
        <v>40947</v>
      </c>
    </row>
    <row r="41" spans="1:25" x14ac:dyDescent="0.25">
      <c r="A41">
        <v>198</v>
      </c>
      <c r="B41" s="2">
        <v>42200</v>
      </c>
      <c r="D41" t="s">
        <v>280</v>
      </c>
      <c r="E41" t="s">
        <v>88</v>
      </c>
      <c r="F41" s="21"/>
      <c r="H41" t="s">
        <v>344</v>
      </c>
      <c r="L41" s="10">
        <v>40</v>
      </c>
      <c r="M41" s="4">
        <v>38757</v>
      </c>
      <c r="N41" s="11">
        <v>40</v>
      </c>
      <c r="O41" s="4">
        <v>39122</v>
      </c>
      <c r="P41" s="11">
        <v>40</v>
      </c>
      <c r="Q41" s="4">
        <v>39487</v>
      </c>
      <c r="R41" s="11">
        <v>40</v>
      </c>
      <c r="S41" s="4">
        <v>39853</v>
      </c>
      <c r="T41" s="11">
        <v>40</v>
      </c>
      <c r="U41" s="4">
        <v>40218</v>
      </c>
      <c r="V41" s="11">
        <v>40</v>
      </c>
      <c r="W41" s="4">
        <v>40583</v>
      </c>
      <c r="X41" s="12">
        <v>40</v>
      </c>
      <c r="Y41" s="4">
        <v>40948</v>
      </c>
    </row>
    <row r="42" spans="1:25" x14ac:dyDescent="0.25">
      <c r="A42">
        <v>199</v>
      </c>
      <c r="B42" s="2">
        <v>42201</v>
      </c>
      <c r="E42" t="s">
        <v>89</v>
      </c>
      <c r="F42" s="21"/>
      <c r="H42" t="s">
        <v>345</v>
      </c>
      <c r="L42" s="10">
        <v>41</v>
      </c>
      <c r="M42" s="4">
        <v>38758</v>
      </c>
      <c r="N42" s="11">
        <v>41</v>
      </c>
      <c r="O42" s="4">
        <v>39123</v>
      </c>
      <c r="P42" s="11">
        <v>41</v>
      </c>
      <c r="Q42" s="4">
        <v>39488</v>
      </c>
      <c r="R42" s="11">
        <v>41</v>
      </c>
      <c r="S42" s="4">
        <v>39854</v>
      </c>
      <c r="T42" s="11">
        <v>41</v>
      </c>
      <c r="U42" s="4">
        <v>40219</v>
      </c>
      <c r="V42" s="11">
        <v>41</v>
      </c>
      <c r="W42" s="4">
        <v>40584</v>
      </c>
      <c r="X42" s="12">
        <v>41</v>
      </c>
      <c r="Y42" s="4">
        <v>40949</v>
      </c>
    </row>
    <row r="43" spans="1:25" x14ac:dyDescent="0.25">
      <c r="A43">
        <v>200</v>
      </c>
      <c r="B43" s="2">
        <v>42202</v>
      </c>
      <c r="E43" t="s">
        <v>90</v>
      </c>
      <c r="F43" s="21"/>
      <c r="H43" t="s">
        <v>442</v>
      </c>
      <c r="L43" s="10">
        <v>42</v>
      </c>
      <c r="M43" s="4">
        <v>38759</v>
      </c>
      <c r="N43" s="11">
        <v>42</v>
      </c>
      <c r="O43" s="4">
        <v>39124</v>
      </c>
      <c r="P43" s="11">
        <v>42</v>
      </c>
      <c r="Q43" s="4">
        <v>39489</v>
      </c>
      <c r="R43" s="11">
        <v>42</v>
      </c>
      <c r="S43" s="4">
        <v>39855</v>
      </c>
      <c r="T43" s="11">
        <v>42</v>
      </c>
      <c r="U43" s="4">
        <v>40220</v>
      </c>
      <c r="V43" s="11">
        <v>42</v>
      </c>
      <c r="W43" s="4">
        <v>40585</v>
      </c>
      <c r="X43" s="12">
        <v>42</v>
      </c>
      <c r="Y43" s="4">
        <v>40950</v>
      </c>
    </row>
    <row r="44" spans="1:25" x14ac:dyDescent="0.25">
      <c r="A44">
        <v>201</v>
      </c>
      <c r="B44" s="2">
        <v>42203</v>
      </c>
      <c r="E44" t="s">
        <v>91</v>
      </c>
      <c r="F44" s="31"/>
      <c r="H44" t="s">
        <v>346</v>
      </c>
      <c r="L44" s="10">
        <v>43</v>
      </c>
      <c r="M44" s="4">
        <v>38760</v>
      </c>
      <c r="N44" s="11">
        <v>43</v>
      </c>
      <c r="O44" s="4">
        <v>39125</v>
      </c>
      <c r="P44" s="11">
        <v>43</v>
      </c>
      <c r="Q44" s="4">
        <v>39490</v>
      </c>
      <c r="R44" s="11">
        <v>43</v>
      </c>
      <c r="S44" s="4">
        <v>39856</v>
      </c>
      <c r="T44" s="11">
        <v>43</v>
      </c>
      <c r="U44" s="4">
        <v>40221</v>
      </c>
      <c r="V44" s="11">
        <v>43</v>
      </c>
      <c r="W44" s="4">
        <v>40586</v>
      </c>
      <c r="X44" s="12">
        <v>43</v>
      </c>
      <c r="Y44" s="4">
        <v>40951</v>
      </c>
    </row>
    <row r="45" spans="1:25" x14ac:dyDescent="0.25">
      <c r="A45">
        <v>202</v>
      </c>
      <c r="B45" s="2">
        <v>42204</v>
      </c>
      <c r="E45" t="s">
        <v>92</v>
      </c>
      <c r="H45" t="s">
        <v>347</v>
      </c>
      <c r="L45" s="10">
        <v>44</v>
      </c>
      <c r="M45" s="4">
        <v>38761</v>
      </c>
      <c r="N45" s="11">
        <v>44</v>
      </c>
      <c r="O45" s="4">
        <v>39126</v>
      </c>
      <c r="P45" s="11">
        <v>44</v>
      </c>
      <c r="Q45" s="4">
        <v>39491</v>
      </c>
      <c r="R45" s="11">
        <v>44</v>
      </c>
      <c r="S45" s="4">
        <v>39857</v>
      </c>
      <c r="T45" s="11">
        <v>44</v>
      </c>
      <c r="U45" s="4">
        <v>40222</v>
      </c>
      <c r="V45" s="11">
        <v>44</v>
      </c>
      <c r="W45" s="4">
        <v>40587</v>
      </c>
      <c r="X45" s="12">
        <v>44</v>
      </c>
      <c r="Y45" s="4">
        <v>40952</v>
      </c>
    </row>
    <row r="46" spans="1:25" x14ac:dyDescent="0.25">
      <c r="A46">
        <v>203</v>
      </c>
      <c r="B46" s="2">
        <v>42205</v>
      </c>
      <c r="E46" t="s">
        <v>93</v>
      </c>
      <c r="F46" s="28"/>
      <c r="H46" t="s">
        <v>348</v>
      </c>
      <c r="L46" s="10">
        <v>45</v>
      </c>
      <c r="M46" s="4">
        <v>38762</v>
      </c>
      <c r="N46" s="11">
        <v>45</v>
      </c>
      <c r="O46" s="4">
        <v>39127</v>
      </c>
      <c r="P46" s="11">
        <v>45</v>
      </c>
      <c r="Q46" s="4">
        <v>39492</v>
      </c>
      <c r="R46" s="11">
        <v>45</v>
      </c>
      <c r="S46" s="4">
        <v>39858</v>
      </c>
      <c r="T46" s="11">
        <v>45</v>
      </c>
      <c r="U46" s="4">
        <v>40223</v>
      </c>
      <c r="V46" s="11">
        <v>45</v>
      </c>
      <c r="W46" s="4">
        <v>40588</v>
      </c>
      <c r="X46" s="12">
        <v>45</v>
      </c>
      <c r="Y46" s="4">
        <v>40953</v>
      </c>
    </row>
    <row r="47" spans="1:25" x14ac:dyDescent="0.25">
      <c r="A47">
        <v>204</v>
      </c>
      <c r="B47" s="2">
        <v>42206</v>
      </c>
      <c r="E47" t="s">
        <v>94</v>
      </c>
      <c r="F47" s="28"/>
      <c r="H47" t="s">
        <v>349</v>
      </c>
      <c r="L47" s="10">
        <v>46</v>
      </c>
      <c r="M47" s="4">
        <v>38763</v>
      </c>
      <c r="N47" s="11">
        <v>46</v>
      </c>
      <c r="O47" s="4">
        <v>39128</v>
      </c>
      <c r="P47" s="11">
        <v>46</v>
      </c>
      <c r="Q47" s="4">
        <v>39493</v>
      </c>
      <c r="R47" s="11">
        <v>46</v>
      </c>
      <c r="S47" s="4">
        <v>39859</v>
      </c>
      <c r="T47" s="11">
        <v>46</v>
      </c>
      <c r="U47" s="4">
        <v>40224</v>
      </c>
      <c r="V47" s="11">
        <v>46</v>
      </c>
      <c r="W47" s="4">
        <v>40589</v>
      </c>
      <c r="X47" s="12">
        <v>46</v>
      </c>
      <c r="Y47" s="4">
        <v>40954</v>
      </c>
    </row>
    <row r="48" spans="1:25" x14ac:dyDescent="0.25">
      <c r="A48">
        <v>205</v>
      </c>
      <c r="B48" s="2">
        <v>42207</v>
      </c>
      <c r="E48" t="s">
        <v>95</v>
      </c>
      <c r="F48" s="29"/>
      <c r="H48" t="s">
        <v>350</v>
      </c>
      <c r="L48" s="10">
        <v>47</v>
      </c>
      <c r="M48" s="4">
        <v>38764</v>
      </c>
      <c r="N48" s="11">
        <v>47</v>
      </c>
      <c r="O48" s="4">
        <v>39129</v>
      </c>
      <c r="P48" s="11">
        <v>47</v>
      </c>
      <c r="Q48" s="4">
        <v>39494</v>
      </c>
      <c r="R48" s="11">
        <v>47</v>
      </c>
      <c r="S48" s="4">
        <v>39860</v>
      </c>
      <c r="T48" s="11">
        <v>47</v>
      </c>
      <c r="U48" s="4">
        <v>40225</v>
      </c>
      <c r="V48" s="11">
        <v>47</v>
      </c>
      <c r="W48" s="4">
        <v>40590</v>
      </c>
      <c r="X48" s="12">
        <v>47</v>
      </c>
      <c r="Y48" s="4">
        <v>40955</v>
      </c>
    </row>
    <row r="49" spans="1:25" x14ac:dyDescent="0.25">
      <c r="A49">
        <v>206</v>
      </c>
      <c r="B49" s="2">
        <v>42208</v>
      </c>
      <c r="E49" t="s">
        <v>96</v>
      </c>
      <c r="H49" t="s">
        <v>443</v>
      </c>
      <c r="L49" s="10">
        <v>48</v>
      </c>
      <c r="M49" s="4">
        <v>38765</v>
      </c>
      <c r="N49" s="11">
        <v>48</v>
      </c>
      <c r="O49" s="4">
        <v>39130</v>
      </c>
      <c r="P49" s="11">
        <v>48</v>
      </c>
      <c r="Q49" s="4">
        <v>39495</v>
      </c>
      <c r="R49" s="11">
        <v>48</v>
      </c>
      <c r="S49" s="4">
        <v>39861</v>
      </c>
      <c r="T49" s="11">
        <v>48</v>
      </c>
      <c r="U49" s="4">
        <v>40226</v>
      </c>
      <c r="V49" s="11">
        <v>48</v>
      </c>
      <c r="W49" s="4">
        <v>40591</v>
      </c>
      <c r="X49" s="12">
        <v>48</v>
      </c>
      <c r="Y49" s="4">
        <v>40956</v>
      </c>
    </row>
    <row r="50" spans="1:25" x14ac:dyDescent="0.25">
      <c r="A50">
        <v>207</v>
      </c>
      <c r="B50" s="2">
        <v>42209</v>
      </c>
      <c r="E50" t="s">
        <v>97</v>
      </c>
      <c r="H50" t="s">
        <v>351</v>
      </c>
      <c r="L50" s="10">
        <v>49</v>
      </c>
      <c r="M50" s="4">
        <v>38766</v>
      </c>
      <c r="N50" s="11">
        <v>49</v>
      </c>
      <c r="O50" s="4">
        <v>39131</v>
      </c>
      <c r="P50" s="11">
        <v>49</v>
      </c>
      <c r="Q50" s="4">
        <v>39496</v>
      </c>
      <c r="R50" s="11">
        <v>49</v>
      </c>
      <c r="S50" s="4">
        <v>39862</v>
      </c>
      <c r="T50" s="11">
        <v>49</v>
      </c>
      <c r="U50" s="4">
        <v>40227</v>
      </c>
      <c r="V50" s="11">
        <v>49</v>
      </c>
      <c r="W50" s="4">
        <v>40592</v>
      </c>
      <c r="X50" s="12">
        <v>49</v>
      </c>
      <c r="Y50" s="4">
        <v>40957</v>
      </c>
    </row>
    <row r="51" spans="1:25" x14ac:dyDescent="0.25">
      <c r="A51">
        <v>208</v>
      </c>
      <c r="B51" s="2">
        <v>42210</v>
      </c>
      <c r="E51" t="s">
        <v>98</v>
      </c>
      <c r="H51" t="s">
        <v>352</v>
      </c>
      <c r="L51" s="10">
        <v>50</v>
      </c>
      <c r="M51" s="4">
        <v>38767</v>
      </c>
      <c r="N51" s="11">
        <v>50</v>
      </c>
      <c r="O51" s="4">
        <v>39132</v>
      </c>
      <c r="P51" s="11">
        <v>50</v>
      </c>
      <c r="Q51" s="4">
        <v>39497</v>
      </c>
      <c r="R51" s="11">
        <v>50</v>
      </c>
      <c r="S51" s="4">
        <v>39863</v>
      </c>
      <c r="T51" s="11">
        <v>50</v>
      </c>
      <c r="U51" s="4">
        <v>40228</v>
      </c>
      <c r="V51" s="11">
        <v>50</v>
      </c>
      <c r="W51" s="4">
        <v>40593</v>
      </c>
      <c r="X51" s="12">
        <v>50</v>
      </c>
      <c r="Y51" s="4">
        <v>40958</v>
      </c>
    </row>
    <row r="52" spans="1:25" x14ac:dyDescent="0.25">
      <c r="A52">
        <v>209</v>
      </c>
      <c r="B52" s="2">
        <v>42211</v>
      </c>
      <c r="E52" t="s">
        <v>99</v>
      </c>
      <c r="H52" t="s">
        <v>353</v>
      </c>
      <c r="L52" s="10">
        <v>51</v>
      </c>
      <c r="M52" s="4">
        <v>38768</v>
      </c>
      <c r="N52" s="11">
        <v>51</v>
      </c>
      <c r="O52" s="4">
        <v>39133</v>
      </c>
      <c r="P52" s="11">
        <v>51</v>
      </c>
      <c r="Q52" s="4">
        <v>39498</v>
      </c>
      <c r="R52" s="11">
        <v>51</v>
      </c>
      <c r="S52" s="4">
        <v>39864</v>
      </c>
      <c r="T52" s="11">
        <v>51</v>
      </c>
      <c r="U52" s="4">
        <v>40229</v>
      </c>
      <c r="V52" s="11">
        <v>51</v>
      </c>
      <c r="W52" s="4">
        <v>40594</v>
      </c>
      <c r="X52" s="12">
        <v>51</v>
      </c>
      <c r="Y52" s="4">
        <v>40959</v>
      </c>
    </row>
    <row r="53" spans="1:25" x14ac:dyDescent="0.25">
      <c r="A53">
        <v>210</v>
      </c>
      <c r="B53" s="2">
        <v>42212</v>
      </c>
      <c r="E53" t="s">
        <v>100</v>
      </c>
      <c r="H53" t="s">
        <v>354</v>
      </c>
      <c r="L53" s="10">
        <v>52</v>
      </c>
      <c r="M53" s="4">
        <v>38769</v>
      </c>
      <c r="N53" s="11">
        <v>52</v>
      </c>
      <c r="O53" s="4">
        <v>39134</v>
      </c>
      <c r="P53" s="11">
        <v>52</v>
      </c>
      <c r="Q53" s="4">
        <v>39499</v>
      </c>
      <c r="R53" s="11">
        <v>52</v>
      </c>
      <c r="S53" s="4">
        <v>39865</v>
      </c>
      <c r="T53" s="11">
        <v>52</v>
      </c>
      <c r="U53" s="4">
        <v>40230</v>
      </c>
      <c r="V53" s="11">
        <v>52</v>
      </c>
      <c r="W53" s="4">
        <v>40595</v>
      </c>
      <c r="X53" s="12">
        <v>52</v>
      </c>
      <c r="Y53" s="4">
        <v>40960</v>
      </c>
    </row>
    <row r="54" spans="1:25" x14ac:dyDescent="0.25">
      <c r="A54">
        <v>211</v>
      </c>
      <c r="B54" s="2">
        <v>42213</v>
      </c>
      <c r="E54" t="s">
        <v>101</v>
      </c>
      <c r="H54" t="s">
        <v>444</v>
      </c>
      <c r="L54" s="10">
        <v>53</v>
      </c>
      <c r="M54" s="4">
        <v>38770</v>
      </c>
      <c r="N54" s="11">
        <v>53</v>
      </c>
      <c r="O54" s="4">
        <v>39135</v>
      </c>
      <c r="P54" s="11">
        <v>53</v>
      </c>
      <c r="Q54" s="4">
        <v>39500</v>
      </c>
      <c r="R54" s="11">
        <v>53</v>
      </c>
      <c r="S54" s="4">
        <v>39866</v>
      </c>
      <c r="T54" s="11">
        <v>53</v>
      </c>
      <c r="U54" s="4">
        <v>40231</v>
      </c>
      <c r="V54" s="11">
        <v>53</v>
      </c>
      <c r="W54" s="4">
        <v>40596</v>
      </c>
      <c r="X54" s="12">
        <v>53</v>
      </c>
      <c r="Y54" s="4">
        <v>40961</v>
      </c>
    </row>
    <row r="55" spans="1:25" x14ac:dyDescent="0.25">
      <c r="A55">
        <v>212</v>
      </c>
      <c r="B55" s="2">
        <v>42214</v>
      </c>
      <c r="E55" t="s">
        <v>102</v>
      </c>
      <c r="H55" t="s">
        <v>355</v>
      </c>
      <c r="L55" s="10">
        <v>54</v>
      </c>
      <c r="M55" s="4">
        <v>38771</v>
      </c>
      <c r="N55" s="11">
        <v>54</v>
      </c>
      <c r="O55" s="4">
        <v>39136</v>
      </c>
      <c r="P55" s="11">
        <v>54</v>
      </c>
      <c r="Q55" s="4">
        <v>39501</v>
      </c>
      <c r="R55" s="11">
        <v>54</v>
      </c>
      <c r="S55" s="4">
        <v>39867</v>
      </c>
      <c r="T55" s="11">
        <v>54</v>
      </c>
      <c r="U55" s="4">
        <v>40232</v>
      </c>
      <c r="V55" s="11">
        <v>54</v>
      </c>
      <c r="W55" s="4">
        <v>40597</v>
      </c>
      <c r="X55" s="12">
        <v>54</v>
      </c>
      <c r="Y55" s="4">
        <v>40962</v>
      </c>
    </row>
    <row r="56" spans="1:25" x14ac:dyDescent="0.25">
      <c r="A56">
        <v>213</v>
      </c>
      <c r="B56" s="2">
        <v>42215</v>
      </c>
      <c r="E56" t="s">
        <v>103</v>
      </c>
      <c r="H56" t="s">
        <v>356</v>
      </c>
      <c r="L56" s="10">
        <v>55</v>
      </c>
      <c r="M56" s="4">
        <v>38772</v>
      </c>
      <c r="N56" s="11">
        <v>55</v>
      </c>
      <c r="O56" s="4">
        <v>39137</v>
      </c>
      <c r="P56" s="11">
        <v>55</v>
      </c>
      <c r="Q56" s="4">
        <v>39502</v>
      </c>
      <c r="R56" s="11">
        <v>55</v>
      </c>
      <c r="S56" s="4">
        <v>39868</v>
      </c>
      <c r="T56" s="11">
        <v>55</v>
      </c>
      <c r="U56" s="4">
        <v>40233</v>
      </c>
      <c r="V56" s="11">
        <v>55</v>
      </c>
      <c r="W56" s="4">
        <v>40598</v>
      </c>
      <c r="X56" s="12">
        <v>55</v>
      </c>
      <c r="Y56" s="4">
        <v>40963</v>
      </c>
    </row>
    <row r="57" spans="1:25" x14ac:dyDescent="0.25">
      <c r="A57">
        <v>214</v>
      </c>
      <c r="B57" s="2">
        <v>42216</v>
      </c>
      <c r="E57" t="s">
        <v>104</v>
      </c>
      <c r="H57" t="s">
        <v>357</v>
      </c>
      <c r="L57" s="10">
        <v>56</v>
      </c>
      <c r="M57" s="4">
        <v>38773</v>
      </c>
      <c r="N57" s="11">
        <v>56</v>
      </c>
      <c r="O57" s="4">
        <v>39138</v>
      </c>
      <c r="P57" s="11">
        <v>56</v>
      </c>
      <c r="Q57" s="4">
        <v>39503</v>
      </c>
      <c r="R57" s="11">
        <v>56</v>
      </c>
      <c r="S57" s="4">
        <v>39869</v>
      </c>
      <c r="T57" s="11">
        <v>56</v>
      </c>
      <c r="U57" s="4">
        <v>40234</v>
      </c>
      <c r="V57" s="11">
        <v>56</v>
      </c>
      <c r="W57" s="4">
        <v>40599</v>
      </c>
      <c r="X57" s="12">
        <v>56</v>
      </c>
      <c r="Y57" s="4">
        <v>40964</v>
      </c>
    </row>
    <row r="58" spans="1:25" x14ac:dyDescent="0.25">
      <c r="A58">
        <v>215</v>
      </c>
      <c r="B58" s="2">
        <v>42217</v>
      </c>
      <c r="E58" t="s">
        <v>105</v>
      </c>
      <c r="H58" t="s">
        <v>358</v>
      </c>
      <c r="L58" s="10">
        <v>57</v>
      </c>
      <c r="M58" s="4">
        <v>38774</v>
      </c>
      <c r="N58" s="11">
        <v>57</v>
      </c>
      <c r="O58" s="4">
        <v>39139</v>
      </c>
      <c r="P58" s="11">
        <v>57</v>
      </c>
      <c r="Q58" s="4">
        <v>39504</v>
      </c>
      <c r="R58" s="11">
        <v>57</v>
      </c>
      <c r="S58" s="4">
        <v>39870</v>
      </c>
      <c r="T58" s="11">
        <v>57</v>
      </c>
      <c r="U58" s="4">
        <v>40235</v>
      </c>
      <c r="V58" s="11">
        <v>57</v>
      </c>
      <c r="W58" s="4">
        <v>40600</v>
      </c>
      <c r="X58" s="12">
        <v>57</v>
      </c>
      <c r="Y58" s="4">
        <v>40965</v>
      </c>
    </row>
    <row r="59" spans="1:25" x14ac:dyDescent="0.25">
      <c r="A59">
        <v>216</v>
      </c>
      <c r="B59" s="2">
        <v>42218</v>
      </c>
      <c r="E59" t="s">
        <v>106</v>
      </c>
      <c r="H59" t="s">
        <v>359</v>
      </c>
      <c r="L59" s="10">
        <v>58</v>
      </c>
      <c r="M59" s="4">
        <v>38775</v>
      </c>
      <c r="N59" s="11">
        <v>58</v>
      </c>
      <c r="O59" s="4">
        <v>39140</v>
      </c>
      <c r="P59" s="11">
        <v>58</v>
      </c>
      <c r="Q59" s="4">
        <v>39505</v>
      </c>
      <c r="R59" s="11">
        <v>58</v>
      </c>
      <c r="S59" s="4">
        <v>39871</v>
      </c>
      <c r="T59" s="11">
        <v>58</v>
      </c>
      <c r="U59" s="4">
        <v>40236</v>
      </c>
      <c r="V59" s="11">
        <v>58</v>
      </c>
      <c r="W59" s="4">
        <v>40601</v>
      </c>
      <c r="X59" s="12">
        <v>58</v>
      </c>
      <c r="Y59" s="4">
        <v>40966</v>
      </c>
    </row>
    <row r="60" spans="1:25" x14ac:dyDescent="0.25">
      <c r="A60">
        <v>217</v>
      </c>
      <c r="B60" s="2">
        <v>42219</v>
      </c>
      <c r="E60" t="s">
        <v>107</v>
      </c>
      <c r="H60" t="s">
        <v>360</v>
      </c>
      <c r="L60" s="10">
        <v>59</v>
      </c>
      <c r="M60" s="4">
        <v>38776</v>
      </c>
      <c r="N60" s="11">
        <v>59</v>
      </c>
      <c r="O60" s="4">
        <v>39141</v>
      </c>
      <c r="P60" s="11">
        <v>59</v>
      </c>
      <c r="Q60" s="4">
        <v>39506</v>
      </c>
      <c r="R60" s="11">
        <v>59</v>
      </c>
      <c r="S60" s="4">
        <v>39872</v>
      </c>
      <c r="T60" s="11">
        <v>59</v>
      </c>
      <c r="U60" s="4">
        <v>40237</v>
      </c>
      <c r="V60" s="11">
        <v>59</v>
      </c>
      <c r="W60" s="4">
        <v>40602</v>
      </c>
      <c r="X60" s="12">
        <v>59</v>
      </c>
      <c r="Y60" s="4">
        <v>40967</v>
      </c>
    </row>
    <row r="61" spans="1:25" x14ac:dyDescent="0.25">
      <c r="A61">
        <v>218</v>
      </c>
      <c r="B61" s="2">
        <v>42220</v>
      </c>
      <c r="E61" t="s">
        <v>108</v>
      </c>
      <c r="H61" t="s">
        <v>361</v>
      </c>
      <c r="L61" s="10">
        <v>60</v>
      </c>
      <c r="M61" s="4">
        <v>38777</v>
      </c>
      <c r="N61" s="11">
        <v>60</v>
      </c>
      <c r="O61" s="4">
        <v>39142</v>
      </c>
      <c r="P61" s="11">
        <v>60</v>
      </c>
      <c r="Q61" s="4">
        <v>39507</v>
      </c>
      <c r="R61" s="11">
        <v>60</v>
      </c>
      <c r="S61" s="4">
        <v>39873</v>
      </c>
      <c r="T61" s="11">
        <v>60</v>
      </c>
      <c r="U61" s="4">
        <v>40238</v>
      </c>
      <c r="V61" s="11">
        <v>60</v>
      </c>
      <c r="W61" s="4">
        <v>40603</v>
      </c>
      <c r="X61" s="12">
        <v>60</v>
      </c>
      <c r="Y61" s="4">
        <v>40968</v>
      </c>
    </row>
    <row r="62" spans="1:25" x14ac:dyDescent="0.25">
      <c r="A62">
        <v>219</v>
      </c>
      <c r="B62" s="2">
        <v>42221</v>
      </c>
      <c r="E62" t="s">
        <v>109</v>
      </c>
      <c r="H62" t="s">
        <v>362</v>
      </c>
      <c r="L62" s="10">
        <v>61</v>
      </c>
      <c r="M62" s="4">
        <v>38778</v>
      </c>
      <c r="N62" s="11">
        <v>61</v>
      </c>
      <c r="O62" s="4">
        <v>39143</v>
      </c>
      <c r="P62" s="11">
        <v>61</v>
      </c>
      <c r="Q62" s="4">
        <v>39508</v>
      </c>
      <c r="R62" s="11">
        <v>61</v>
      </c>
      <c r="S62" s="4">
        <v>39874</v>
      </c>
      <c r="T62" s="11">
        <v>61</v>
      </c>
      <c r="U62" s="4">
        <v>40239</v>
      </c>
      <c r="V62" s="11">
        <v>61</v>
      </c>
      <c r="W62" s="4">
        <v>40604</v>
      </c>
      <c r="X62" s="12">
        <v>61</v>
      </c>
      <c r="Y62" s="4">
        <v>40969</v>
      </c>
    </row>
    <row r="63" spans="1:25" x14ac:dyDescent="0.25">
      <c r="A63">
        <v>220</v>
      </c>
      <c r="B63" s="2">
        <v>42222</v>
      </c>
      <c r="E63" t="s">
        <v>110</v>
      </c>
      <c r="H63" t="s">
        <v>363</v>
      </c>
      <c r="L63" s="10">
        <v>62</v>
      </c>
      <c r="M63" s="4">
        <v>38779</v>
      </c>
      <c r="N63" s="11">
        <v>62</v>
      </c>
      <c r="O63" s="4">
        <v>39144</v>
      </c>
      <c r="P63" s="11">
        <v>62</v>
      </c>
      <c r="Q63" s="4">
        <v>39509</v>
      </c>
      <c r="R63" s="11">
        <v>62</v>
      </c>
      <c r="S63" s="4">
        <v>39875</v>
      </c>
      <c r="T63" s="11">
        <v>62</v>
      </c>
      <c r="U63" s="4">
        <v>40240</v>
      </c>
      <c r="V63" s="11">
        <v>62</v>
      </c>
      <c r="W63" s="4">
        <v>40605</v>
      </c>
      <c r="X63" s="12">
        <v>62</v>
      </c>
      <c r="Y63" s="4">
        <v>40970</v>
      </c>
    </row>
    <row r="64" spans="1:25" x14ac:dyDescent="0.25">
      <c r="A64">
        <v>221</v>
      </c>
      <c r="B64" s="2">
        <v>42223</v>
      </c>
      <c r="E64" t="s">
        <v>111</v>
      </c>
      <c r="H64" t="s">
        <v>364</v>
      </c>
      <c r="L64" s="10">
        <v>63</v>
      </c>
      <c r="M64" s="4">
        <v>38780</v>
      </c>
      <c r="N64" s="11">
        <v>63</v>
      </c>
      <c r="O64" s="4">
        <v>39145</v>
      </c>
      <c r="P64" s="11">
        <v>63</v>
      </c>
      <c r="Q64" s="4">
        <v>39510</v>
      </c>
      <c r="R64" s="11">
        <v>63</v>
      </c>
      <c r="S64" s="4">
        <v>39876</v>
      </c>
      <c r="T64" s="11">
        <v>63</v>
      </c>
      <c r="U64" s="4">
        <v>40241</v>
      </c>
      <c r="V64" s="11">
        <v>63</v>
      </c>
      <c r="W64" s="4">
        <v>40606</v>
      </c>
      <c r="X64" s="12">
        <v>63</v>
      </c>
      <c r="Y64" s="4">
        <v>40971</v>
      </c>
    </row>
    <row r="65" spans="1:25" x14ac:dyDescent="0.25">
      <c r="A65">
        <v>222</v>
      </c>
      <c r="B65" s="2">
        <v>42224</v>
      </c>
      <c r="E65" t="s">
        <v>112</v>
      </c>
      <c r="H65" t="s">
        <v>365</v>
      </c>
      <c r="L65" s="10">
        <v>64</v>
      </c>
      <c r="M65" s="4">
        <v>38781</v>
      </c>
      <c r="N65" s="11">
        <v>64</v>
      </c>
      <c r="O65" s="4">
        <v>39146</v>
      </c>
      <c r="P65" s="11">
        <v>64</v>
      </c>
      <c r="Q65" s="4">
        <v>39511</v>
      </c>
      <c r="R65" s="11">
        <v>64</v>
      </c>
      <c r="S65" s="4">
        <v>39877</v>
      </c>
      <c r="T65" s="11">
        <v>64</v>
      </c>
      <c r="U65" s="4">
        <v>40242</v>
      </c>
      <c r="V65" s="11">
        <v>64</v>
      </c>
      <c r="W65" s="4">
        <v>40607</v>
      </c>
      <c r="X65" s="12">
        <v>64</v>
      </c>
      <c r="Y65" s="4">
        <v>40972</v>
      </c>
    </row>
    <row r="66" spans="1:25" x14ac:dyDescent="0.25">
      <c r="A66">
        <v>223</v>
      </c>
      <c r="B66" s="2">
        <v>42225</v>
      </c>
      <c r="E66" t="s">
        <v>113</v>
      </c>
      <c r="H66" t="s">
        <v>366</v>
      </c>
      <c r="L66" s="10">
        <v>65</v>
      </c>
      <c r="M66" s="4">
        <v>38782</v>
      </c>
      <c r="N66" s="11">
        <v>65</v>
      </c>
      <c r="O66" s="4">
        <v>39147</v>
      </c>
      <c r="P66" s="11">
        <v>65</v>
      </c>
      <c r="Q66" s="4">
        <v>39512</v>
      </c>
      <c r="R66" s="11">
        <v>65</v>
      </c>
      <c r="S66" s="4">
        <v>39878</v>
      </c>
      <c r="T66" s="11">
        <v>65</v>
      </c>
      <c r="U66" s="4">
        <v>40243</v>
      </c>
      <c r="V66" s="11">
        <v>65</v>
      </c>
      <c r="W66" s="4">
        <v>40608</v>
      </c>
      <c r="X66" s="12">
        <v>65</v>
      </c>
      <c r="Y66" s="4">
        <v>40973</v>
      </c>
    </row>
    <row r="67" spans="1:25" x14ac:dyDescent="0.25">
      <c r="A67">
        <v>224</v>
      </c>
      <c r="B67" s="2">
        <v>42226</v>
      </c>
      <c r="E67" t="s">
        <v>114</v>
      </c>
      <c r="H67" t="s">
        <v>367</v>
      </c>
      <c r="L67" s="10">
        <v>66</v>
      </c>
      <c r="M67" s="4">
        <v>38783</v>
      </c>
      <c r="N67" s="11">
        <v>66</v>
      </c>
      <c r="O67" s="4">
        <v>39148</v>
      </c>
      <c r="P67" s="11">
        <v>66</v>
      </c>
      <c r="Q67" s="4">
        <v>39513</v>
      </c>
      <c r="R67" s="11">
        <v>66</v>
      </c>
      <c r="S67" s="4">
        <v>39879</v>
      </c>
      <c r="T67" s="11">
        <v>66</v>
      </c>
      <c r="U67" s="4">
        <v>40244</v>
      </c>
      <c r="V67" s="11">
        <v>66</v>
      </c>
      <c r="W67" s="4">
        <v>40609</v>
      </c>
      <c r="X67" s="12">
        <v>66</v>
      </c>
      <c r="Y67" s="4">
        <v>40974</v>
      </c>
    </row>
    <row r="68" spans="1:25" x14ac:dyDescent="0.25">
      <c r="A68">
        <v>225</v>
      </c>
      <c r="B68" s="2">
        <v>42227</v>
      </c>
      <c r="E68" t="s">
        <v>115</v>
      </c>
      <c r="H68" t="s">
        <v>304</v>
      </c>
      <c r="L68" s="10">
        <v>67</v>
      </c>
      <c r="M68" s="4">
        <v>38784</v>
      </c>
      <c r="N68" s="11">
        <v>67</v>
      </c>
      <c r="O68" s="4">
        <v>39149</v>
      </c>
      <c r="P68" s="11">
        <v>67</v>
      </c>
      <c r="Q68" s="4">
        <v>39514</v>
      </c>
      <c r="R68" s="11">
        <v>67</v>
      </c>
      <c r="S68" s="4">
        <v>39880</v>
      </c>
      <c r="T68" s="11">
        <v>67</v>
      </c>
      <c r="U68" s="4">
        <v>40245</v>
      </c>
      <c r="V68" s="11">
        <v>67</v>
      </c>
      <c r="W68" s="4">
        <v>40610</v>
      </c>
      <c r="X68" s="12">
        <v>67</v>
      </c>
      <c r="Y68" s="4">
        <v>40975</v>
      </c>
    </row>
    <row r="69" spans="1:25" x14ac:dyDescent="0.25">
      <c r="A69">
        <v>226</v>
      </c>
      <c r="B69" s="2">
        <v>42228</v>
      </c>
      <c r="E69" t="s">
        <v>116</v>
      </c>
      <c r="H69" t="s">
        <v>368</v>
      </c>
      <c r="L69" s="10">
        <v>68</v>
      </c>
      <c r="M69" s="4">
        <v>38785</v>
      </c>
      <c r="N69" s="11">
        <v>68</v>
      </c>
      <c r="O69" s="4">
        <v>39150</v>
      </c>
      <c r="P69" s="11">
        <v>68</v>
      </c>
      <c r="Q69" s="4">
        <v>39515</v>
      </c>
      <c r="R69" s="11">
        <v>68</v>
      </c>
      <c r="S69" s="4">
        <v>39881</v>
      </c>
      <c r="T69" s="11">
        <v>68</v>
      </c>
      <c r="U69" s="4">
        <v>40246</v>
      </c>
      <c r="V69" s="11">
        <v>68</v>
      </c>
      <c r="W69" s="4">
        <v>40611</v>
      </c>
      <c r="X69" s="12">
        <v>68</v>
      </c>
      <c r="Y69" s="4">
        <v>40976</v>
      </c>
    </row>
    <row r="70" spans="1:25" x14ac:dyDescent="0.25">
      <c r="A70">
        <v>227</v>
      </c>
      <c r="B70" s="2">
        <v>42229</v>
      </c>
      <c r="E70" t="s">
        <v>117</v>
      </c>
      <c r="H70" t="s">
        <v>369</v>
      </c>
      <c r="L70" s="10">
        <v>69</v>
      </c>
      <c r="M70" s="4">
        <v>38786</v>
      </c>
      <c r="N70" s="11">
        <v>69</v>
      </c>
      <c r="O70" s="4">
        <v>39151</v>
      </c>
      <c r="P70" s="11">
        <v>69</v>
      </c>
      <c r="Q70" s="4">
        <v>39516</v>
      </c>
      <c r="R70" s="11">
        <v>69</v>
      </c>
      <c r="S70" s="4">
        <v>39882</v>
      </c>
      <c r="T70" s="11">
        <v>69</v>
      </c>
      <c r="U70" s="4">
        <v>40247</v>
      </c>
      <c r="V70" s="11">
        <v>69</v>
      </c>
      <c r="W70" s="4">
        <v>40612</v>
      </c>
      <c r="X70" s="12">
        <v>69</v>
      </c>
      <c r="Y70" s="4">
        <v>40977</v>
      </c>
    </row>
    <row r="71" spans="1:25" x14ac:dyDescent="0.25">
      <c r="A71">
        <v>228</v>
      </c>
      <c r="B71" s="2">
        <v>42230</v>
      </c>
      <c r="E71" t="s">
        <v>118</v>
      </c>
      <c r="H71" t="s">
        <v>370</v>
      </c>
      <c r="L71" s="10">
        <v>70</v>
      </c>
      <c r="M71" s="4">
        <v>38787</v>
      </c>
      <c r="N71" s="11">
        <v>70</v>
      </c>
      <c r="O71" s="4">
        <v>39152</v>
      </c>
      <c r="P71" s="11">
        <v>70</v>
      </c>
      <c r="Q71" s="4">
        <v>39517</v>
      </c>
      <c r="R71" s="11">
        <v>70</v>
      </c>
      <c r="S71" s="4">
        <v>39883</v>
      </c>
      <c r="T71" s="11">
        <v>70</v>
      </c>
      <c r="U71" s="4">
        <v>40248</v>
      </c>
      <c r="V71" s="11">
        <v>70</v>
      </c>
      <c r="W71" s="4">
        <v>40613</v>
      </c>
      <c r="X71" s="12">
        <v>70</v>
      </c>
      <c r="Y71" s="4">
        <v>40978</v>
      </c>
    </row>
    <row r="72" spans="1:25" x14ac:dyDescent="0.25">
      <c r="A72">
        <v>229</v>
      </c>
      <c r="B72" s="2">
        <v>42231</v>
      </c>
      <c r="E72" t="s">
        <v>119</v>
      </c>
      <c r="H72" t="s">
        <v>371</v>
      </c>
      <c r="L72" s="10">
        <v>71</v>
      </c>
      <c r="M72" s="4">
        <v>38788</v>
      </c>
      <c r="N72" s="11">
        <v>71</v>
      </c>
      <c r="O72" s="4">
        <v>39153</v>
      </c>
      <c r="P72" s="11">
        <v>71</v>
      </c>
      <c r="Q72" s="4">
        <v>39518</v>
      </c>
      <c r="R72" s="11">
        <v>71</v>
      </c>
      <c r="S72" s="4">
        <v>39884</v>
      </c>
      <c r="T72" s="11">
        <v>71</v>
      </c>
      <c r="U72" s="4">
        <v>40249</v>
      </c>
      <c r="V72" s="11">
        <v>71</v>
      </c>
      <c r="W72" s="4">
        <v>40614</v>
      </c>
      <c r="X72" s="12">
        <v>71</v>
      </c>
      <c r="Y72" s="4">
        <v>40979</v>
      </c>
    </row>
    <row r="73" spans="1:25" x14ac:dyDescent="0.25">
      <c r="A73">
        <v>230</v>
      </c>
      <c r="B73" s="2">
        <v>42232</v>
      </c>
      <c r="E73" t="s">
        <v>120</v>
      </c>
      <c r="H73" t="s">
        <v>372</v>
      </c>
      <c r="L73" s="10">
        <v>72</v>
      </c>
      <c r="M73" s="4">
        <v>38789</v>
      </c>
      <c r="N73" s="11">
        <v>72</v>
      </c>
      <c r="O73" s="4">
        <v>39154</v>
      </c>
      <c r="P73" s="11">
        <v>72</v>
      </c>
      <c r="Q73" s="4">
        <v>39519</v>
      </c>
      <c r="R73" s="11">
        <v>72</v>
      </c>
      <c r="S73" s="4">
        <v>39885</v>
      </c>
      <c r="T73" s="11">
        <v>72</v>
      </c>
      <c r="U73" s="4">
        <v>40250</v>
      </c>
      <c r="V73" s="11">
        <v>72</v>
      </c>
      <c r="W73" s="4">
        <v>40615</v>
      </c>
      <c r="X73" s="12">
        <v>72</v>
      </c>
      <c r="Y73" s="4">
        <v>40980</v>
      </c>
    </row>
    <row r="74" spans="1:25" x14ac:dyDescent="0.25">
      <c r="E74" t="s">
        <v>121</v>
      </c>
      <c r="H74" t="s">
        <v>373</v>
      </c>
      <c r="L74" s="10">
        <v>73</v>
      </c>
      <c r="M74" s="4">
        <v>38790</v>
      </c>
      <c r="N74" s="11">
        <v>73</v>
      </c>
      <c r="O74" s="4">
        <v>39155</v>
      </c>
      <c r="P74" s="11">
        <v>73</v>
      </c>
      <c r="Q74" s="4">
        <v>39520</v>
      </c>
      <c r="R74" s="11">
        <v>73</v>
      </c>
      <c r="S74" s="4">
        <v>39886</v>
      </c>
      <c r="T74" s="11">
        <v>73</v>
      </c>
      <c r="U74" s="4">
        <v>40251</v>
      </c>
      <c r="V74" s="11">
        <v>73</v>
      </c>
      <c r="W74" s="4">
        <v>40616</v>
      </c>
      <c r="X74" s="12">
        <v>73</v>
      </c>
      <c r="Y74" s="4">
        <v>40981</v>
      </c>
    </row>
    <row r="75" spans="1:25" x14ac:dyDescent="0.25">
      <c r="E75" t="s">
        <v>122</v>
      </c>
      <c r="H75" t="s">
        <v>374</v>
      </c>
      <c r="L75" s="10">
        <v>74</v>
      </c>
      <c r="M75" s="4">
        <v>38791</v>
      </c>
      <c r="N75" s="11">
        <v>74</v>
      </c>
      <c r="O75" s="4">
        <v>39156</v>
      </c>
      <c r="P75" s="11">
        <v>74</v>
      </c>
      <c r="Q75" s="4">
        <v>39521</v>
      </c>
      <c r="R75" s="11">
        <v>74</v>
      </c>
      <c r="S75" s="4">
        <v>39887</v>
      </c>
      <c r="T75" s="11">
        <v>74</v>
      </c>
      <c r="U75" s="4">
        <v>40252</v>
      </c>
      <c r="V75" s="11">
        <v>74</v>
      </c>
      <c r="W75" s="4">
        <v>40617</v>
      </c>
      <c r="X75" s="12">
        <v>74</v>
      </c>
      <c r="Y75" s="4">
        <v>40982</v>
      </c>
    </row>
    <row r="76" spans="1:25" x14ac:dyDescent="0.25">
      <c r="E76" t="s">
        <v>123</v>
      </c>
      <c r="H76" t="s">
        <v>306</v>
      </c>
      <c r="L76" s="10">
        <v>75</v>
      </c>
      <c r="M76" s="4">
        <v>38792</v>
      </c>
      <c r="N76" s="11">
        <v>75</v>
      </c>
      <c r="O76" s="4">
        <v>39157</v>
      </c>
      <c r="P76" s="11">
        <v>75</v>
      </c>
      <c r="Q76" s="4">
        <v>39522</v>
      </c>
      <c r="R76" s="11">
        <v>75</v>
      </c>
      <c r="S76" s="4">
        <v>39888</v>
      </c>
      <c r="T76" s="11">
        <v>75</v>
      </c>
      <c r="U76" s="4">
        <v>40253</v>
      </c>
      <c r="V76" s="11">
        <v>75</v>
      </c>
      <c r="W76" s="4">
        <v>40618</v>
      </c>
      <c r="X76" s="12">
        <v>75</v>
      </c>
      <c r="Y76" s="4">
        <v>40983</v>
      </c>
    </row>
    <row r="77" spans="1:25" x14ac:dyDescent="0.25">
      <c r="E77" t="s">
        <v>124</v>
      </c>
      <c r="H77" t="s">
        <v>375</v>
      </c>
      <c r="L77" s="10">
        <v>76</v>
      </c>
      <c r="M77" s="4">
        <v>38793</v>
      </c>
      <c r="N77" s="11">
        <v>76</v>
      </c>
      <c r="O77" s="4">
        <v>39158</v>
      </c>
      <c r="P77" s="11">
        <v>76</v>
      </c>
      <c r="Q77" s="4">
        <v>39523</v>
      </c>
      <c r="R77" s="11">
        <v>76</v>
      </c>
      <c r="S77" s="4">
        <v>39889</v>
      </c>
      <c r="T77" s="11">
        <v>76</v>
      </c>
      <c r="U77" s="4">
        <v>40254</v>
      </c>
      <c r="V77" s="11">
        <v>76</v>
      </c>
      <c r="W77" s="4">
        <v>40619</v>
      </c>
      <c r="X77" s="12">
        <v>76</v>
      </c>
      <c r="Y77" s="4">
        <v>40984</v>
      </c>
    </row>
    <row r="78" spans="1:25" x14ac:dyDescent="0.25">
      <c r="E78" t="s">
        <v>125</v>
      </c>
      <c r="H78" t="s">
        <v>376</v>
      </c>
      <c r="L78" s="10">
        <v>77</v>
      </c>
      <c r="M78" s="4">
        <v>38794</v>
      </c>
      <c r="N78" s="11">
        <v>77</v>
      </c>
      <c r="O78" s="4">
        <v>39159</v>
      </c>
      <c r="P78" s="11">
        <v>77</v>
      </c>
      <c r="Q78" s="4">
        <v>39524</v>
      </c>
      <c r="R78" s="11">
        <v>77</v>
      </c>
      <c r="S78" s="4">
        <v>39890</v>
      </c>
      <c r="T78" s="11">
        <v>77</v>
      </c>
      <c r="U78" s="4">
        <v>40255</v>
      </c>
      <c r="V78" s="11">
        <v>77</v>
      </c>
      <c r="W78" s="4">
        <v>40620</v>
      </c>
      <c r="X78" s="12">
        <v>77</v>
      </c>
      <c r="Y78" s="4">
        <v>40985</v>
      </c>
    </row>
    <row r="79" spans="1:25" x14ac:dyDescent="0.25">
      <c r="E79" t="s">
        <v>126</v>
      </c>
      <c r="H79" t="s">
        <v>377</v>
      </c>
      <c r="L79" s="10">
        <v>78</v>
      </c>
      <c r="M79" s="4">
        <v>38795</v>
      </c>
      <c r="N79" s="11">
        <v>78</v>
      </c>
      <c r="O79" s="4">
        <v>39160</v>
      </c>
      <c r="P79" s="11">
        <v>78</v>
      </c>
      <c r="Q79" s="4">
        <v>39525</v>
      </c>
      <c r="R79" s="11">
        <v>78</v>
      </c>
      <c r="S79" s="4">
        <v>39891</v>
      </c>
      <c r="T79" s="11">
        <v>78</v>
      </c>
      <c r="U79" s="4">
        <v>40256</v>
      </c>
      <c r="V79" s="11">
        <v>78</v>
      </c>
      <c r="W79" s="4">
        <v>40621</v>
      </c>
      <c r="X79" s="12">
        <v>78</v>
      </c>
      <c r="Y79" s="4">
        <v>40986</v>
      </c>
    </row>
    <row r="80" spans="1:25" x14ac:dyDescent="0.25">
      <c r="E80" t="s">
        <v>127</v>
      </c>
      <c r="H80" t="s">
        <v>378</v>
      </c>
      <c r="L80" s="10">
        <v>79</v>
      </c>
      <c r="M80" s="4">
        <v>38796</v>
      </c>
      <c r="N80" s="11">
        <v>79</v>
      </c>
      <c r="O80" s="4">
        <v>39161</v>
      </c>
      <c r="P80" s="11">
        <v>79</v>
      </c>
      <c r="Q80" s="4">
        <v>39526</v>
      </c>
      <c r="R80" s="11">
        <v>79</v>
      </c>
      <c r="S80" s="4">
        <v>39892</v>
      </c>
      <c r="T80" s="11">
        <v>79</v>
      </c>
      <c r="U80" s="4">
        <v>40257</v>
      </c>
      <c r="V80" s="11">
        <v>79</v>
      </c>
      <c r="W80" s="4">
        <v>40622</v>
      </c>
      <c r="X80" s="12">
        <v>79</v>
      </c>
      <c r="Y80" s="4">
        <v>40987</v>
      </c>
    </row>
    <row r="81" spans="5:25" x14ac:dyDescent="0.25">
      <c r="E81" t="s">
        <v>128</v>
      </c>
      <c r="H81" t="s">
        <v>379</v>
      </c>
      <c r="L81" s="10">
        <v>80</v>
      </c>
      <c r="M81" s="4">
        <v>38797</v>
      </c>
      <c r="N81" s="11">
        <v>80</v>
      </c>
      <c r="O81" s="4">
        <v>39162</v>
      </c>
      <c r="P81" s="11">
        <v>80</v>
      </c>
      <c r="Q81" s="4">
        <v>39527</v>
      </c>
      <c r="R81" s="11">
        <v>80</v>
      </c>
      <c r="S81" s="4">
        <v>39893</v>
      </c>
      <c r="T81" s="11">
        <v>80</v>
      </c>
      <c r="U81" s="4">
        <v>40258</v>
      </c>
      <c r="V81" s="11">
        <v>80</v>
      </c>
      <c r="W81" s="4">
        <v>40623</v>
      </c>
      <c r="X81" s="12">
        <v>80</v>
      </c>
      <c r="Y81" s="4">
        <v>40988</v>
      </c>
    </row>
    <row r="82" spans="5:25" x14ac:dyDescent="0.25">
      <c r="E82" t="s">
        <v>129</v>
      </c>
      <c r="H82" t="s">
        <v>380</v>
      </c>
      <c r="L82" s="10">
        <v>81</v>
      </c>
      <c r="M82" s="4">
        <v>38798</v>
      </c>
      <c r="N82" s="11">
        <v>81</v>
      </c>
      <c r="O82" s="4">
        <v>39163</v>
      </c>
      <c r="P82" s="11">
        <v>81</v>
      </c>
      <c r="Q82" s="4">
        <v>39528</v>
      </c>
      <c r="R82" s="11">
        <v>81</v>
      </c>
      <c r="S82" s="4">
        <v>39894</v>
      </c>
      <c r="T82" s="11">
        <v>81</v>
      </c>
      <c r="U82" s="4">
        <v>40259</v>
      </c>
      <c r="V82" s="11">
        <v>81</v>
      </c>
      <c r="W82" s="4">
        <v>40624</v>
      </c>
      <c r="X82" s="12">
        <v>81</v>
      </c>
      <c r="Y82" s="4">
        <v>40989</v>
      </c>
    </row>
    <row r="83" spans="5:25" x14ac:dyDescent="0.25">
      <c r="E83" t="s">
        <v>130</v>
      </c>
      <c r="H83" t="s">
        <v>381</v>
      </c>
      <c r="L83" s="10">
        <v>82</v>
      </c>
      <c r="M83" s="4">
        <v>38799</v>
      </c>
      <c r="N83" s="11">
        <v>82</v>
      </c>
      <c r="O83" s="4">
        <v>39164</v>
      </c>
      <c r="P83" s="11">
        <v>82</v>
      </c>
      <c r="Q83" s="4">
        <v>39529</v>
      </c>
      <c r="R83" s="11">
        <v>82</v>
      </c>
      <c r="S83" s="4">
        <v>39895</v>
      </c>
      <c r="T83" s="11">
        <v>82</v>
      </c>
      <c r="U83" s="4">
        <v>40260</v>
      </c>
      <c r="V83" s="11">
        <v>82</v>
      </c>
      <c r="W83" s="4">
        <v>40625</v>
      </c>
      <c r="X83" s="12">
        <v>82</v>
      </c>
      <c r="Y83" s="4">
        <v>40990</v>
      </c>
    </row>
    <row r="84" spans="5:25" x14ac:dyDescent="0.25">
      <c r="E84" t="s">
        <v>131</v>
      </c>
      <c r="H84" t="s">
        <v>382</v>
      </c>
      <c r="L84" s="10">
        <v>83</v>
      </c>
      <c r="M84" s="4">
        <v>38800</v>
      </c>
      <c r="N84" s="11">
        <v>83</v>
      </c>
      <c r="O84" s="4">
        <v>39165</v>
      </c>
      <c r="P84" s="11">
        <v>83</v>
      </c>
      <c r="Q84" s="4">
        <v>39530</v>
      </c>
      <c r="R84" s="11">
        <v>83</v>
      </c>
      <c r="S84" s="4">
        <v>39896</v>
      </c>
      <c r="T84" s="11">
        <v>83</v>
      </c>
      <c r="U84" s="4">
        <v>40261</v>
      </c>
      <c r="V84" s="11">
        <v>83</v>
      </c>
      <c r="W84" s="4">
        <v>40626</v>
      </c>
      <c r="X84" s="12">
        <v>83</v>
      </c>
      <c r="Y84" s="4">
        <v>40991</v>
      </c>
    </row>
    <row r="85" spans="5:25" x14ac:dyDescent="0.25">
      <c r="E85" t="s">
        <v>132</v>
      </c>
      <c r="H85" t="s">
        <v>383</v>
      </c>
      <c r="L85" s="10">
        <v>84</v>
      </c>
      <c r="M85" s="4">
        <v>38801</v>
      </c>
      <c r="N85" s="11">
        <v>84</v>
      </c>
      <c r="O85" s="4">
        <v>39166</v>
      </c>
      <c r="P85" s="11">
        <v>84</v>
      </c>
      <c r="Q85" s="4">
        <v>39531</v>
      </c>
      <c r="R85" s="11">
        <v>84</v>
      </c>
      <c r="S85" s="4">
        <v>39897</v>
      </c>
      <c r="T85" s="11">
        <v>84</v>
      </c>
      <c r="U85" s="4">
        <v>40262</v>
      </c>
      <c r="V85" s="11">
        <v>84</v>
      </c>
      <c r="W85" s="4">
        <v>40627</v>
      </c>
      <c r="X85" s="12">
        <v>84</v>
      </c>
      <c r="Y85" s="4">
        <v>40992</v>
      </c>
    </row>
    <row r="86" spans="5:25" x14ac:dyDescent="0.25">
      <c r="E86" t="s">
        <v>133</v>
      </c>
      <c r="H86" t="s">
        <v>302</v>
      </c>
      <c r="L86" s="10">
        <v>85</v>
      </c>
      <c r="M86" s="4">
        <v>38802</v>
      </c>
      <c r="N86" s="11">
        <v>85</v>
      </c>
      <c r="O86" s="4">
        <v>39167</v>
      </c>
      <c r="P86" s="11">
        <v>85</v>
      </c>
      <c r="Q86" s="4">
        <v>39532</v>
      </c>
      <c r="R86" s="11">
        <v>85</v>
      </c>
      <c r="S86" s="4">
        <v>39898</v>
      </c>
      <c r="T86" s="11">
        <v>85</v>
      </c>
      <c r="U86" s="4">
        <v>40263</v>
      </c>
      <c r="V86" s="11">
        <v>85</v>
      </c>
      <c r="W86" s="4">
        <v>40628</v>
      </c>
      <c r="X86" s="12">
        <v>85</v>
      </c>
      <c r="Y86" s="4">
        <v>40993</v>
      </c>
    </row>
    <row r="87" spans="5:25" x14ac:dyDescent="0.25">
      <c r="E87" t="s">
        <v>134</v>
      </c>
      <c r="H87" t="s">
        <v>299</v>
      </c>
      <c r="L87" s="10">
        <v>86</v>
      </c>
      <c r="M87" s="4">
        <v>38803</v>
      </c>
      <c r="N87" s="11">
        <v>86</v>
      </c>
      <c r="O87" s="4">
        <v>39168</v>
      </c>
      <c r="P87" s="11">
        <v>86</v>
      </c>
      <c r="Q87" s="4">
        <v>39533</v>
      </c>
      <c r="R87" s="11">
        <v>86</v>
      </c>
      <c r="S87" s="4">
        <v>39899</v>
      </c>
      <c r="T87" s="11">
        <v>86</v>
      </c>
      <c r="U87" s="4">
        <v>40264</v>
      </c>
      <c r="V87" s="11">
        <v>86</v>
      </c>
      <c r="W87" s="4">
        <v>40629</v>
      </c>
      <c r="X87" s="12">
        <v>86</v>
      </c>
      <c r="Y87" s="4">
        <v>40994</v>
      </c>
    </row>
    <row r="88" spans="5:25" x14ac:dyDescent="0.25">
      <c r="E88" t="s">
        <v>135</v>
      </c>
      <c r="H88" t="s">
        <v>384</v>
      </c>
      <c r="L88" s="10">
        <v>87</v>
      </c>
      <c r="M88" s="4">
        <v>38804</v>
      </c>
      <c r="N88" s="11">
        <v>87</v>
      </c>
      <c r="O88" s="4">
        <v>39169</v>
      </c>
      <c r="P88" s="11">
        <v>87</v>
      </c>
      <c r="Q88" s="4">
        <v>39534</v>
      </c>
      <c r="R88" s="11">
        <v>87</v>
      </c>
      <c r="S88" s="4">
        <v>39900</v>
      </c>
      <c r="T88" s="11">
        <v>87</v>
      </c>
      <c r="U88" s="4">
        <v>40265</v>
      </c>
      <c r="V88" s="11">
        <v>87</v>
      </c>
      <c r="W88" s="4">
        <v>40630</v>
      </c>
      <c r="X88" s="12">
        <v>87</v>
      </c>
      <c r="Y88" s="4">
        <v>40995</v>
      </c>
    </row>
    <row r="89" spans="5:25" x14ac:dyDescent="0.25">
      <c r="E89" t="s">
        <v>420</v>
      </c>
      <c r="H89" t="s">
        <v>385</v>
      </c>
      <c r="L89" s="10">
        <v>88</v>
      </c>
      <c r="M89" s="4">
        <v>38805</v>
      </c>
      <c r="N89" s="11">
        <v>88</v>
      </c>
      <c r="O89" s="4">
        <v>39170</v>
      </c>
      <c r="P89" s="11">
        <v>88</v>
      </c>
      <c r="Q89" s="4">
        <v>39535</v>
      </c>
      <c r="R89" s="11">
        <v>88</v>
      </c>
      <c r="S89" s="4">
        <v>39901</v>
      </c>
      <c r="T89" s="11">
        <v>88</v>
      </c>
      <c r="U89" s="4">
        <v>40266</v>
      </c>
      <c r="V89" s="11">
        <v>88</v>
      </c>
      <c r="W89" s="4">
        <v>40631</v>
      </c>
      <c r="X89" s="12">
        <v>88</v>
      </c>
      <c r="Y89" s="4">
        <v>40996</v>
      </c>
    </row>
    <row r="90" spans="5:25" x14ac:dyDescent="0.25">
      <c r="E90" t="s">
        <v>421</v>
      </c>
      <c r="H90" t="s">
        <v>386</v>
      </c>
      <c r="L90" s="10">
        <v>89</v>
      </c>
      <c r="M90" s="4">
        <v>38806</v>
      </c>
      <c r="N90" s="11">
        <v>89</v>
      </c>
      <c r="O90" s="4">
        <v>39171</v>
      </c>
      <c r="P90" s="11">
        <v>89</v>
      </c>
      <c r="Q90" s="4">
        <v>39536</v>
      </c>
      <c r="R90" s="11">
        <v>89</v>
      </c>
      <c r="S90" s="4">
        <v>39902</v>
      </c>
      <c r="T90" s="11">
        <v>89</v>
      </c>
      <c r="U90" s="4">
        <v>40267</v>
      </c>
      <c r="V90" s="11">
        <v>89</v>
      </c>
      <c r="W90" s="4">
        <v>40632</v>
      </c>
      <c r="X90" s="12">
        <v>89</v>
      </c>
      <c r="Y90" s="4">
        <v>40997</v>
      </c>
    </row>
    <row r="91" spans="5:25" x14ac:dyDescent="0.25">
      <c r="E91" t="s">
        <v>422</v>
      </c>
      <c r="H91" t="s">
        <v>387</v>
      </c>
      <c r="L91" s="10">
        <v>90</v>
      </c>
      <c r="M91" s="4">
        <v>38807</v>
      </c>
      <c r="N91" s="11">
        <v>90</v>
      </c>
      <c r="O91" s="4">
        <v>39172</v>
      </c>
      <c r="P91" s="11">
        <v>90</v>
      </c>
      <c r="Q91" s="4">
        <v>39537</v>
      </c>
      <c r="R91" s="11">
        <v>90</v>
      </c>
      <c r="S91" s="4">
        <v>39903</v>
      </c>
      <c r="T91" s="11">
        <v>90</v>
      </c>
      <c r="U91" s="4">
        <v>40268</v>
      </c>
      <c r="V91" s="11">
        <v>90</v>
      </c>
      <c r="W91" s="4">
        <v>40633</v>
      </c>
      <c r="X91" s="12">
        <v>90</v>
      </c>
      <c r="Y91" s="4">
        <v>40998</v>
      </c>
    </row>
    <row r="92" spans="5:25" x14ac:dyDescent="0.25">
      <c r="E92" t="s">
        <v>423</v>
      </c>
      <c r="H92" t="s">
        <v>388</v>
      </c>
      <c r="L92" s="10">
        <v>91</v>
      </c>
      <c r="M92" s="4">
        <v>38808</v>
      </c>
      <c r="N92" s="11">
        <v>91</v>
      </c>
      <c r="O92" s="4">
        <v>39173</v>
      </c>
      <c r="P92" s="11">
        <v>91</v>
      </c>
      <c r="Q92" s="4">
        <v>39538</v>
      </c>
      <c r="R92" s="11">
        <v>91</v>
      </c>
      <c r="S92" s="4">
        <v>39904</v>
      </c>
      <c r="T92" s="11">
        <v>91</v>
      </c>
      <c r="U92" s="4">
        <v>40269</v>
      </c>
      <c r="V92" s="11">
        <v>91</v>
      </c>
      <c r="W92" s="4">
        <v>40634</v>
      </c>
      <c r="X92" s="12">
        <v>91</v>
      </c>
      <c r="Y92" s="4">
        <v>40999</v>
      </c>
    </row>
    <row r="93" spans="5:25" x14ac:dyDescent="0.25">
      <c r="E93" t="s">
        <v>424</v>
      </c>
      <c r="H93" t="s">
        <v>389</v>
      </c>
      <c r="L93" s="10">
        <v>92</v>
      </c>
      <c r="M93" s="4">
        <v>38809</v>
      </c>
      <c r="N93" s="11">
        <v>92</v>
      </c>
      <c r="O93" s="4">
        <v>39174</v>
      </c>
      <c r="P93" s="11">
        <v>92</v>
      </c>
      <c r="Q93" s="4">
        <v>39539</v>
      </c>
      <c r="R93" s="11">
        <v>92</v>
      </c>
      <c r="S93" s="4">
        <v>39905</v>
      </c>
      <c r="T93" s="11">
        <v>92</v>
      </c>
      <c r="U93" s="4">
        <v>40270</v>
      </c>
      <c r="V93" s="11">
        <v>92</v>
      </c>
      <c r="W93" s="4">
        <v>40635</v>
      </c>
      <c r="X93" s="12">
        <v>92</v>
      </c>
      <c r="Y93" s="4">
        <v>41000</v>
      </c>
    </row>
    <row r="94" spans="5:25" x14ac:dyDescent="0.25">
      <c r="E94" t="s">
        <v>425</v>
      </c>
      <c r="H94" t="s">
        <v>390</v>
      </c>
      <c r="L94" s="10">
        <v>93</v>
      </c>
      <c r="M94" s="4">
        <v>38810</v>
      </c>
      <c r="N94" s="11">
        <v>93</v>
      </c>
      <c r="O94" s="4">
        <v>39175</v>
      </c>
      <c r="P94" s="11">
        <v>93</v>
      </c>
      <c r="Q94" s="4">
        <v>39540</v>
      </c>
      <c r="R94" s="11">
        <v>93</v>
      </c>
      <c r="S94" s="4">
        <v>39906</v>
      </c>
      <c r="T94" s="11">
        <v>93</v>
      </c>
      <c r="U94" s="4">
        <v>40271</v>
      </c>
      <c r="V94" s="11">
        <v>93</v>
      </c>
      <c r="W94" s="4">
        <v>40636</v>
      </c>
      <c r="X94" s="12">
        <v>93</v>
      </c>
      <c r="Y94" s="4">
        <v>41001</v>
      </c>
    </row>
    <row r="95" spans="5:25" x14ac:dyDescent="0.25">
      <c r="E95" t="s">
        <v>426</v>
      </c>
      <c r="H95" t="s">
        <v>391</v>
      </c>
      <c r="L95" s="10">
        <v>94</v>
      </c>
      <c r="M95" s="4">
        <v>38811</v>
      </c>
      <c r="N95" s="11">
        <v>94</v>
      </c>
      <c r="O95" s="4">
        <v>39176</v>
      </c>
      <c r="P95" s="11">
        <v>94</v>
      </c>
      <c r="Q95" s="4">
        <v>39541</v>
      </c>
      <c r="R95" s="11">
        <v>94</v>
      </c>
      <c r="S95" s="4">
        <v>39907</v>
      </c>
      <c r="T95" s="11">
        <v>94</v>
      </c>
      <c r="U95" s="4">
        <v>40272</v>
      </c>
      <c r="V95" s="11">
        <v>94</v>
      </c>
      <c r="W95" s="4">
        <v>40637</v>
      </c>
      <c r="X95" s="12">
        <v>94</v>
      </c>
      <c r="Y95" s="4">
        <v>41002</v>
      </c>
    </row>
    <row r="96" spans="5:25" x14ac:dyDescent="0.25">
      <c r="E96" t="s">
        <v>427</v>
      </c>
      <c r="H96" t="s">
        <v>392</v>
      </c>
      <c r="L96" s="10">
        <v>95</v>
      </c>
      <c r="M96" s="4">
        <v>38812</v>
      </c>
      <c r="N96" s="11">
        <v>95</v>
      </c>
      <c r="O96" s="4">
        <v>39177</v>
      </c>
      <c r="P96" s="11">
        <v>95</v>
      </c>
      <c r="Q96" s="4">
        <v>39542</v>
      </c>
      <c r="R96" s="11">
        <v>95</v>
      </c>
      <c r="S96" s="4">
        <v>39908</v>
      </c>
      <c r="T96" s="11">
        <v>95</v>
      </c>
      <c r="U96" s="4">
        <v>40273</v>
      </c>
      <c r="V96" s="11">
        <v>95</v>
      </c>
      <c r="W96" s="4">
        <v>40638</v>
      </c>
      <c r="X96" s="12">
        <v>95</v>
      </c>
      <c r="Y96" s="4">
        <v>41003</v>
      </c>
    </row>
    <row r="97" spans="5:25" x14ac:dyDescent="0.25">
      <c r="E97" t="s">
        <v>428</v>
      </c>
      <c r="H97" t="s">
        <v>393</v>
      </c>
      <c r="L97" s="10">
        <v>96</v>
      </c>
      <c r="M97" s="4">
        <v>38813</v>
      </c>
      <c r="N97" s="11">
        <v>96</v>
      </c>
      <c r="O97" s="4">
        <v>39178</v>
      </c>
      <c r="P97" s="11">
        <v>96</v>
      </c>
      <c r="Q97" s="4">
        <v>39543</v>
      </c>
      <c r="R97" s="11">
        <v>96</v>
      </c>
      <c r="S97" s="4">
        <v>39909</v>
      </c>
      <c r="T97" s="11">
        <v>96</v>
      </c>
      <c r="U97" s="4">
        <v>40274</v>
      </c>
      <c r="V97" s="11">
        <v>96</v>
      </c>
      <c r="W97" s="4">
        <v>40639</v>
      </c>
      <c r="X97" s="12">
        <v>96</v>
      </c>
      <c r="Y97" s="4">
        <v>41004</v>
      </c>
    </row>
    <row r="98" spans="5:25" x14ac:dyDescent="0.25">
      <c r="E98" t="s">
        <v>429</v>
      </c>
      <c r="H98" t="s">
        <v>305</v>
      </c>
      <c r="L98" s="10">
        <v>97</v>
      </c>
      <c r="M98" s="4">
        <v>38814</v>
      </c>
      <c r="N98" s="11">
        <v>97</v>
      </c>
      <c r="O98" s="4">
        <v>39179</v>
      </c>
      <c r="P98" s="11">
        <v>97</v>
      </c>
      <c r="Q98" s="4">
        <v>39544</v>
      </c>
      <c r="R98" s="11">
        <v>97</v>
      </c>
      <c r="S98" s="4">
        <v>39910</v>
      </c>
      <c r="T98" s="11">
        <v>97</v>
      </c>
      <c r="U98" s="4">
        <v>40275</v>
      </c>
      <c r="V98" s="11">
        <v>97</v>
      </c>
      <c r="W98" s="4">
        <v>40640</v>
      </c>
      <c r="X98" s="12">
        <v>97</v>
      </c>
      <c r="Y98" s="4">
        <v>41005</v>
      </c>
    </row>
    <row r="99" spans="5:25" x14ac:dyDescent="0.25">
      <c r="E99" t="s">
        <v>430</v>
      </c>
      <c r="H99" t="s">
        <v>394</v>
      </c>
      <c r="L99" s="10">
        <v>98</v>
      </c>
      <c r="M99" s="4">
        <v>38815</v>
      </c>
      <c r="N99" s="11">
        <v>98</v>
      </c>
      <c r="O99" s="4">
        <v>39180</v>
      </c>
      <c r="P99" s="11">
        <v>98</v>
      </c>
      <c r="Q99" s="4">
        <v>39545</v>
      </c>
      <c r="R99" s="11">
        <v>98</v>
      </c>
      <c r="S99" s="4">
        <v>39911</v>
      </c>
      <c r="T99" s="11">
        <v>98</v>
      </c>
      <c r="U99" s="4">
        <v>40276</v>
      </c>
      <c r="V99" s="11">
        <v>98</v>
      </c>
      <c r="W99" s="4">
        <v>40641</v>
      </c>
      <c r="X99" s="12">
        <v>98</v>
      </c>
      <c r="Y99" s="4">
        <v>41006</v>
      </c>
    </row>
    <row r="100" spans="5:25" x14ac:dyDescent="0.25">
      <c r="E100" t="s">
        <v>431</v>
      </c>
      <c r="H100" t="s">
        <v>395</v>
      </c>
      <c r="L100" s="10">
        <v>99</v>
      </c>
      <c r="M100" s="4">
        <v>38816</v>
      </c>
      <c r="N100" s="11">
        <v>99</v>
      </c>
      <c r="O100" s="4">
        <v>39181</v>
      </c>
      <c r="P100" s="11">
        <v>99</v>
      </c>
      <c r="Q100" s="4">
        <v>39546</v>
      </c>
      <c r="R100" s="11">
        <v>99</v>
      </c>
      <c r="S100" s="4">
        <v>39912</v>
      </c>
      <c r="T100" s="11">
        <v>99</v>
      </c>
      <c r="U100" s="4">
        <v>40277</v>
      </c>
      <c r="V100" s="11">
        <v>99</v>
      </c>
      <c r="W100" s="4">
        <v>40642</v>
      </c>
      <c r="X100" s="12">
        <v>99</v>
      </c>
      <c r="Y100" s="4">
        <v>41007</v>
      </c>
    </row>
    <row r="101" spans="5:25" x14ac:dyDescent="0.25">
      <c r="E101" t="s">
        <v>432</v>
      </c>
      <c r="H101" t="s">
        <v>396</v>
      </c>
      <c r="L101" s="10">
        <v>100</v>
      </c>
      <c r="M101" s="4">
        <v>38817</v>
      </c>
      <c r="N101" s="11">
        <v>100</v>
      </c>
      <c r="O101" s="4">
        <v>39182</v>
      </c>
      <c r="P101" s="11">
        <v>100</v>
      </c>
      <c r="Q101" s="4">
        <v>39547</v>
      </c>
      <c r="R101" s="11">
        <v>100</v>
      </c>
      <c r="S101" s="4">
        <v>39913</v>
      </c>
      <c r="T101" s="11">
        <v>100</v>
      </c>
      <c r="U101" s="4">
        <v>40278</v>
      </c>
      <c r="V101" s="11">
        <v>100</v>
      </c>
      <c r="W101" s="4">
        <v>40643</v>
      </c>
      <c r="X101" s="12">
        <v>100</v>
      </c>
      <c r="Y101" s="4">
        <v>41008</v>
      </c>
    </row>
    <row r="102" spans="5:25" x14ac:dyDescent="0.25">
      <c r="E102" t="s">
        <v>433</v>
      </c>
      <c r="H102" t="s">
        <v>397</v>
      </c>
      <c r="L102" s="10">
        <v>101</v>
      </c>
      <c r="M102" s="4">
        <v>38818</v>
      </c>
      <c r="N102" s="11">
        <v>101</v>
      </c>
      <c r="O102" s="4">
        <v>39183</v>
      </c>
      <c r="P102" s="11">
        <v>101</v>
      </c>
      <c r="Q102" s="4">
        <v>39548</v>
      </c>
      <c r="R102" s="11">
        <v>101</v>
      </c>
      <c r="S102" s="4">
        <v>39914</v>
      </c>
      <c r="T102" s="11">
        <v>101</v>
      </c>
      <c r="U102" s="4">
        <v>40279</v>
      </c>
      <c r="V102" s="11">
        <v>101</v>
      </c>
      <c r="W102" s="4">
        <v>40644</v>
      </c>
      <c r="X102" s="12">
        <v>101</v>
      </c>
      <c r="Y102" s="4">
        <v>41009</v>
      </c>
    </row>
    <row r="103" spans="5:25" x14ac:dyDescent="0.25">
      <c r="E103" t="s">
        <v>434</v>
      </c>
      <c r="H103" t="s">
        <v>398</v>
      </c>
      <c r="L103" s="10">
        <v>102</v>
      </c>
      <c r="M103" s="4">
        <v>38819</v>
      </c>
      <c r="N103" s="11">
        <v>102</v>
      </c>
      <c r="O103" s="4">
        <v>39184</v>
      </c>
      <c r="P103" s="11">
        <v>102</v>
      </c>
      <c r="Q103" s="4">
        <v>39549</v>
      </c>
      <c r="R103" s="11">
        <v>102</v>
      </c>
      <c r="S103" s="4">
        <v>39915</v>
      </c>
      <c r="T103" s="11">
        <v>102</v>
      </c>
      <c r="U103" s="4">
        <v>40280</v>
      </c>
      <c r="V103" s="11">
        <v>102</v>
      </c>
      <c r="W103" s="4">
        <v>40645</v>
      </c>
      <c r="X103" s="12">
        <v>102</v>
      </c>
      <c r="Y103" s="4">
        <v>41010</v>
      </c>
    </row>
    <row r="104" spans="5:25" x14ac:dyDescent="0.25">
      <c r="E104" t="s">
        <v>435</v>
      </c>
      <c r="H104" t="s">
        <v>399</v>
      </c>
      <c r="L104" s="10">
        <v>103</v>
      </c>
      <c r="M104" s="4">
        <v>38820</v>
      </c>
      <c r="N104" s="11">
        <v>103</v>
      </c>
      <c r="O104" s="4">
        <v>39185</v>
      </c>
      <c r="P104" s="11">
        <v>103</v>
      </c>
      <c r="Q104" s="4">
        <v>39550</v>
      </c>
      <c r="R104" s="11">
        <v>103</v>
      </c>
      <c r="S104" s="4">
        <v>39916</v>
      </c>
      <c r="T104" s="11">
        <v>103</v>
      </c>
      <c r="U104" s="4">
        <v>40281</v>
      </c>
      <c r="V104" s="11">
        <v>103</v>
      </c>
      <c r="W104" s="4">
        <v>40646</v>
      </c>
      <c r="X104" s="12">
        <v>103</v>
      </c>
      <c r="Y104" s="4">
        <v>41011</v>
      </c>
    </row>
    <row r="105" spans="5:25" x14ac:dyDescent="0.25">
      <c r="E105" t="s">
        <v>436</v>
      </c>
      <c r="H105" t="s">
        <v>400</v>
      </c>
      <c r="L105" s="10">
        <v>104</v>
      </c>
      <c r="M105" s="4">
        <v>38821</v>
      </c>
      <c r="N105" s="11">
        <v>104</v>
      </c>
      <c r="O105" s="4">
        <v>39186</v>
      </c>
      <c r="P105" s="11">
        <v>104</v>
      </c>
      <c r="Q105" s="4">
        <v>39551</v>
      </c>
      <c r="R105" s="11">
        <v>104</v>
      </c>
      <c r="S105" s="4">
        <v>39917</v>
      </c>
      <c r="T105" s="11">
        <v>104</v>
      </c>
      <c r="U105" s="4">
        <v>40282</v>
      </c>
      <c r="V105" s="11">
        <v>104</v>
      </c>
      <c r="W105" s="4">
        <v>40647</v>
      </c>
      <c r="X105" s="12">
        <v>104</v>
      </c>
      <c r="Y105" s="4">
        <v>41012</v>
      </c>
    </row>
    <row r="106" spans="5:25" x14ac:dyDescent="0.25">
      <c r="E106" t="s">
        <v>437</v>
      </c>
      <c r="H106" t="s">
        <v>401</v>
      </c>
      <c r="L106" s="10">
        <v>105</v>
      </c>
      <c r="M106" s="4">
        <v>38822</v>
      </c>
      <c r="N106" s="11">
        <v>105</v>
      </c>
      <c r="O106" s="4">
        <v>39187</v>
      </c>
      <c r="P106" s="11">
        <v>105</v>
      </c>
      <c r="Q106" s="4">
        <v>39552</v>
      </c>
      <c r="R106" s="11">
        <v>105</v>
      </c>
      <c r="S106" s="4">
        <v>39918</v>
      </c>
      <c r="T106" s="11">
        <v>105</v>
      </c>
      <c r="U106" s="4">
        <v>40283</v>
      </c>
      <c r="V106" s="11">
        <v>105</v>
      </c>
      <c r="W106" s="4">
        <v>40648</v>
      </c>
      <c r="X106" s="12">
        <v>105</v>
      </c>
      <c r="Y106" s="4">
        <v>41013</v>
      </c>
    </row>
    <row r="107" spans="5:25" x14ac:dyDescent="0.25">
      <c r="E107" t="s">
        <v>438</v>
      </c>
      <c r="H107" t="s">
        <v>402</v>
      </c>
      <c r="L107" s="10">
        <v>106</v>
      </c>
      <c r="M107" s="4">
        <v>38823</v>
      </c>
      <c r="N107" s="11">
        <v>106</v>
      </c>
      <c r="O107" s="4">
        <v>39188</v>
      </c>
      <c r="P107" s="11">
        <v>106</v>
      </c>
      <c r="Q107" s="4">
        <v>39553</v>
      </c>
      <c r="R107" s="11">
        <v>106</v>
      </c>
      <c r="S107" s="4">
        <v>39919</v>
      </c>
      <c r="T107" s="11">
        <v>106</v>
      </c>
      <c r="U107" s="4">
        <v>40284</v>
      </c>
      <c r="V107" s="11">
        <v>106</v>
      </c>
      <c r="W107" s="4">
        <v>40649</v>
      </c>
      <c r="X107" s="12">
        <v>106</v>
      </c>
      <c r="Y107" s="4">
        <v>41014</v>
      </c>
    </row>
    <row r="108" spans="5:25" x14ac:dyDescent="0.25">
      <c r="E108" t="s">
        <v>439</v>
      </c>
      <c r="H108" t="s">
        <v>403</v>
      </c>
      <c r="L108" s="10">
        <v>107</v>
      </c>
      <c r="M108" s="4">
        <v>38824</v>
      </c>
      <c r="N108" s="11">
        <v>107</v>
      </c>
      <c r="O108" s="4">
        <v>39189</v>
      </c>
      <c r="P108" s="11">
        <v>107</v>
      </c>
      <c r="Q108" s="4">
        <v>39554</v>
      </c>
      <c r="R108" s="11">
        <v>107</v>
      </c>
      <c r="S108" s="4">
        <v>39920</v>
      </c>
      <c r="T108" s="11">
        <v>107</v>
      </c>
      <c r="U108" s="4">
        <v>40285</v>
      </c>
      <c r="V108" s="11">
        <v>107</v>
      </c>
      <c r="W108" s="4">
        <v>40650</v>
      </c>
      <c r="X108" s="12">
        <v>107</v>
      </c>
      <c r="Y108" s="4">
        <v>41015</v>
      </c>
    </row>
    <row r="109" spans="5:25" x14ac:dyDescent="0.25">
      <c r="E109" t="s">
        <v>136</v>
      </c>
      <c r="H109" t="s">
        <v>404</v>
      </c>
      <c r="L109" s="10">
        <v>108</v>
      </c>
      <c r="M109" s="4">
        <v>38825</v>
      </c>
      <c r="N109" s="11">
        <v>108</v>
      </c>
      <c r="O109" s="4">
        <v>39190</v>
      </c>
      <c r="P109" s="11">
        <v>108</v>
      </c>
      <c r="Q109" s="4">
        <v>39555</v>
      </c>
      <c r="R109" s="11">
        <v>108</v>
      </c>
      <c r="S109" s="4">
        <v>39921</v>
      </c>
      <c r="T109" s="11">
        <v>108</v>
      </c>
      <c r="U109" s="4">
        <v>40286</v>
      </c>
      <c r="V109" s="11">
        <v>108</v>
      </c>
      <c r="W109" s="4">
        <v>40651</v>
      </c>
      <c r="X109" s="12">
        <v>108</v>
      </c>
      <c r="Y109" s="4">
        <v>41016</v>
      </c>
    </row>
    <row r="110" spans="5:25" x14ac:dyDescent="0.25">
      <c r="E110" t="s">
        <v>137</v>
      </c>
      <c r="H110" t="s">
        <v>405</v>
      </c>
      <c r="L110" s="10">
        <v>109</v>
      </c>
      <c r="M110" s="4">
        <v>38826</v>
      </c>
      <c r="N110" s="11">
        <v>109</v>
      </c>
      <c r="O110" s="4">
        <v>39191</v>
      </c>
      <c r="P110" s="11">
        <v>109</v>
      </c>
      <c r="Q110" s="4">
        <v>39556</v>
      </c>
      <c r="R110" s="11">
        <v>109</v>
      </c>
      <c r="S110" s="4">
        <v>39922</v>
      </c>
      <c r="T110" s="11">
        <v>109</v>
      </c>
      <c r="U110" s="4">
        <v>40287</v>
      </c>
      <c r="V110" s="11">
        <v>109</v>
      </c>
      <c r="W110" s="4">
        <v>40652</v>
      </c>
      <c r="X110" s="12">
        <v>109</v>
      </c>
      <c r="Y110" s="4">
        <v>41017</v>
      </c>
    </row>
    <row r="111" spans="5:25" x14ac:dyDescent="0.25">
      <c r="E111" t="s">
        <v>138</v>
      </c>
      <c r="H111" t="s">
        <v>406</v>
      </c>
      <c r="L111" s="10">
        <v>110</v>
      </c>
      <c r="M111" s="4">
        <v>38827</v>
      </c>
      <c r="N111" s="11">
        <v>110</v>
      </c>
      <c r="O111" s="4">
        <v>39192</v>
      </c>
      <c r="P111" s="11">
        <v>110</v>
      </c>
      <c r="Q111" s="4">
        <v>39557</v>
      </c>
      <c r="R111" s="11">
        <v>110</v>
      </c>
      <c r="S111" s="4">
        <v>39923</v>
      </c>
      <c r="T111" s="11">
        <v>110</v>
      </c>
      <c r="U111" s="4">
        <v>40288</v>
      </c>
      <c r="V111" s="11">
        <v>110</v>
      </c>
      <c r="W111" s="4">
        <v>40653</v>
      </c>
      <c r="X111" s="12">
        <v>110</v>
      </c>
      <c r="Y111" s="4">
        <v>41018</v>
      </c>
    </row>
    <row r="112" spans="5:25" x14ac:dyDescent="0.25">
      <c r="E112" t="s">
        <v>139</v>
      </c>
      <c r="H112" t="s">
        <v>407</v>
      </c>
      <c r="L112" s="10">
        <v>111</v>
      </c>
      <c r="M112" s="4">
        <v>38828</v>
      </c>
      <c r="N112" s="11">
        <v>111</v>
      </c>
      <c r="O112" s="4">
        <v>39193</v>
      </c>
      <c r="P112" s="11">
        <v>111</v>
      </c>
      <c r="Q112" s="4">
        <v>39558</v>
      </c>
      <c r="R112" s="11">
        <v>111</v>
      </c>
      <c r="S112" s="4">
        <v>39924</v>
      </c>
      <c r="T112" s="11">
        <v>111</v>
      </c>
      <c r="U112" s="4">
        <v>40289</v>
      </c>
      <c r="V112" s="11">
        <v>111</v>
      </c>
      <c r="W112" s="4">
        <v>40654</v>
      </c>
      <c r="X112" s="12">
        <v>111</v>
      </c>
      <c r="Y112" s="4">
        <v>41019</v>
      </c>
    </row>
    <row r="113" spans="5:25" x14ac:dyDescent="0.25">
      <c r="E113" t="s">
        <v>140</v>
      </c>
      <c r="H113" t="s">
        <v>408</v>
      </c>
      <c r="L113" s="10">
        <v>112</v>
      </c>
      <c r="M113" s="4">
        <v>38829</v>
      </c>
      <c r="N113" s="11">
        <v>112</v>
      </c>
      <c r="O113" s="4">
        <v>39194</v>
      </c>
      <c r="P113" s="11">
        <v>112</v>
      </c>
      <c r="Q113" s="4">
        <v>39559</v>
      </c>
      <c r="R113" s="11">
        <v>112</v>
      </c>
      <c r="S113" s="4">
        <v>39925</v>
      </c>
      <c r="T113" s="11">
        <v>112</v>
      </c>
      <c r="U113" s="4">
        <v>40290</v>
      </c>
      <c r="V113" s="11">
        <v>112</v>
      </c>
      <c r="W113" s="4">
        <v>40655</v>
      </c>
      <c r="X113" s="12">
        <v>112</v>
      </c>
      <c r="Y113" s="4">
        <v>41020</v>
      </c>
    </row>
    <row r="114" spans="5:25" x14ac:dyDescent="0.25">
      <c r="E114" t="s">
        <v>141</v>
      </c>
      <c r="L114" s="10">
        <v>113</v>
      </c>
      <c r="M114" s="4">
        <v>38830</v>
      </c>
      <c r="N114" s="11">
        <v>113</v>
      </c>
      <c r="O114" s="4">
        <v>39195</v>
      </c>
      <c r="P114" s="11">
        <v>113</v>
      </c>
      <c r="Q114" s="4">
        <v>39560</v>
      </c>
      <c r="R114" s="11">
        <v>113</v>
      </c>
      <c r="S114" s="4">
        <v>39926</v>
      </c>
      <c r="T114" s="11">
        <v>113</v>
      </c>
      <c r="U114" s="4">
        <v>40291</v>
      </c>
      <c r="V114" s="11">
        <v>113</v>
      </c>
      <c r="W114" s="4">
        <v>40656</v>
      </c>
      <c r="X114" s="12">
        <v>113</v>
      </c>
      <c r="Y114" s="4">
        <v>41021</v>
      </c>
    </row>
    <row r="115" spans="5:25" x14ac:dyDescent="0.25">
      <c r="E115" t="s">
        <v>142</v>
      </c>
      <c r="L115" s="10">
        <v>114</v>
      </c>
      <c r="M115" s="4">
        <v>38831</v>
      </c>
      <c r="N115" s="11">
        <v>114</v>
      </c>
      <c r="O115" s="4">
        <v>39196</v>
      </c>
      <c r="P115" s="11">
        <v>114</v>
      </c>
      <c r="Q115" s="4">
        <v>39561</v>
      </c>
      <c r="R115" s="11">
        <v>114</v>
      </c>
      <c r="S115" s="4">
        <v>39927</v>
      </c>
      <c r="T115" s="11">
        <v>114</v>
      </c>
      <c r="U115" s="4">
        <v>40292</v>
      </c>
      <c r="V115" s="11">
        <v>114</v>
      </c>
      <c r="W115" s="4">
        <v>40657</v>
      </c>
      <c r="X115" s="12">
        <v>114</v>
      </c>
      <c r="Y115" s="4">
        <v>41022</v>
      </c>
    </row>
    <row r="116" spans="5:25" x14ac:dyDescent="0.25">
      <c r="E116" t="s">
        <v>143</v>
      </c>
      <c r="L116" s="10">
        <v>115</v>
      </c>
      <c r="M116" s="4">
        <v>38832</v>
      </c>
      <c r="N116" s="11">
        <v>115</v>
      </c>
      <c r="O116" s="4">
        <v>39197</v>
      </c>
      <c r="P116" s="11">
        <v>115</v>
      </c>
      <c r="Q116" s="4">
        <v>39562</v>
      </c>
      <c r="R116" s="11">
        <v>115</v>
      </c>
      <c r="S116" s="4">
        <v>39928</v>
      </c>
      <c r="T116" s="11">
        <v>115</v>
      </c>
      <c r="U116" s="4">
        <v>40293</v>
      </c>
      <c r="V116" s="11">
        <v>115</v>
      </c>
      <c r="W116" s="4">
        <v>40658</v>
      </c>
      <c r="X116" s="12">
        <v>115</v>
      </c>
      <c r="Y116" s="4">
        <v>41023</v>
      </c>
    </row>
    <row r="117" spans="5:25" x14ac:dyDescent="0.25">
      <c r="E117" t="s">
        <v>144</v>
      </c>
      <c r="L117" s="10">
        <v>116</v>
      </c>
      <c r="M117" s="4">
        <v>38833</v>
      </c>
      <c r="N117" s="11">
        <v>116</v>
      </c>
      <c r="O117" s="4">
        <v>39198</v>
      </c>
      <c r="P117" s="11">
        <v>116</v>
      </c>
      <c r="Q117" s="4">
        <v>39563</v>
      </c>
      <c r="R117" s="11">
        <v>116</v>
      </c>
      <c r="S117" s="4">
        <v>39929</v>
      </c>
      <c r="T117" s="11">
        <v>116</v>
      </c>
      <c r="U117" s="4">
        <v>40294</v>
      </c>
      <c r="V117" s="11">
        <v>116</v>
      </c>
      <c r="W117" s="4">
        <v>40659</v>
      </c>
      <c r="X117" s="12">
        <v>116</v>
      </c>
      <c r="Y117" s="4">
        <v>41024</v>
      </c>
    </row>
    <row r="118" spans="5:25" x14ac:dyDescent="0.25">
      <c r="E118" t="s">
        <v>145</v>
      </c>
      <c r="L118" s="10">
        <v>117</v>
      </c>
      <c r="M118" s="4">
        <v>38834</v>
      </c>
      <c r="N118" s="11">
        <v>117</v>
      </c>
      <c r="O118" s="4">
        <v>39199</v>
      </c>
      <c r="P118" s="11">
        <v>117</v>
      </c>
      <c r="Q118" s="4">
        <v>39564</v>
      </c>
      <c r="R118" s="11">
        <v>117</v>
      </c>
      <c r="S118" s="4">
        <v>39930</v>
      </c>
      <c r="T118" s="11">
        <v>117</v>
      </c>
      <c r="U118" s="4">
        <v>40295</v>
      </c>
      <c r="V118" s="11">
        <v>117</v>
      </c>
      <c r="W118" s="4">
        <v>40660</v>
      </c>
      <c r="X118" s="12">
        <v>117</v>
      </c>
      <c r="Y118" s="4">
        <v>41025</v>
      </c>
    </row>
    <row r="119" spans="5:25" x14ac:dyDescent="0.25">
      <c r="E119" t="s">
        <v>146</v>
      </c>
      <c r="L119" s="10">
        <v>118</v>
      </c>
      <c r="M119" s="4">
        <v>38835</v>
      </c>
      <c r="N119" s="11">
        <v>118</v>
      </c>
      <c r="O119" s="4">
        <v>39200</v>
      </c>
      <c r="P119" s="11">
        <v>118</v>
      </c>
      <c r="Q119" s="4">
        <v>39565</v>
      </c>
      <c r="R119" s="11">
        <v>118</v>
      </c>
      <c r="S119" s="4">
        <v>39931</v>
      </c>
      <c r="T119" s="11">
        <v>118</v>
      </c>
      <c r="U119" s="4">
        <v>40296</v>
      </c>
      <c r="V119" s="11">
        <v>118</v>
      </c>
      <c r="W119" s="4">
        <v>40661</v>
      </c>
      <c r="X119" s="12">
        <v>118</v>
      </c>
      <c r="Y119" s="4">
        <v>41026</v>
      </c>
    </row>
    <row r="120" spans="5:25" x14ac:dyDescent="0.25">
      <c r="E120" t="s">
        <v>147</v>
      </c>
      <c r="L120" s="10">
        <v>119</v>
      </c>
      <c r="M120" s="4">
        <v>38836</v>
      </c>
      <c r="N120" s="11">
        <v>119</v>
      </c>
      <c r="O120" s="4">
        <v>39201</v>
      </c>
      <c r="P120" s="11">
        <v>119</v>
      </c>
      <c r="Q120" s="4">
        <v>39566</v>
      </c>
      <c r="R120" s="11">
        <v>119</v>
      </c>
      <c r="S120" s="4">
        <v>39932</v>
      </c>
      <c r="T120" s="11">
        <v>119</v>
      </c>
      <c r="U120" s="4">
        <v>40297</v>
      </c>
      <c r="V120" s="11">
        <v>119</v>
      </c>
      <c r="W120" s="4">
        <v>40662</v>
      </c>
      <c r="X120" s="12">
        <v>119</v>
      </c>
      <c r="Y120" s="4">
        <v>41027</v>
      </c>
    </row>
    <row r="121" spans="5:25" x14ac:dyDescent="0.25">
      <c r="E121" t="s">
        <v>148</v>
      </c>
      <c r="L121" s="10">
        <v>120</v>
      </c>
      <c r="M121" s="4">
        <v>38837</v>
      </c>
      <c r="N121" s="11">
        <v>120</v>
      </c>
      <c r="O121" s="4">
        <v>39202</v>
      </c>
      <c r="P121" s="11">
        <v>120</v>
      </c>
      <c r="Q121" s="4">
        <v>39567</v>
      </c>
      <c r="R121" s="11">
        <v>120</v>
      </c>
      <c r="S121" s="4">
        <v>39933</v>
      </c>
      <c r="T121" s="11">
        <v>120</v>
      </c>
      <c r="U121" s="4">
        <v>40298</v>
      </c>
      <c r="V121" s="11">
        <v>120</v>
      </c>
      <c r="W121" s="4">
        <v>40663</v>
      </c>
      <c r="X121" s="12">
        <v>120</v>
      </c>
      <c r="Y121" s="4">
        <v>41028</v>
      </c>
    </row>
    <row r="122" spans="5:25" x14ac:dyDescent="0.25">
      <c r="E122" t="s">
        <v>149</v>
      </c>
      <c r="L122" s="10">
        <v>121</v>
      </c>
      <c r="M122" s="4">
        <v>38838</v>
      </c>
      <c r="N122" s="11">
        <v>121</v>
      </c>
      <c r="O122" s="4">
        <v>39203</v>
      </c>
      <c r="P122" s="11">
        <v>121</v>
      </c>
      <c r="Q122" s="4">
        <v>39568</v>
      </c>
      <c r="R122" s="11">
        <v>121</v>
      </c>
      <c r="S122" s="4">
        <v>39934</v>
      </c>
      <c r="T122" s="11">
        <v>121</v>
      </c>
      <c r="U122" s="4">
        <v>40299</v>
      </c>
      <c r="V122" s="11">
        <v>121</v>
      </c>
      <c r="W122" s="4">
        <v>40664</v>
      </c>
      <c r="X122" s="12">
        <v>121</v>
      </c>
      <c r="Y122" s="4">
        <v>41029</v>
      </c>
    </row>
    <row r="123" spans="5:25" x14ac:dyDescent="0.25">
      <c r="E123" t="s">
        <v>150</v>
      </c>
      <c r="L123" s="10">
        <v>122</v>
      </c>
      <c r="M123" s="4">
        <v>38839</v>
      </c>
      <c r="N123" s="11">
        <v>122</v>
      </c>
      <c r="O123" s="4">
        <v>39204</v>
      </c>
      <c r="P123" s="11">
        <v>122</v>
      </c>
      <c r="Q123" s="4">
        <v>39569</v>
      </c>
      <c r="R123" s="11">
        <v>122</v>
      </c>
      <c r="S123" s="4">
        <v>39935</v>
      </c>
      <c r="T123" s="11">
        <v>122</v>
      </c>
      <c r="U123" s="4">
        <v>40300</v>
      </c>
      <c r="V123" s="11">
        <v>122</v>
      </c>
      <c r="W123" s="4">
        <v>40665</v>
      </c>
      <c r="X123" s="12">
        <v>122</v>
      </c>
      <c r="Y123" s="4">
        <v>41030</v>
      </c>
    </row>
    <row r="124" spans="5:25" x14ac:dyDescent="0.25">
      <c r="E124" t="s">
        <v>151</v>
      </c>
      <c r="L124" s="10">
        <v>123</v>
      </c>
      <c r="M124" s="4">
        <v>38840</v>
      </c>
      <c r="N124" s="11">
        <v>123</v>
      </c>
      <c r="O124" s="4">
        <v>39205</v>
      </c>
      <c r="P124" s="11">
        <v>123</v>
      </c>
      <c r="Q124" s="4">
        <v>39570</v>
      </c>
      <c r="R124" s="11">
        <v>123</v>
      </c>
      <c r="S124" s="4">
        <v>39936</v>
      </c>
      <c r="T124" s="11">
        <v>123</v>
      </c>
      <c r="U124" s="4">
        <v>40301</v>
      </c>
      <c r="V124" s="11">
        <v>123</v>
      </c>
      <c r="W124" s="4">
        <v>40666</v>
      </c>
      <c r="X124" s="12">
        <v>123</v>
      </c>
      <c r="Y124" s="4">
        <v>41031</v>
      </c>
    </row>
    <row r="125" spans="5:25" x14ac:dyDescent="0.25">
      <c r="E125" t="s">
        <v>152</v>
      </c>
      <c r="L125" s="10">
        <v>124</v>
      </c>
      <c r="M125" s="4">
        <v>38841</v>
      </c>
      <c r="N125" s="11">
        <v>124</v>
      </c>
      <c r="O125" s="4">
        <v>39206</v>
      </c>
      <c r="P125" s="11">
        <v>124</v>
      </c>
      <c r="Q125" s="4">
        <v>39571</v>
      </c>
      <c r="R125" s="11">
        <v>124</v>
      </c>
      <c r="S125" s="4">
        <v>39937</v>
      </c>
      <c r="T125" s="11">
        <v>124</v>
      </c>
      <c r="U125" s="4">
        <v>40302</v>
      </c>
      <c r="V125" s="11">
        <v>124</v>
      </c>
      <c r="W125" s="4">
        <v>40667</v>
      </c>
      <c r="X125" s="12">
        <v>124</v>
      </c>
      <c r="Y125" s="4">
        <v>41032</v>
      </c>
    </row>
    <row r="126" spans="5:25" x14ac:dyDescent="0.25">
      <c r="E126" t="s">
        <v>153</v>
      </c>
      <c r="L126" s="10">
        <v>125</v>
      </c>
      <c r="M126" s="4">
        <v>38842</v>
      </c>
      <c r="N126" s="11">
        <v>125</v>
      </c>
      <c r="O126" s="4">
        <v>39207</v>
      </c>
      <c r="P126" s="11">
        <v>125</v>
      </c>
      <c r="Q126" s="4">
        <v>39572</v>
      </c>
      <c r="R126" s="11">
        <v>125</v>
      </c>
      <c r="S126" s="4">
        <v>39938</v>
      </c>
      <c r="T126" s="11">
        <v>125</v>
      </c>
      <c r="U126" s="4">
        <v>40303</v>
      </c>
      <c r="V126" s="11">
        <v>125</v>
      </c>
      <c r="W126" s="4">
        <v>40668</v>
      </c>
      <c r="X126" s="12">
        <v>125</v>
      </c>
      <c r="Y126" s="4">
        <v>41033</v>
      </c>
    </row>
    <row r="127" spans="5:25" x14ac:dyDescent="0.25">
      <c r="E127" t="s">
        <v>154</v>
      </c>
      <c r="L127" s="10">
        <v>126</v>
      </c>
      <c r="M127" s="4">
        <v>38843</v>
      </c>
      <c r="N127" s="11">
        <v>126</v>
      </c>
      <c r="O127" s="4">
        <v>39208</v>
      </c>
      <c r="P127" s="11">
        <v>126</v>
      </c>
      <c r="Q127" s="4">
        <v>39573</v>
      </c>
      <c r="R127" s="11">
        <v>126</v>
      </c>
      <c r="S127" s="4">
        <v>39939</v>
      </c>
      <c r="T127" s="11">
        <v>126</v>
      </c>
      <c r="U127" s="4">
        <v>40304</v>
      </c>
      <c r="V127" s="11">
        <v>126</v>
      </c>
      <c r="W127" s="4">
        <v>40669</v>
      </c>
      <c r="X127" s="12">
        <v>126</v>
      </c>
      <c r="Y127" s="4">
        <v>41034</v>
      </c>
    </row>
    <row r="128" spans="5:25" x14ac:dyDescent="0.25">
      <c r="E128" t="s">
        <v>155</v>
      </c>
      <c r="L128" s="10">
        <v>127</v>
      </c>
      <c r="M128" s="4">
        <v>38844</v>
      </c>
      <c r="N128" s="11">
        <v>127</v>
      </c>
      <c r="O128" s="4">
        <v>39209</v>
      </c>
      <c r="P128" s="11">
        <v>127</v>
      </c>
      <c r="Q128" s="4">
        <v>39574</v>
      </c>
      <c r="R128" s="11">
        <v>127</v>
      </c>
      <c r="S128" s="4">
        <v>39940</v>
      </c>
      <c r="T128" s="11">
        <v>127</v>
      </c>
      <c r="U128" s="4">
        <v>40305</v>
      </c>
      <c r="V128" s="11">
        <v>127</v>
      </c>
      <c r="W128" s="4">
        <v>40670</v>
      </c>
      <c r="X128" s="12">
        <v>127</v>
      </c>
      <c r="Y128" s="4">
        <v>41035</v>
      </c>
    </row>
    <row r="129" spans="5:25" x14ac:dyDescent="0.25">
      <c r="E129" t="s">
        <v>156</v>
      </c>
      <c r="L129" s="10">
        <v>128</v>
      </c>
      <c r="M129" s="4">
        <v>38845</v>
      </c>
      <c r="N129" s="11">
        <v>128</v>
      </c>
      <c r="O129" s="4">
        <v>39210</v>
      </c>
      <c r="P129" s="11">
        <v>128</v>
      </c>
      <c r="Q129" s="4">
        <v>39575</v>
      </c>
      <c r="R129" s="11">
        <v>128</v>
      </c>
      <c r="S129" s="4">
        <v>39941</v>
      </c>
      <c r="T129" s="11">
        <v>128</v>
      </c>
      <c r="U129" s="4">
        <v>40306</v>
      </c>
      <c r="V129" s="11">
        <v>128</v>
      </c>
      <c r="W129" s="4">
        <v>40671</v>
      </c>
      <c r="X129" s="12">
        <v>128</v>
      </c>
      <c r="Y129" s="4">
        <v>41036</v>
      </c>
    </row>
    <row r="130" spans="5:25" x14ac:dyDescent="0.25">
      <c r="E130" t="s">
        <v>157</v>
      </c>
      <c r="L130" s="10">
        <v>129</v>
      </c>
      <c r="M130" s="4">
        <v>38846</v>
      </c>
      <c r="N130" s="11">
        <v>129</v>
      </c>
      <c r="O130" s="4">
        <v>39211</v>
      </c>
      <c r="P130" s="11">
        <v>129</v>
      </c>
      <c r="Q130" s="4">
        <v>39576</v>
      </c>
      <c r="R130" s="11">
        <v>129</v>
      </c>
      <c r="S130" s="4">
        <v>39942</v>
      </c>
      <c r="T130" s="11">
        <v>129</v>
      </c>
      <c r="U130" s="4">
        <v>40307</v>
      </c>
      <c r="V130" s="11">
        <v>129</v>
      </c>
      <c r="W130" s="4">
        <v>40672</v>
      </c>
      <c r="X130" s="12">
        <v>129</v>
      </c>
      <c r="Y130" s="4">
        <v>41037</v>
      </c>
    </row>
    <row r="131" spans="5:25" x14ac:dyDescent="0.25">
      <c r="E131" t="s">
        <v>158</v>
      </c>
      <c r="L131" s="10">
        <v>130</v>
      </c>
      <c r="M131" s="4">
        <v>38847</v>
      </c>
      <c r="N131" s="11">
        <v>130</v>
      </c>
      <c r="O131" s="4">
        <v>39212</v>
      </c>
      <c r="P131" s="11">
        <v>130</v>
      </c>
      <c r="Q131" s="4">
        <v>39577</v>
      </c>
      <c r="R131" s="11">
        <v>130</v>
      </c>
      <c r="S131" s="4">
        <v>39943</v>
      </c>
      <c r="T131" s="11">
        <v>130</v>
      </c>
      <c r="U131" s="4">
        <v>40308</v>
      </c>
      <c r="V131" s="11">
        <v>130</v>
      </c>
      <c r="W131" s="4">
        <v>40673</v>
      </c>
      <c r="X131" s="12">
        <v>130</v>
      </c>
      <c r="Y131" s="4">
        <v>41038</v>
      </c>
    </row>
    <row r="132" spans="5:25" x14ac:dyDescent="0.25">
      <c r="E132" t="s">
        <v>159</v>
      </c>
      <c r="L132" s="10">
        <v>131</v>
      </c>
      <c r="M132" s="4">
        <v>38848</v>
      </c>
      <c r="N132" s="11">
        <v>131</v>
      </c>
      <c r="O132" s="4">
        <v>39213</v>
      </c>
      <c r="P132" s="11">
        <v>131</v>
      </c>
      <c r="Q132" s="4">
        <v>39578</v>
      </c>
      <c r="R132" s="11">
        <v>131</v>
      </c>
      <c r="S132" s="4">
        <v>39944</v>
      </c>
      <c r="T132" s="11">
        <v>131</v>
      </c>
      <c r="U132" s="4">
        <v>40309</v>
      </c>
      <c r="V132" s="11">
        <v>131</v>
      </c>
      <c r="W132" s="4">
        <v>40674</v>
      </c>
      <c r="X132" s="12">
        <v>131</v>
      </c>
      <c r="Y132" s="4">
        <v>41039</v>
      </c>
    </row>
    <row r="133" spans="5:25" x14ac:dyDescent="0.25">
      <c r="E133" t="s">
        <v>160</v>
      </c>
      <c r="L133" s="10">
        <v>132</v>
      </c>
      <c r="M133" s="4">
        <v>38849</v>
      </c>
      <c r="N133" s="11">
        <v>132</v>
      </c>
      <c r="O133" s="4">
        <v>39214</v>
      </c>
      <c r="P133" s="11">
        <v>132</v>
      </c>
      <c r="Q133" s="4">
        <v>39579</v>
      </c>
      <c r="R133" s="11">
        <v>132</v>
      </c>
      <c r="S133" s="4">
        <v>39945</v>
      </c>
      <c r="T133" s="11">
        <v>132</v>
      </c>
      <c r="U133" s="4">
        <v>40310</v>
      </c>
      <c r="V133" s="11">
        <v>132</v>
      </c>
      <c r="W133" s="4">
        <v>40675</v>
      </c>
      <c r="X133" s="12">
        <v>132</v>
      </c>
      <c r="Y133" s="4">
        <v>41040</v>
      </c>
    </row>
    <row r="134" spans="5:25" x14ac:dyDescent="0.25">
      <c r="E134" t="s">
        <v>161</v>
      </c>
      <c r="L134" s="10">
        <v>133</v>
      </c>
      <c r="M134" s="4">
        <v>38850</v>
      </c>
      <c r="N134" s="11">
        <v>133</v>
      </c>
      <c r="O134" s="4">
        <v>39215</v>
      </c>
      <c r="P134" s="11">
        <v>133</v>
      </c>
      <c r="Q134" s="4">
        <v>39580</v>
      </c>
      <c r="R134" s="11">
        <v>133</v>
      </c>
      <c r="S134" s="4">
        <v>39946</v>
      </c>
      <c r="T134" s="11">
        <v>133</v>
      </c>
      <c r="U134" s="4">
        <v>40311</v>
      </c>
      <c r="V134" s="11">
        <v>133</v>
      </c>
      <c r="W134" s="4">
        <v>40676</v>
      </c>
      <c r="X134" s="12">
        <v>133</v>
      </c>
      <c r="Y134" s="4">
        <v>41041</v>
      </c>
    </row>
    <row r="135" spans="5:25" x14ac:dyDescent="0.25">
      <c r="E135" t="s">
        <v>162</v>
      </c>
      <c r="L135" s="10">
        <v>134</v>
      </c>
      <c r="M135" s="4">
        <v>38851</v>
      </c>
      <c r="N135" s="11">
        <v>134</v>
      </c>
      <c r="O135" s="4">
        <v>39216</v>
      </c>
      <c r="P135" s="11">
        <v>134</v>
      </c>
      <c r="Q135" s="4">
        <v>39581</v>
      </c>
      <c r="R135" s="11">
        <v>134</v>
      </c>
      <c r="S135" s="4">
        <v>39947</v>
      </c>
      <c r="T135" s="11">
        <v>134</v>
      </c>
      <c r="U135" s="4">
        <v>40312</v>
      </c>
      <c r="V135" s="11">
        <v>134</v>
      </c>
      <c r="W135" s="4">
        <v>40677</v>
      </c>
      <c r="X135" s="12">
        <v>134</v>
      </c>
      <c r="Y135" s="4">
        <v>41042</v>
      </c>
    </row>
    <row r="136" spans="5:25" x14ac:dyDescent="0.25">
      <c r="E136" t="s">
        <v>163</v>
      </c>
      <c r="L136" s="10">
        <v>135</v>
      </c>
      <c r="M136" s="4">
        <v>38852</v>
      </c>
      <c r="N136" s="11">
        <v>135</v>
      </c>
      <c r="O136" s="4">
        <v>39217</v>
      </c>
      <c r="P136" s="11">
        <v>135</v>
      </c>
      <c r="Q136" s="4">
        <v>39582</v>
      </c>
      <c r="R136" s="11">
        <v>135</v>
      </c>
      <c r="S136" s="4">
        <v>39948</v>
      </c>
      <c r="T136" s="11">
        <v>135</v>
      </c>
      <c r="U136" s="4">
        <v>40313</v>
      </c>
      <c r="V136" s="11">
        <v>135</v>
      </c>
      <c r="W136" s="4">
        <v>40678</v>
      </c>
      <c r="X136" s="12">
        <v>135</v>
      </c>
      <c r="Y136" s="4">
        <v>41043</v>
      </c>
    </row>
    <row r="137" spans="5:25" x14ac:dyDescent="0.25">
      <c r="E137" t="s">
        <v>164</v>
      </c>
      <c r="L137" s="10">
        <v>136</v>
      </c>
      <c r="M137" s="4">
        <v>38853</v>
      </c>
      <c r="N137" s="11">
        <v>136</v>
      </c>
      <c r="O137" s="4">
        <v>39218</v>
      </c>
      <c r="P137" s="11">
        <v>136</v>
      </c>
      <c r="Q137" s="4">
        <v>39583</v>
      </c>
      <c r="R137" s="11">
        <v>136</v>
      </c>
      <c r="S137" s="4">
        <v>39949</v>
      </c>
      <c r="T137" s="11">
        <v>136</v>
      </c>
      <c r="U137" s="4">
        <v>40314</v>
      </c>
      <c r="V137" s="11">
        <v>136</v>
      </c>
      <c r="W137" s="4">
        <v>40679</v>
      </c>
      <c r="X137" s="12">
        <v>136</v>
      </c>
      <c r="Y137" s="4">
        <v>41044</v>
      </c>
    </row>
    <row r="138" spans="5:25" x14ac:dyDescent="0.25">
      <c r="E138" t="s">
        <v>165</v>
      </c>
      <c r="L138" s="10">
        <v>137</v>
      </c>
      <c r="M138" s="4">
        <v>38854</v>
      </c>
      <c r="N138" s="11">
        <v>137</v>
      </c>
      <c r="O138" s="4">
        <v>39219</v>
      </c>
      <c r="P138" s="11">
        <v>137</v>
      </c>
      <c r="Q138" s="4">
        <v>39584</v>
      </c>
      <c r="R138" s="11">
        <v>137</v>
      </c>
      <c r="S138" s="4">
        <v>39950</v>
      </c>
      <c r="T138" s="11">
        <v>137</v>
      </c>
      <c r="U138" s="4">
        <v>40315</v>
      </c>
      <c r="V138" s="11">
        <v>137</v>
      </c>
      <c r="W138" s="4">
        <v>40680</v>
      </c>
      <c r="X138" s="12">
        <v>137</v>
      </c>
      <c r="Y138" s="4">
        <v>41045</v>
      </c>
    </row>
    <row r="139" spans="5:25" x14ac:dyDescent="0.25">
      <c r="E139" t="s">
        <v>166</v>
      </c>
      <c r="L139" s="10">
        <v>138</v>
      </c>
      <c r="M139" s="4">
        <v>38855</v>
      </c>
      <c r="N139" s="11">
        <v>138</v>
      </c>
      <c r="O139" s="4">
        <v>39220</v>
      </c>
      <c r="P139" s="11">
        <v>138</v>
      </c>
      <c r="Q139" s="4">
        <v>39585</v>
      </c>
      <c r="R139" s="11">
        <v>138</v>
      </c>
      <c r="S139" s="4">
        <v>39951</v>
      </c>
      <c r="T139" s="11">
        <v>138</v>
      </c>
      <c r="U139" s="4">
        <v>40316</v>
      </c>
      <c r="V139" s="11">
        <v>138</v>
      </c>
      <c r="W139" s="4">
        <v>40681</v>
      </c>
      <c r="X139" s="12">
        <v>138</v>
      </c>
      <c r="Y139" s="4">
        <v>41046</v>
      </c>
    </row>
    <row r="140" spans="5:25" x14ac:dyDescent="0.25">
      <c r="E140" t="s">
        <v>167</v>
      </c>
      <c r="L140" s="10">
        <v>139</v>
      </c>
      <c r="M140" s="4">
        <v>38856</v>
      </c>
      <c r="N140" s="11">
        <v>139</v>
      </c>
      <c r="O140" s="4">
        <v>39221</v>
      </c>
      <c r="P140" s="11">
        <v>139</v>
      </c>
      <c r="Q140" s="4">
        <v>39586</v>
      </c>
      <c r="R140" s="11">
        <v>139</v>
      </c>
      <c r="S140" s="4">
        <v>39952</v>
      </c>
      <c r="T140" s="11">
        <v>139</v>
      </c>
      <c r="U140" s="4">
        <v>40317</v>
      </c>
      <c r="V140" s="11">
        <v>139</v>
      </c>
      <c r="W140" s="4">
        <v>40682</v>
      </c>
      <c r="X140" s="12">
        <v>139</v>
      </c>
      <c r="Y140" s="4">
        <v>41047</v>
      </c>
    </row>
    <row r="141" spans="5:25" x14ac:dyDescent="0.25">
      <c r="E141" t="s">
        <v>168</v>
      </c>
      <c r="L141" s="10">
        <v>140</v>
      </c>
      <c r="M141" s="4">
        <v>38857</v>
      </c>
      <c r="N141" s="11">
        <v>140</v>
      </c>
      <c r="O141" s="4">
        <v>39222</v>
      </c>
      <c r="P141" s="11">
        <v>140</v>
      </c>
      <c r="Q141" s="4">
        <v>39587</v>
      </c>
      <c r="R141" s="11">
        <v>140</v>
      </c>
      <c r="S141" s="4">
        <v>39953</v>
      </c>
      <c r="T141" s="11">
        <v>140</v>
      </c>
      <c r="U141" s="4">
        <v>40318</v>
      </c>
      <c r="V141" s="11">
        <v>140</v>
      </c>
      <c r="W141" s="4">
        <v>40683</v>
      </c>
      <c r="X141" s="12">
        <v>140</v>
      </c>
      <c r="Y141" s="4">
        <v>41048</v>
      </c>
    </row>
    <row r="142" spans="5:25" x14ac:dyDescent="0.25">
      <c r="E142" t="s">
        <v>169</v>
      </c>
      <c r="L142" s="10">
        <v>141</v>
      </c>
      <c r="M142" s="4">
        <v>38858</v>
      </c>
      <c r="N142" s="11">
        <v>141</v>
      </c>
      <c r="O142" s="4">
        <v>39223</v>
      </c>
      <c r="P142" s="11">
        <v>141</v>
      </c>
      <c r="Q142" s="4">
        <v>39588</v>
      </c>
      <c r="R142" s="11">
        <v>141</v>
      </c>
      <c r="S142" s="4">
        <v>39954</v>
      </c>
      <c r="T142" s="11">
        <v>141</v>
      </c>
      <c r="U142" s="4">
        <v>40319</v>
      </c>
      <c r="V142" s="11">
        <v>141</v>
      </c>
      <c r="W142" s="4">
        <v>40684</v>
      </c>
      <c r="X142" s="12">
        <v>141</v>
      </c>
      <c r="Y142" s="4">
        <v>41049</v>
      </c>
    </row>
    <row r="143" spans="5:25" x14ac:dyDescent="0.25">
      <c r="E143" t="s">
        <v>170</v>
      </c>
      <c r="L143" s="10">
        <v>142</v>
      </c>
      <c r="M143" s="4">
        <v>38859</v>
      </c>
      <c r="N143" s="11">
        <v>142</v>
      </c>
      <c r="O143" s="4">
        <v>39224</v>
      </c>
      <c r="P143" s="11">
        <v>142</v>
      </c>
      <c r="Q143" s="4">
        <v>39589</v>
      </c>
      <c r="R143" s="11">
        <v>142</v>
      </c>
      <c r="S143" s="4">
        <v>39955</v>
      </c>
      <c r="T143" s="11">
        <v>142</v>
      </c>
      <c r="U143" s="4">
        <v>40320</v>
      </c>
      <c r="V143" s="11">
        <v>142</v>
      </c>
      <c r="W143" s="4">
        <v>40685</v>
      </c>
      <c r="X143" s="12">
        <v>142</v>
      </c>
      <c r="Y143" s="4">
        <v>41050</v>
      </c>
    </row>
    <row r="144" spans="5:25" x14ac:dyDescent="0.25">
      <c r="E144" t="s">
        <v>171</v>
      </c>
      <c r="L144" s="10">
        <v>143</v>
      </c>
      <c r="M144" s="4">
        <v>38860</v>
      </c>
      <c r="N144" s="11">
        <v>143</v>
      </c>
      <c r="O144" s="4">
        <v>39225</v>
      </c>
      <c r="P144" s="11">
        <v>143</v>
      </c>
      <c r="Q144" s="4">
        <v>39590</v>
      </c>
      <c r="R144" s="11">
        <v>143</v>
      </c>
      <c r="S144" s="4">
        <v>39956</v>
      </c>
      <c r="T144" s="11">
        <v>143</v>
      </c>
      <c r="U144" s="4">
        <v>40321</v>
      </c>
      <c r="V144" s="11">
        <v>143</v>
      </c>
      <c r="W144" s="4">
        <v>40686</v>
      </c>
      <c r="X144" s="12">
        <v>143</v>
      </c>
      <c r="Y144" s="4">
        <v>41051</v>
      </c>
    </row>
    <row r="145" spans="5:25" x14ac:dyDescent="0.25">
      <c r="E145" t="s">
        <v>172</v>
      </c>
      <c r="L145" s="10">
        <v>144</v>
      </c>
      <c r="M145" s="4">
        <v>38861</v>
      </c>
      <c r="N145" s="11">
        <v>144</v>
      </c>
      <c r="O145" s="4">
        <v>39226</v>
      </c>
      <c r="P145" s="11">
        <v>144</v>
      </c>
      <c r="Q145" s="4">
        <v>39591</v>
      </c>
      <c r="R145" s="11">
        <v>144</v>
      </c>
      <c r="S145" s="4">
        <v>39957</v>
      </c>
      <c r="T145" s="11">
        <v>144</v>
      </c>
      <c r="U145" s="4">
        <v>40322</v>
      </c>
      <c r="V145" s="11">
        <v>144</v>
      </c>
      <c r="W145" s="4">
        <v>40687</v>
      </c>
      <c r="X145" s="12">
        <v>144</v>
      </c>
      <c r="Y145" s="4">
        <v>41052</v>
      </c>
    </row>
    <row r="146" spans="5:25" x14ac:dyDescent="0.25">
      <c r="E146" t="s">
        <v>173</v>
      </c>
      <c r="L146" s="10">
        <v>145</v>
      </c>
      <c r="M146" s="4">
        <v>38862</v>
      </c>
      <c r="N146" s="11">
        <v>145</v>
      </c>
      <c r="O146" s="4">
        <v>39227</v>
      </c>
      <c r="P146" s="11">
        <v>145</v>
      </c>
      <c r="Q146" s="4">
        <v>39592</v>
      </c>
      <c r="R146" s="11">
        <v>145</v>
      </c>
      <c r="S146" s="4">
        <v>39958</v>
      </c>
      <c r="T146" s="11">
        <v>145</v>
      </c>
      <c r="U146" s="4">
        <v>40323</v>
      </c>
      <c r="V146" s="11">
        <v>145</v>
      </c>
      <c r="W146" s="4">
        <v>40688</v>
      </c>
      <c r="X146" s="12">
        <v>145</v>
      </c>
      <c r="Y146" s="4">
        <v>41053</v>
      </c>
    </row>
    <row r="147" spans="5:25" x14ac:dyDescent="0.25">
      <c r="E147" t="s">
        <v>174</v>
      </c>
      <c r="L147" s="10">
        <v>146</v>
      </c>
      <c r="M147" s="4">
        <v>38863</v>
      </c>
      <c r="N147" s="11">
        <v>146</v>
      </c>
      <c r="O147" s="4">
        <v>39228</v>
      </c>
      <c r="P147" s="11">
        <v>146</v>
      </c>
      <c r="Q147" s="4">
        <v>39593</v>
      </c>
      <c r="R147" s="11">
        <v>146</v>
      </c>
      <c r="S147" s="4">
        <v>39959</v>
      </c>
      <c r="T147" s="11">
        <v>146</v>
      </c>
      <c r="U147" s="4">
        <v>40324</v>
      </c>
      <c r="V147" s="11">
        <v>146</v>
      </c>
      <c r="W147" s="4">
        <v>40689</v>
      </c>
      <c r="X147" s="12">
        <v>146</v>
      </c>
      <c r="Y147" s="4">
        <v>41054</v>
      </c>
    </row>
    <row r="148" spans="5:25" x14ac:dyDescent="0.25">
      <c r="E148" t="s">
        <v>175</v>
      </c>
      <c r="L148" s="10">
        <v>147</v>
      </c>
      <c r="M148" s="4">
        <v>38864</v>
      </c>
      <c r="N148" s="11">
        <v>147</v>
      </c>
      <c r="O148" s="4">
        <v>39229</v>
      </c>
      <c r="P148" s="11">
        <v>147</v>
      </c>
      <c r="Q148" s="4">
        <v>39594</v>
      </c>
      <c r="R148" s="11">
        <v>147</v>
      </c>
      <c r="S148" s="4">
        <v>39960</v>
      </c>
      <c r="T148" s="11">
        <v>147</v>
      </c>
      <c r="U148" s="4">
        <v>40325</v>
      </c>
      <c r="V148" s="11">
        <v>147</v>
      </c>
      <c r="W148" s="4">
        <v>40690</v>
      </c>
      <c r="X148" s="12">
        <v>147</v>
      </c>
      <c r="Y148" s="4">
        <v>41055</v>
      </c>
    </row>
    <row r="149" spans="5:25" x14ac:dyDescent="0.25">
      <c r="E149" t="s">
        <v>176</v>
      </c>
      <c r="L149" s="10">
        <v>148</v>
      </c>
      <c r="M149" s="4">
        <v>38865</v>
      </c>
      <c r="N149" s="11">
        <v>148</v>
      </c>
      <c r="O149" s="4">
        <v>39230</v>
      </c>
      <c r="P149" s="11">
        <v>148</v>
      </c>
      <c r="Q149" s="4">
        <v>39595</v>
      </c>
      <c r="R149" s="11">
        <v>148</v>
      </c>
      <c r="S149" s="4">
        <v>39961</v>
      </c>
      <c r="T149" s="11">
        <v>148</v>
      </c>
      <c r="U149" s="4">
        <v>40326</v>
      </c>
      <c r="V149" s="11">
        <v>148</v>
      </c>
      <c r="W149" s="4">
        <v>40691</v>
      </c>
      <c r="X149" s="12">
        <v>148</v>
      </c>
      <c r="Y149" s="4">
        <v>41056</v>
      </c>
    </row>
    <row r="150" spans="5:25" x14ac:dyDescent="0.25">
      <c r="E150" t="s">
        <v>177</v>
      </c>
      <c r="L150" s="10">
        <v>149</v>
      </c>
      <c r="M150" s="4">
        <v>38866</v>
      </c>
      <c r="N150" s="11">
        <v>149</v>
      </c>
      <c r="O150" s="4">
        <v>39231</v>
      </c>
      <c r="P150" s="11">
        <v>149</v>
      </c>
      <c r="Q150" s="4">
        <v>39596</v>
      </c>
      <c r="R150" s="11">
        <v>149</v>
      </c>
      <c r="S150" s="4">
        <v>39962</v>
      </c>
      <c r="T150" s="11">
        <v>149</v>
      </c>
      <c r="U150" s="4">
        <v>40327</v>
      </c>
      <c r="V150" s="11">
        <v>149</v>
      </c>
      <c r="W150" s="4">
        <v>40692</v>
      </c>
      <c r="X150" s="12">
        <v>149</v>
      </c>
      <c r="Y150" s="4">
        <v>41057</v>
      </c>
    </row>
    <row r="151" spans="5:25" x14ac:dyDescent="0.25">
      <c r="E151" t="s">
        <v>178</v>
      </c>
      <c r="L151" s="10">
        <v>150</v>
      </c>
      <c r="M151" s="4">
        <v>38867</v>
      </c>
      <c r="N151" s="11">
        <v>150</v>
      </c>
      <c r="O151" s="4">
        <v>39232</v>
      </c>
      <c r="P151" s="11">
        <v>150</v>
      </c>
      <c r="Q151" s="4">
        <v>39597</v>
      </c>
      <c r="R151" s="11">
        <v>150</v>
      </c>
      <c r="S151" s="4">
        <v>39963</v>
      </c>
      <c r="T151" s="11">
        <v>150</v>
      </c>
      <c r="U151" s="4">
        <v>40328</v>
      </c>
      <c r="V151" s="11">
        <v>150</v>
      </c>
      <c r="W151" s="4">
        <v>40693</v>
      </c>
      <c r="X151" s="12">
        <v>150</v>
      </c>
      <c r="Y151" s="4">
        <v>41058</v>
      </c>
    </row>
    <row r="152" spans="5:25" x14ac:dyDescent="0.25">
      <c r="E152" t="s">
        <v>179</v>
      </c>
      <c r="L152" s="10">
        <v>151</v>
      </c>
      <c r="M152" s="4">
        <v>38868</v>
      </c>
      <c r="N152" s="11">
        <v>151</v>
      </c>
      <c r="O152" s="4">
        <v>39233</v>
      </c>
      <c r="P152" s="11">
        <v>151</v>
      </c>
      <c r="Q152" s="4">
        <v>39598</v>
      </c>
      <c r="R152" s="11">
        <v>151</v>
      </c>
      <c r="S152" s="4">
        <v>39964</v>
      </c>
      <c r="T152" s="11">
        <v>151</v>
      </c>
      <c r="U152" s="4">
        <v>40329</v>
      </c>
      <c r="V152" s="11">
        <v>151</v>
      </c>
      <c r="W152" s="4">
        <v>40694</v>
      </c>
      <c r="X152" s="12">
        <v>151</v>
      </c>
      <c r="Y152" s="4">
        <v>41059</v>
      </c>
    </row>
    <row r="153" spans="5:25" x14ac:dyDescent="0.25">
      <c r="E153" t="s">
        <v>180</v>
      </c>
      <c r="L153" s="10">
        <v>152</v>
      </c>
      <c r="M153" s="4">
        <v>38869</v>
      </c>
      <c r="N153" s="11">
        <v>152</v>
      </c>
      <c r="O153" s="4">
        <v>39234</v>
      </c>
      <c r="P153" s="11">
        <v>152</v>
      </c>
      <c r="Q153" s="4">
        <v>39599</v>
      </c>
      <c r="R153" s="11">
        <v>152</v>
      </c>
      <c r="S153" s="4">
        <v>39965</v>
      </c>
      <c r="T153" s="11">
        <v>152</v>
      </c>
      <c r="U153" s="4">
        <v>40330</v>
      </c>
      <c r="V153" s="11">
        <v>152</v>
      </c>
      <c r="W153" s="4">
        <v>40695</v>
      </c>
      <c r="X153" s="12">
        <v>152</v>
      </c>
      <c r="Y153" s="4">
        <v>41060</v>
      </c>
    </row>
    <row r="154" spans="5:25" x14ac:dyDescent="0.25">
      <c r="E154" t="s">
        <v>181</v>
      </c>
      <c r="L154" s="10">
        <v>153</v>
      </c>
      <c r="M154" s="4">
        <v>38870</v>
      </c>
      <c r="N154" s="11">
        <v>153</v>
      </c>
      <c r="O154" s="4">
        <v>39235</v>
      </c>
      <c r="P154" s="11">
        <v>153</v>
      </c>
      <c r="Q154" s="4">
        <v>39600</v>
      </c>
      <c r="R154" s="11">
        <v>153</v>
      </c>
      <c r="S154" s="4">
        <v>39966</v>
      </c>
      <c r="T154" s="11">
        <v>153</v>
      </c>
      <c r="U154" s="4">
        <v>40331</v>
      </c>
      <c r="V154" s="11">
        <v>153</v>
      </c>
      <c r="W154" s="4">
        <v>40696</v>
      </c>
      <c r="X154" s="12">
        <v>153</v>
      </c>
      <c r="Y154" s="4">
        <v>41061</v>
      </c>
    </row>
    <row r="155" spans="5:25" x14ac:dyDescent="0.25">
      <c r="E155" t="s">
        <v>182</v>
      </c>
      <c r="L155" s="10">
        <v>154</v>
      </c>
      <c r="M155" s="4">
        <v>38871</v>
      </c>
      <c r="N155" s="11">
        <v>154</v>
      </c>
      <c r="O155" s="4">
        <v>39236</v>
      </c>
      <c r="P155" s="11">
        <v>154</v>
      </c>
      <c r="Q155" s="4">
        <v>39601</v>
      </c>
      <c r="R155" s="11">
        <v>154</v>
      </c>
      <c r="S155" s="4">
        <v>39967</v>
      </c>
      <c r="T155" s="11">
        <v>154</v>
      </c>
      <c r="U155" s="4">
        <v>40332</v>
      </c>
      <c r="V155" s="11">
        <v>154</v>
      </c>
      <c r="W155" s="4">
        <v>40697</v>
      </c>
      <c r="X155" s="12">
        <v>154</v>
      </c>
      <c r="Y155" s="4">
        <v>41062</v>
      </c>
    </row>
    <row r="156" spans="5:25" x14ac:dyDescent="0.25">
      <c r="E156" t="s">
        <v>183</v>
      </c>
      <c r="L156" s="10">
        <v>155</v>
      </c>
      <c r="M156" s="4">
        <v>38872</v>
      </c>
      <c r="N156" s="11">
        <v>155</v>
      </c>
      <c r="O156" s="4">
        <v>39237</v>
      </c>
      <c r="P156" s="11">
        <v>155</v>
      </c>
      <c r="Q156" s="4">
        <v>39602</v>
      </c>
      <c r="R156" s="11">
        <v>155</v>
      </c>
      <c r="S156" s="4">
        <v>39968</v>
      </c>
      <c r="T156" s="11">
        <v>155</v>
      </c>
      <c r="U156" s="4">
        <v>40333</v>
      </c>
      <c r="V156" s="11">
        <v>155</v>
      </c>
      <c r="W156" s="4">
        <v>40698</v>
      </c>
      <c r="X156" s="12">
        <v>155</v>
      </c>
      <c r="Y156" s="4">
        <v>41063</v>
      </c>
    </row>
    <row r="157" spans="5:25" x14ac:dyDescent="0.25">
      <c r="E157" t="s">
        <v>184</v>
      </c>
      <c r="L157" s="10">
        <v>156</v>
      </c>
      <c r="M157" s="4">
        <v>38873</v>
      </c>
      <c r="N157" s="11">
        <v>156</v>
      </c>
      <c r="O157" s="4">
        <v>39238</v>
      </c>
      <c r="P157" s="11">
        <v>156</v>
      </c>
      <c r="Q157" s="4">
        <v>39603</v>
      </c>
      <c r="R157" s="11">
        <v>156</v>
      </c>
      <c r="S157" s="4">
        <v>39969</v>
      </c>
      <c r="T157" s="11">
        <v>156</v>
      </c>
      <c r="U157" s="4">
        <v>40334</v>
      </c>
      <c r="V157" s="11">
        <v>156</v>
      </c>
      <c r="W157" s="4">
        <v>40699</v>
      </c>
      <c r="X157" s="12">
        <v>156</v>
      </c>
      <c r="Y157" s="4">
        <v>41064</v>
      </c>
    </row>
    <row r="158" spans="5:25" x14ac:dyDescent="0.25">
      <c r="E158" t="s">
        <v>185</v>
      </c>
      <c r="L158" s="10">
        <v>157</v>
      </c>
      <c r="M158" s="4">
        <v>38874</v>
      </c>
      <c r="N158" s="11">
        <v>157</v>
      </c>
      <c r="O158" s="4">
        <v>39239</v>
      </c>
      <c r="P158" s="11">
        <v>157</v>
      </c>
      <c r="Q158" s="4">
        <v>39604</v>
      </c>
      <c r="R158" s="11">
        <v>157</v>
      </c>
      <c r="S158" s="4">
        <v>39970</v>
      </c>
      <c r="T158" s="11">
        <v>157</v>
      </c>
      <c r="U158" s="4">
        <v>40335</v>
      </c>
      <c r="V158" s="11">
        <v>157</v>
      </c>
      <c r="W158" s="4">
        <v>40700</v>
      </c>
      <c r="X158" s="12">
        <v>157</v>
      </c>
      <c r="Y158" s="4">
        <v>41065</v>
      </c>
    </row>
    <row r="159" spans="5:25" x14ac:dyDescent="0.25">
      <c r="E159" t="s">
        <v>186</v>
      </c>
      <c r="L159" s="10">
        <v>158</v>
      </c>
      <c r="M159" s="4">
        <v>38875</v>
      </c>
      <c r="N159" s="11">
        <v>158</v>
      </c>
      <c r="O159" s="4">
        <v>39240</v>
      </c>
      <c r="P159" s="11">
        <v>158</v>
      </c>
      <c r="Q159" s="4">
        <v>39605</v>
      </c>
      <c r="R159" s="11">
        <v>158</v>
      </c>
      <c r="S159" s="4">
        <v>39971</v>
      </c>
      <c r="T159" s="11">
        <v>158</v>
      </c>
      <c r="U159" s="4">
        <v>40336</v>
      </c>
      <c r="V159" s="11">
        <v>158</v>
      </c>
      <c r="W159" s="4">
        <v>40701</v>
      </c>
      <c r="X159" s="12">
        <v>158</v>
      </c>
      <c r="Y159" s="4">
        <v>41066</v>
      </c>
    </row>
    <row r="160" spans="5:25" x14ac:dyDescent="0.25">
      <c r="E160" t="s">
        <v>187</v>
      </c>
      <c r="L160" s="10">
        <v>159</v>
      </c>
      <c r="M160" s="4">
        <v>38876</v>
      </c>
      <c r="N160" s="11">
        <v>159</v>
      </c>
      <c r="O160" s="4">
        <v>39241</v>
      </c>
      <c r="P160" s="11">
        <v>159</v>
      </c>
      <c r="Q160" s="4">
        <v>39606</v>
      </c>
      <c r="R160" s="11">
        <v>159</v>
      </c>
      <c r="S160" s="4">
        <v>39972</v>
      </c>
      <c r="T160" s="11">
        <v>159</v>
      </c>
      <c r="U160" s="4">
        <v>40337</v>
      </c>
      <c r="V160" s="11">
        <v>159</v>
      </c>
      <c r="W160" s="4">
        <v>40702</v>
      </c>
      <c r="X160" s="12">
        <v>159</v>
      </c>
      <c r="Y160" s="4">
        <v>41067</v>
      </c>
    </row>
    <row r="161" spans="5:25" x14ac:dyDescent="0.25">
      <c r="E161" t="s">
        <v>188</v>
      </c>
      <c r="L161" s="10">
        <v>160</v>
      </c>
      <c r="M161" s="4">
        <v>38877</v>
      </c>
      <c r="N161" s="11">
        <v>160</v>
      </c>
      <c r="O161" s="4">
        <v>39242</v>
      </c>
      <c r="P161" s="11">
        <v>160</v>
      </c>
      <c r="Q161" s="4">
        <v>39607</v>
      </c>
      <c r="R161" s="11">
        <v>160</v>
      </c>
      <c r="S161" s="4">
        <v>39973</v>
      </c>
      <c r="T161" s="11">
        <v>160</v>
      </c>
      <c r="U161" s="4">
        <v>40338</v>
      </c>
      <c r="V161" s="11">
        <v>160</v>
      </c>
      <c r="W161" s="4">
        <v>40703</v>
      </c>
      <c r="X161" s="12">
        <v>160</v>
      </c>
      <c r="Y161" s="4">
        <v>41068</v>
      </c>
    </row>
    <row r="162" spans="5:25" x14ac:dyDescent="0.25">
      <c r="E162" t="s">
        <v>189</v>
      </c>
      <c r="L162" s="10">
        <v>161</v>
      </c>
      <c r="M162" s="4">
        <v>38878</v>
      </c>
      <c r="N162" s="11">
        <v>161</v>
      </c>
      <c r="O162" s="4">
        <v>39243</v>
      </c>
      <c r="P162" s="11">
        <v>161</v>
      </c>
      <c r="Q162" s="4">
        <v>39608</v>
      </c>
      <c r="R162" s="11">
        <v>161</v>
      </c>
      <c r="S162" s="4">
        <v>39974</v>
      </c>
      <c r="T162" s="11">
        <v>161</v>
      </c>
      <c r="U162" s="4">
        <v>40339</v>
      </c>
      <c r="V162" s="11">
        <v>161</v>
      </c>
      <c r="W162" s="4">
        <v>40704</v>
      </c>
      <c r="X162" s="12">
        <v>161</v>
      </c>
      <c r="Y162" s="4">
        <v>41069</v>
      </c>
    </row>
    <row r="163" spans="5:25" x14ac:dyDescent="0.25">
      <c r="E163" t="s">
        <v>190</v>
      </c>
      <c r="L163" s="10">
        <v>162</v>
      </c>
      <c r="M163" s="4">
        <v>38879</v>
      </c>
      <c r="N163" s="11">
        <v>162</v>
      </c>
      <c r="O163" s="4">
        <v>39244</v>
      </c>
      <c r="P163" s="11">
        <v>162</v>
      </c>
      <c r="Q163" s="4">
        <v>39609</v>
      </c>
      <c r="R163" s="11">
        <v>162</v>
      </c>
      <c r="S163" s="4">
        <v>39975</v>
      </c>
      <c r="T163" s="11">
        <v>162</v>
      </c>
      <c r="U163" s="4">
        <v>40340</v>
      </c>
      <c r="V163" s="11">
        <v>162</v>
      </c>
      <c r="W163" s="4">
        <v>40705</v>
      </c>
      <c r="X163" s="12">
        <v>162</v>
      </c>
      <c r="Y163" s="4">
        <v>41070</v>
      </c>
    </row>
    <row r="164" spans="5:25" x14ac:dyDescent="0.25">
      <c r="L164" s="10">
        <v>163</v>
      </c>
      <c r="M164" s="4">
        <v>38880</v>
      </c>
      <c r="N164" s="11">
        <v>163</v>
      </c>
      <c r="O164" s="4">
        <v>39245</v>
      </c>
      <c r="P164" s="11">
        <v>163</v>
      </c>
      <c r="Q164" s="4">
        <v>39610</v>
      </c>
      <c r="R164" s="11">
        <v>163</v>
      </c>
      <c r="S164" s="4">
        <v>39976</v>
      </c>
      <c r="T164" s="11">
        <v>163</v>
      </c>
      <c r="U164" s="4">
        <v>40341</v>
      </c>
      <c r="V164" s="11">
        <v>163</v>
      </c>
      <c r="W164" s="4">
        <v>40706</v>
      </c>
      <c r="X164" s="12">
        <v>163</v>
      </c>
      <c r="Y164" s="4">
        <v>41071</v>
      </c>
    </row>
    <row r="165" spans="5:25" x14ac:dyDescent="0.25">
      <c r="L165" s="10">
        <v>164</v>
      </c>
      <c r="M165" s="4">
        <v>38881</v>
      </c>
      <c r="N165" s="11">
        <v>164</v>
      </c>
      <c r="O165" s="4">
        <v>39246</v>
      </c>
      <c r="P165" s="11">
        <v>164</v>
      </c>
      <c r="Q165" s="4">
        <v>39611</v>
      </c>
      <c r="R165" s="11">
        <v>164</v>
      </c>
      <c r="S165" s="4">
        <v>39977</v>
      </c>
      <c r="T165" s="11">
        <v>164</v>
      </c>
      <c r="U165" s="4">
        <v>40342</v>
      </c>
      <c r="V165" s="11">
        <v>164</v>
      </c>
      <c r="W165" s="4">
        <v>40707</v>
      </c>
      <c r="X165" s="12">
        <v>164</v>
      </c>
      <c r="Y165" s="4">
        <v>41072</v>
      </c>
    </row>
    <row r="166" spans="5:25" x14ac:dyDescent="0.25">
      <c r="L166" s="10">
        <v>165</v>
      </c>
      <c r="M166" s="4">
        <v>38882</v>
      </c>
      <c r="N166" s="11">
        <v>165</v>
      </c>
      <c r="O166" s="4">
        <v>39247</v>
      </c>
      <c r="P166" s="11">
        <v>165</v>
      </c>
      <c r="Q166" s="4">
        <v>39612</v>
      </c>
      <c r="R166" s="11">
        <v>165</v>
      </c>
      <c r="S166" s="4">
        <v>39978</v>
      </c>
      <c r="T166" s="11">
        <v>165</v>
      </c>
      <c r="U166" s="4">
        <v>40343</v>
      </c>
      <c r="V166" s="11">
        <v>165</v>
      </c>
      <c r="W166" s="4">
        <v>40708</v>
      </c>
      <c r="X166" s="12">
        <v>165</v>
      </c>
      <c r="Y166" s="4">
        <v>41073</v>
      </c>
    </row>
    <row r="167" spans="5:25" x14ac:dyDescent="0.25">
      <c r="L167" s="10">
        <v>166</v>
      </c>
      <c r="M167" s="4">
        <v>38883</v>
      </c>
      <c r="N167" s="11">
        <v>166</v>
      </c>
      <c r="O167" s="4">
        <v>39248</v>
      </c>
      <c r="P167" s="11">
        <v>166</v>
      </c>
      <c r="Q167" s="4">
        <v>39613</v>
      </c>
      <c r="R167" s="11">
        <v>166</v>
      </c>
      <c r="S167" s="4">
        <v>39979</v>
      </c>
      <c r="T167" s="11">
        <v>166</v>
      </c>
      <c r="U167" s="4">
        <v>40344</v>
      </c>
      <c r="V167" s="11">
        <v>166</v>
      </c>
      <c r="W167" s="4">
        <v>40709</v>
      </c>
      <c r="X167" s="12">
        <v>166</v>
      </c>
      <c r="Y167" s="4">
        <v>41074</v>
      </c>
    </row>
    <row r="168" spans="5:25" x14ac:dyDescent="0.25">
      <c r="L168" s="10">
        <v>167</v>
      </c>
      <c r="M168" s="4">
        <v>38884</v>
      </c>
      <c r="N168" s="11">
        <v>167</v>
      </c>
      <c r="O168" s="4">
        <v>39249</v>
      </c>
      <c r="P168" s="11">
        <v>167</v>
      </c>
      <c r="Q168" s="4">
        <v>39614</v>
      </c>
      <c r="R168" s="11">
        <v>167</v>
      </c>
      <c r="S168" s="4">
        <v>39980</v>
      </c>
      <c r="T168" s="11">
        <v>167</v>
      </c>
      <c r="U168" s="4">
        <v>40345</v>
      </c>
      <c r="V168" s="11">
        <v>167</v>
      </c>
      <c r="W168" s="4">
        <v>40710</v>
      </c>
      <c r="X168" s="12">
        <v>167</v>
      </c>
      <c r="Y168" s="4">
        <v>41075</v>
      </c>
    </row>
    <row r="169" spans="5:25" x14ac:dyDescent="0.25">
      <c r="L169" s="10">
        <v>168</v>
      </c>
      <c r="M169" s="4">
        <v>38885</v>
      </c>
      <c r="N169" s="11">
        <v>168</v>
      </c>
      <c r="O169" s="4">
        <v>39250</v>
      </c>
      <c r="P169" s="11">
        <v>168</v>
      </c>
      <c r="Q169" s="4">
        <v>39615</v>
      </c>
      <c r="R169" s="11">
        <v>168</v>
      </c>
      <c r="S169" s="4">
        <v>39981</v>
      </c>
      <c r="T169" s="11">
        <v>168</v>
      </c>
      <c r="U169" s="4">
        <v>40346</v>
      </c>
      <c r="V169" s="11">
        <v>168</v>
      </c>
      <c r="W169" s="4">
        <v>40711</v>
      </c>
      <c r="X169" s="12">
        <v>168</v>
      </c>
      <c r="Y169" s="4">
        <v>41076</v>
      </c>
    </row>
    <row r="170" spans="5:25" x14ac:dyDescent="0.25">
      <c r="L170" s="10">
        <v>169</v>
      </c>
      <c r="M170" s="4">
        <v>38886</v>
      </c>
      <c r="N170" s="11">
        <v>169</v>
      </c>
      <c r="O170" s="4">
        <v>39251</v>
      </c>
      <c r="P170" s="11">
        <v>169</v>
      </c>
      <c r="Q170" s="4">
        <v>39616</v>
      </c>
      <c r="R170" s="11">
        <v>169</v>
      </c>
      <c r="S170" s="4">
        <v>39982</v>
      </c>
      <c r="T170" s="11">
        <v>169</v>
      </c>
      <c r="U170" s="4">
        <v>40347</v>
      </c>
      <c r="V170" s="11">
        <v>169</v>
      </c>
      <c r="W170" s="4">
        <v>40712</v>
      </c>
      <c r="X170" s="12">
        <v>169</v>
      </c>
      <c r="Y170" s="4">
        <v>41077</v>
      </c>
    </row>
    <row r="171" spans="5:25" x14ac:dyDescent="0.25">
      <c r="L171" s="10">
        <v>170</v>
      </c>
      <c r="M171" s="4">
        <v>38887</v>
      </c>
      <c r="N171" s="11">
        <v>170</v>
      </c>
      <c r="O171" s="4">
        <v>39252</v>
      </c>
      <c r="P171" s="11">
        <v>170</v>
      </c>
      <c r="Q171" s="4">
        <v>39617</v>
      </c>
      <c r="R171" s="11">
        <v>170</v>
      </c>
      <c r="S171" s="4">
        <v>39983</v>
      </c>
      <c r="T171" s="11">
        <v>170</v>
      </c>
      <c r="U171" s="4">
        <v>40348</v>
      </c>
      <c r="V171" s="11">
        <v>170</v>
      </c>
      <c r="W171" s="4">
        <v>40713</v>
      </c>
      <c r="X171" s="12">
        <v>170</v>
      </c>
      <c r="Y171" s="4">
        <v>41078</v>
      </c>
    </row>
    <row r="172" spans="5:25" x14ac:dyDescent="0.25">
      <c r="L172" s="10">
        <v>171</v>
      </c>
      <c r="M172" s="4">
        <v>38888</v>
      </c>
      <c r="N172" s="11">
        <v>171</v>
      </c>
      <c r="O172" s="4">
        <v>39253</v>
      </c>
      <c r="P172" s="11">
        <v>171</v>
      </c>
      <c r="Q172" s="4">
        <v>39618</v>
      </c>
      <c r="R172" s="11">
        <v>171</v>
      </c>
      <c r="S172" s="4">
        <v>39984</v>
      </c>
      <c r="T172" s="11">
        <v>171</v>
      </c>
      <c r="U172" s="4">
        <v>40349</v>
      </c>
      <c r="V172" s="11">
        <v>171</v>
      </c>
      <c r="W172" s="4">
        <v>40714</v>
      </c>
      <c r="X172" s="12">
        <v>171</v>
      </c>
      <c r="Y172" s="4">
        <v>41079</v>
      </c>
    </row>
    <row r="173" spans="5:25" x14ac:dyDescent="0.25">
      <c r="L173" s="10">
        <v>172</v>
      </c>
      <c r="M173" s="4">
        <v>38889</v>
      </c>
      <c r="N173" s="11">
        <v>172</v>
      </c>
      <c r="O173" s="4">
        <v>39254</v>
      </c>
      <c r="P173" s="11">
        <v>172</v>
      </c>
      <c r="Q173" s="4">
        <v>39619</v>
      </c>
      <c r="R173" s="11">
        <v>172</v>
      </c>
      <c r="S173" s="4">
        <v>39985</v>
      </c>
      <c r="T173" s="11">
        <v>172</v>
      </c>
      <c r="U173" s="4">
        <v>40350</v>
      </c>
      <c r="V173" s="11">
        <v>172</v>
      </c>
      <c r="W173" s="4">
        <v>40715</v>
      </c>
      <c r="X173" s="12">
        <v>172</v>
      </c>
      <c r="Y173" s="4">
        <v>41080</v>
      </c>
    </row>
    <row r="174" spans="5:25" x14ac:dyDescent="0.25">
      <c r="L174" s="10">
        <v>173</v>
      </c>
      <c r="M174" s="4">
        <v>38890</v>
      </c>
      <c r="N174" s="11">
        <v>173</v>
      </c>
      <c r="O174" s="4">
        <v>39255</v>
      </c>
      <c r="P174" s="11">
        <v>173</v>
      </c>
      <c r="Q174" s="4">
        <v>39620</v>
      </c>
      <c r="R174" s="11">
        <v>173</v>
      </c>
      <c r="S174" s="4">
        <v>39986</v>
      </c>
      <c r="T174" s="11">
        <v>173</v>
      </c>
      <c r="U174" s="4">
        <v>40351</v>
      </c>
      <c r="V174" s="11">
        <v>173</v>
      </c>
      <c r="W174" s="4">
        <v>40716</v>
      </c>
      <c r="X174" s="12">
        <v>173</v>
      </c>
      <c r="Y174" s="4">
        <v>41081</v>
      </c>
    </row>
    <row r="175" spans="5:25" x14ac:dyDescent="0.25">
      <c r="L175" s="10">
        <v>174</v>
      </c>
      <c r="M175" s="4">
        <v>38891</v>
      </c>
      <c r="N175" s="11">
        <v>174</v>
      </c>
      <c r="O175" s="4">
        <v>39256</v>
      </c>
      <c r="P175" s="11">
        <v>174</v>
      </c>
      <c r="Q175" s="4">
        <v>39621</v>
      </c>
      <c r="R175" s="11">
        <v>174</v>
      </c>
      <c r="S175" s="4">
        <v>39987</v>
      </c>
      <c r="T175" s="11">
        <v>174</v>
      </c>
      <c r="U175" s="4">
        <v>40352</v>
      </c>
      <c r="V175" s="11">
        <v>174</v>
      </c>
      <c r="W175" s="4">
        <v>40717</v>
      </c>
      <c r="X175" s="12">
        <v>174</v>
      </c>
      <c r="Y175" s="4">
        <v>41082</v>
      </c>
    </row>
    <row r="176" spans="5:25" x14ac:dyDescent="0.25">
      <c r="L176" s="10">
        <v>175</v>
      </c>
      <c r="M176" s="4">
        <v>38892</v>
      </c>
      <c r="N176" s="11">
        <v>175</v>
      </c>
      <c r="O176" s="4">
        <v>39257</v>
      </c>
      <c r="P176" s="11">
        <v>175</v>
      </c>
      <c r="Q176" s="4">
        <v>39622</v>
      </c>
      <c r="R176" s="11">
        <v>175</v>
      </c>
      <c r="S176" s="4">
        <v>39988</v>
      </c>
      <c r="T176" s="11">
        <v>175</v>
      </c>
      <c r="U176" s="4">
        <v>40353</v>
      </c>
      <c r="V176" s="11">
        <v>175</v>
      </c>
      <c r="W176" s="4">
        <v>40718</v>
      </c>
      <c r="X176" s="12">
        <v>175</v>
      </c>
      <c r="Y176" s="4">
        <v>41083</v>
      </c>
    </row>
    <row r="177" spans="12:25" x14ac:dyDescent="0.25">
      <c r="L177" s="10">
        <v>176</v>
      </c>
      <c r="M177" s="4">
        <v>38893</v>
      </c>
      <c r="N177" s="11">
        <v>176</v>
      </c>
      <c r="O177" s="4">
        <v>39258</v>
      </c>
      <c r="P177" s="11">
        <v>176</v>
      </c>
      <c r="Q177" s="4">
        <v>39623</v>
      </c>
      <c r="R177" s="11">
        <v>176</v>
      </c>
      <c r="S177" s="4">
        <v>39989</v>
      </c>
      <c r="T177" s="11">
        <v>176</v>
      </c>
      <c r="U177" s="4">
        <v>40354</v>
      </c>
      <c r="V177" s="11">
        <v>176</v>
      </c>
      <c r="W177" s="4">
        <v>40719</v>
      </c>
      <c r="X177" s="12">
        <v>176</v>
      </c>
      <c r="Y177" s="4">
        <v>41084</v>
      </c>
    </row>
    <row r="178" spans="12:25" x14ac:dyDescent="0.25">
      <c r="L178" s="10">
        <v>177</v>
      </c>
      <c r="M178" s="4">
        <v>38894</v>
      </c>
      <c r="N178" s="11">
        <v>177</v>
      </c>
      <c r="O178" s="4">
        <v>39259</v>
      </c>
      <c r="P178" s="11">
        <v>177</v>
      </c>
      <c r="Q178" s="4">
        <v>39624</v>
      </c>
      <c r="R178" s="11">
        <v>177</v>
      </c>
      <c r="S178" s="4">
        <v>39990</v>
      </c>
      <c r="T178" s="11">
        <v>177</v>
      </c>
      <c r="U178" s="4">
        <v>40355</v>
      </c>
      <c r="V178" s="11">
        <v>177</v>
      </c>
      <c r="W178" s="4">
        <v>40720</v>
      </c>
      <c r="X178" s="12">
        <v>177</v>
      </c>
      <c r="Y178" s="4">
        <v>41085</v>
      </c>
    </row>
    <row r="179" spans="12:25" x14ac:dyDescent="0.25">
      <c r="L179" s="10">
        <v>178</v>
      </c>
      <c r="M179" s="4">
        <v>38895</v>
      </c>
      <c r="N179" s="11">
        <v>178</v>
      </c>
      <c r="O179" s="4">
        <v>39260</v>
      </c>
      <c r="P179" s="11">
        <v>178</v>
      </c>
      <c r="Q179" s="4">
        <v>39625</v>
      </c>
      <c r="R179" s="11">
        <v>178</v>
      </c>
      <c r="S179" s="4">
        <v>39991</v>
      </c>
      <c r="T179" s="11">
        <v>178</v>
      </c>
      <c r="U179" s="4">
        <v>40356</v>
      </c>
      <c r="V179" s="11">
        <v>178</v>
      </c>
      <c r="W179" s="4">
        <v>40721</v>
      </c>
      <c r="X179" s="12">
        <v>178</v>
      </c>
      <c r="Y179" s="4">
        <v>41086</v>
      </c>
    </row>
    <row r="180" spans="12:25" x14ac:dyDescent="0.25">
      <c r="L180" s="10">
        <v>179</v>
      </c>
      <c r="M180" s="4">
        <v>38896</v>
      </c>
      <c r="N180" s="11">
        <v>179</v>
      </c>
      <c r="O180" s="4">
        <v>39261</v>
      </c>
      <c r="P180" s="11">
        <v>179</v>
      </c>
      <c r="Q180" s="4">
        <v>39626</v>
      </c>
      <c r="R180" s="11">
        <v>179</v>
      </c>
      <c r="S180" s="4">
        <v>39992</v>
      </c>
      <c r="T180" s="11">
        <v>179</v>
      </c>
      <c r="U180" s="4">
        <v>40357</v>
      </c>
      <c r="V180" s="11">
        <v>179</v>
      </c>
      <c r="W180" s="4">
        <v>40722</v>
      </c>
      <c r="X180" s="12">
        <v>179</v>
      </c>
      <c r="Y180" s="4">
        <v>41087</v>
      </c>
    </row>
    <row r="181" spans="12:25" x14ac:dyDescent="0.25">
      <c r="L181" s="10">
        <v>180</v>
      </c>
      <c r="M181" s="4">
        <v>38897</v>
      </c>
      <c r="N181" s="11">
        <v>180</v>
      </c>
      <c r="O181" s="4">
        <v>39262</v>
      </c>
      <c r="P181" s="11">
        <v>180</v>
      </c>
      <c r="Q181" s="4">
        <v>39627</v>
      </c>
      <c r="R181" s="11">
        <v>180</v>
      </c>
      <c r="S181" s="4">
        <v>39993</v>
      </c>
      <c r="T181" s="11">
        <v>180</v>
      </c>
      <c r="U181" s="4">
        <v>40358</v>
      </c>
      <c r="V181" s="11">
        <v>180</v>
      </c>
      <c r="W181" s="4">
        <v>40723</v>
      </c>
      <c r="X181" s="12">
        <v>180</v>
      </c>
      <c r="Y181" s="4">
        <v>41088</v>
      </c>
    </row>
    <row r="182" spans="12:25" x14ac:dyDescent="0.25">
      <c r="L182" s="10">
        <v>181</v>
      </c>
      <c r="M182" s="4">
        <v>38898</v>
      </c>
      <c r="N182" s="11">
        <v>181</v>
      </c>
      <c r="O182" s="4">
        <v>39263</v>
      </c>
      <c r="P182" s="11">
        <v>181</v>
      </c>
      <c r="Q182" s="4">
        <v>39628</v>
      </c>
      <c r="R182" s="11">
        <v>181</v>
      </c>
      <c r="S182" s="4">
        <v>39994</v>
      </c>
      <c r="T182" s="11">
        <v>181</v>
      </c>
      <c r="U182" s="4">
        <v>40359</v>
      </c>
      <c r="V182" s="11">
        <v>181</v>
      </c>
      <c r="W182" s="4">
        <v>40724</v>
      </c>
      <c r="X182" s="12">
        <v>181</v>
      </c>
      <c r="Y182" s="4">
        <v>41089</v>
      </c>
    </row>
    <row r="183" spans="12:25" x14ac:dyDescent="0.25">
      <c r="L183" s="10">
        <v>182</v>
      </c>
      <c r="M183" s="4">
        <v>38899</v>
      </c>
      <c r="N183" s="11">
        <v>182</v>
      </c>
      <c r="O183" s="4">
        <v>39264</v>
      </c>
      <c r="P183" s="11">
        <v>182</v>
      </c>
      <c r="Q183" s="4">
        <v>39629</v>
      </c>
      <c r="R183" s="11">
        <v>182</v>
      </c>
      <c r="S183" s="4">
        <v>39995</v>
      </c>
      <c r="T183" s="11">
        <v>182</v>
      </c>
      <c r="U183" s="4">
        <v>40360</v>
      </c>
      <c r="V183" s="11">
        <v>182</v>
      </c>
      <c r="W183" s="4">
        <v>40725</v>
      </c>
      <c r="X183" s="12">
        <v>182</v>
      </c>
      <c r="Y183" s="4">
        <v>41090</v>
      </c>
    </row>
    <row r="184" spans="12:25" x14ac:dyDescent="0.25">
      <c r="L184" s="10">
        <v>183</v>
      </c>
      <c r="M184" s="4">
        <v>38900</v>
      </c>
      <c r="N184" s="11">
        <v>183</v>
      </c>
      <c r="O184" s="4">
        <v>39265</v>
      </c>
      <c r="P184" s="11">
        <v>183</v>
      </c>
      <c r="Q184" s="4">
        <v>39630</v>
      </c>
      <c r="R184" s="11">
        <v>183</v>
      </c>
      <c r="S184" s="4">
        <v>39996</v>
      </c>
      <c r="T184" s="11">
        <v>183</v>
      </c>
      <c r="U184" s="4">
        <v>40361</v>
      </c>
      <c r="V184" s="11">
        <v>183</v>
      </c>
      <c r="W184" s="4">
        <v>40726</v>
      </c>
      <c r="X184" s="12">
        <v>183</v>
      </c>
      <c r="Y184" s="4">
        <v>41091</v>
      </c>
    </row>
    <row r="185" spans="12:25" x14ac:dyDescent="0.25">
      <c r="L185" s="10">
        <v>184</v>
      </c>
      <c r="M185" s="4">
        <v>38901</v>
      </c>
      <c r="N185" s="11">
        <v>184</v>
      </c>
      <c r="O185" s="4">
        <v>39266</v>
      </c>
      <c r="P185" s="11">
        <v>184</v>
      </c>
      <c r="Q185" s="4">
        <v>39631</v>
      </c>
      <c r="R185" s="11">
        <v>184</v>
      </c>
      <c r="S185" s="4">
        <v>39997</v>
      </c>
      <c r="T185" s="11">
        <v>184</v>
      </c>
      <c r="U185" s="4">
        <v>40362</v>
      </c>
      <c r="V185" s="11">
        <v>184</v>
      </c>
      <c r="W185" s="4">
        <v>40727</v>
      </c>
      <c r="X185" s="12">
        <v>184</v>
      </c>
      <c r="Y185" s="4">
        <v>41092</v>
      </c>
    </row>
    <row r="186" spans="12:25" x14ac:dyDescent="0.25">
      <c r="L186" s="10">
        <v>185</v>
      </c>
      <c r="M186" s="4">
        <v>38902</v>
      </c>
      <c r="N186" s="11">
        <v>185</v>
      </c>
      <c r="O186" s="4">
        <v>39267</v>
      </c>
      <c r="P186" s="11">
        <v>185</v>
      </c>
      <c r="Q186" s="4">
        <v>39632</v>
      </c>
      <c r="R186" s="11">
        <v>185</v>
      </c>
      <c r="S186" s="4">
        <v>39998</v>
      </c>
      <c r="T186" s="11">
        <v>185</v>
      </c>
      <c r="U186" s="4">
        <v>40363</v>
      </c>
      <c r="V186" s="11">
        <v>185</v>
      </c>
      <c r="W186" s="4">
        <v>40728</v>
      </c>
      <c r="X186" s="12">
        <v>185</v>
      </c>
      <c r="Y186" s="4">
        <v>41093</v>
      </c>
    </row>
    <row r="187" spans="12:25" x14ac:dyDescent="0.25">
      <c r="L187" s="10">
        <v>186</v>
      </c>
      <c r="M187" s="4">
        <v>38903</v>
      </c>
      <c r="N187" s="11">
        <v>186</v>
      </c>
      <c r="O187" s="4">
        <v>39268</v>
      </c>
      <c r="P187" s="11">
        <v>186</v>
      </c>
      <c r="Q187" s="4">
        <v>39633</v>
      </c>
      <c r="R187" s="11">
        <v>186</v>
      </c>
      <c r="S187" s="4">
        <v>39999</v>
      </c>
      <c r="T187" s="11">
        <v>186</v>
      </c>
      <c r="U187" s="4">
        <v>40364</v>
      </c>
      <c r="V187" s="11">
        <v>186</v>
      </c>
      <c r="W187" s="4">
        <v>40729</v>
      </c>
      <c r="X187" s="12">
        <v>186</v>
      </c>
      <c r="Y187" s="4">
        <v>41094</v>
      </c>
    </row>
    <row r="188" spans="12:25" x14ac:dyDescent="0.25">
      <c r="L188" s="10">
        <v>187</v>
      </c>
      <c r="M188" s="4">
        <v>38904</v>
      </c>
      <c r="N188" s="11">
        <v>187</v>
      </c>
      <c r="O188" s="4">
        <v>39269</v>
      </c>
      <c r="P188" s="11">
        <v>187</v>
      </c>
      <c r="Q188" s="4">
        <v>39634</v>
      </c>
      <c r="R188" s="11">
        <v>187</v>
      </c>
      <c r="S188" s="4">
        <v>40000</v>
      </c>
      <c r="T188" s="11">
        <v>187</v>
      </c>
      <c r="U188" s="4">
        <v>40365</v>
      </c>
      <c r="V188" s="11">
        <v>187</v>
      </c>
      <c r="W188" s="4">
        <v>40730</v>
      </c>
      <c r="X188" s="12">
        <v>187</v>
      </c>
      <c r="Y188" s="4">
        <v>41095</v>
      </c>
    </row>
    <row r="189" spans="12:25" x14ac:dyDescent="0.25">
      <c r="L189" s="10">
        <v>188</v>
      </c>
      <c r="M189" s="4">
        <v>38905</v>
      </c>
      <c r="N189" s="11">
        <v>188</v>
      </c>
      <c r="O189" s="4">
        <v>39270</v>
      </c>
      <c r="P189" s="11">
        <v>188</v>
      </c>
      <c r="Q189" s="4">
        <v>39635</v>
      </c>
      <c r="R189" s="11">
        <v>188</v>
      </c>
      <c r="S189" s="4">
        <v>40001</v>
      </c>
      <c r="T189" s="11">
        <v>188</v>
      </c>
      <c r="U189" s="4">
        <v>40366</v>
      </c>
      <c r="V189" s="11">
        <v>188</v>
      </c>
      <c r="W189" s="4">
        <v>40731</v>
      </c>
      <c r="X189" s="12">
        <v>188</v>
      </c>
      <c r="Y189" s="4">
        <v>41096</v>
      </c>
    </row>
    <row r="190" spans="12:25" x14ac:dyDescent="0.25">
      <c r="L190" s="10">
        <v>189</v>
      </c>
      <c r="M190" s="4">
        <v>38906</v>
      </c>
      <c r="N190" s="11">
        <v>189</v>
      </c>
      <c r="O190" s="4">
        <v>39271</v>
      </c>
      <c r="P190" s="11">
        <v>189</v>
      </c>
      <c r="Q190" s="4">
        <v>39636</v>
      </c>
      <c r="R190" s="11">
        <v>189</v>
      </c>
      <c r="S190" s="4">
        <v>40002</v>
      </c>
      <c r="T190" s="11">
        <v>189</v>
      </c>
      <c r="U190" s="4">
        <v>40367</v>
      </c>
      <c r="V190" s="11">
        <v>189</v>
      </c>
      <c r="W190" s="4">
        <v>40732</v>
      </c>
      <c r="X190" s="12">
        <v>189</v>
      </c>
      <c r="Y190" s="4">
        <v>41097</v>
      </c>
    </row>
    <row r="191" spans="12:25" x14ac:dyDescent="0.25">
      <c r="L191" s="10">
        <v>190</v>
      </c>
      <c r="M191" s="4">
        <v>38907</v>
      </c>
      <c r="N191" s="11">
        <v>190</v>
      </c>
      <c r="O191" s="4">
        <v>39272</v>
      </c>
      <c r="P191" s="11">
        <v>190</v>
      </c>
      <c r="Q191" s="4">
        <v>39637</v>
      </c>
      <c r="R191" s="11">
        <v>190</v>
      </c>
      <c r="S191" s="4">
        <v>40003</v>
      </c>
      <c r="T191" s="11">
        <v>190</v>
      </c>
      <c r="U191" s="4">
        <v>40368</v>
      </c>
      <c r="V191" s="11">
        <v>190</v>
      </c>
      <c r="W191" s="4">
        <v>40733</v>
      </c>
      <c r="X191" s="12">
        <v>190</v>
      </c>
      <c r="Y191" s="4">
        <v>41098</v>
      </c>
    </row>
    <row r="192" spans="12:25" x14ac:dyDescent="0.25">
      <c r="L192" s="10">
        <v>191</v>
      </c>
      <c r="M192" s="4">
        <v>38908</v>
      </c>
      <c r="N192" s="11">
        <v>191</v>
      </c>
      <c r="O192" s="4">
        <v>39273</v>
      </c>
      <c r="P192" s="11">
        <v>191</v>
      </c>
      <c r="Q192" s="4">
        <v>39638</v>
      </c>
      <c r="R192" s="11">
        <v>191</v>
      </c>
      <c r="S192" s="4">
        <v>40004</v>
      </c>
      <c r="T192" s="11">
        <v>191</v>
      </c>
      <c r="U192" s="4">
        <v>40369</v>
      </c>
      <c r="V192" s="11">
        <v>191</v>
      </c>
      <c r="W192" s="4">
        <v>40734</v>
      </c>
      <c r="X192" s="12">
        <v>191</v>
      </c>
      <c r="Y192" s="4">
        <v>41099</v>
      </c>
    </row>
    <row r="193" spans="12:25" x14ac:dyDescent="0.25">
      <c r="L193" s="10">
        <v>192</v>
      </c>
      <c r="M193" s="4">
        <v>38909</v>
      </c>
      <c r="N193" s="11">
        <v>192</v>
      </c>
      <c r="O193" s="4">
        <v>39274</v>
      </c>
      <c r="P193" s="11">
        <v>192</v>
      </c>
      <c r="Q193" s="4">
        <v>39639</v>
      </c>
      <c r="R193" s="11">
        <v>192</v>
      </c>
      <c r="S193" s="4">
        <v>40005</v>
      </c>
      <c r="T193" s="11">
        <v>192</v>
      </c>
      <c r="U193" s="4">
        <v>40370</v>
      </c>
      <c r="V193" s="11">
        <v>192</v>
      </c>
      <c r="W193" s="4">
        <v>40735</v>
      </c>
      <c r="X193" s="12">
        <v>192</v>
      </c>
      <c r="Y193" s="4">
        <v>41100</v>
      </c>
    </row>
    <row r="194" spans="12:25" x14ac:dyDescent="0.25">
      <c r="L194" s="10">
        <v>193</v>
      </c>
      <c r="M194" s="4">
        <v>38910</v>
      </c>
      <c r="N194" s="11">
        <v>193</v>
      </c>
      <c r="O194" s="4">
        <v>39275</v>
      </c>
      <c r="P194" s="11">
        <v>193</v>
      </c>
      <c r="Q194" s="4">
        <v>39640</v>
      </c>
      <c r="R194" s="11">
        <v>193</v>
      </c>
      <c r="S194" s="4">
        <v>40006</v>
      </c>
      <c r="T194" s="11">
        <v>193</v>
      </c>
      <c r="U194" s="4">
        <v>40371</v>
      </c>
      <c r="V194" s="11">
        <v>193</v>
      </c>
      <c r="W194" s="4">
        <v>40736</v>
      </c>
      <c r="X194" s="12">
        <v>193</v>
      </c>
      <c r="Y194" s="4">
        <v>41101</v>
      </c>
    </row>
    <row r="195" spans="12:25" x14ac:dyDescent="0.25">
      <c r="L195" s="10">
        <v>194</v>
      </c>
      <c r="M195" s="4">
        <v>38911</v>
      </c>
      <c r="N195" s="11">
        <v>194</v>
      </c>
      <c r="O195" s="4">
        <v>39276</v>
      </c>
      <c r="P195" s="11">
        <v>194</v>
      </c>
      <c r="Q195" s="4">
        <v>39641</v>
      </c>
      <c r="R195" s="11">
        <v>194</v>
      </c>
      <c r="S195" s="4">
        <v>40007</v>
      </c>
      <c r="T195" s="11">
        <v>194</v>
      </c>
      <c r="U195" s="4">
        <v>40372</v>
      </c>
      <c r="V195" s="11">
        <v>194</v>
      </c>
      <c r="W195" s="4">
        <v>40737</v>
      </c>
      <c r="X195" s="12">
        <v>194</v>
      </c>
      <c r="Y195" s="4">
        <v>41102</v>
      </c>
    </row>
    <row r="196" spans="12:25" x14ac:dyDescent="0.25">
      <c r="L196" s="10">
        <v>195</v>
      </c>
      <c r="M196" s="4">
        <v>38912</v>
      </c>
      <c r="N196" s="11">
        <v>195</v>
      </c>
      <c r="O196" s="4">
        <v>39277</v>
      </c>
      <c r="P196" s="11">
        <v>195</v>
      </c>
      <c r="Q196" s="4">
        <v>39642</v>
      </c>
      <c r="R196" s="11">
        <v>195</v>
      </c>
      <c r="S196" s="4">
        <v>40008</v>
      </c>
      <c r="T196" s="11">
        <v>195</v>
      </c>
      <c r="U196" s="4">
        <v>40373</v>
      </c>
      <c r="V196" s="11">
        <v>195</v>
      </c>
      <c r="W196" s="4">
        <v>40738</v>
      </c>
      <c r="X196" s="12">
        <v>195</v>
      </c>
      <c r="Y196" s="4">
        <v>41103</v>
      </c>
    </row>
    <row r="197" spans="12:25" x14ac:dyDescent="0.25">
      <c r="L197" s="10">
        <v>196</v>
      </c>
      <c r="M197" s="4">
        <v>38913</v>
      </c>
      <c r="N197" s="11">
        <v>196</v>
      </c>
      <c r="O197" s="4">
        <v>39278</v>
      </c>
      <c r="P197" s="11">
        <v>196</v>
      </c>
      <c r="Q197" s="4">
        <v>39643</v>
      </c>
      <c r="R197" s="11">
        <v>196</v>
      </c>
      <c r="S197" s="4">
        <v>40009</v>
      </c>
      <c r="T197" s="11">
        <v>196</v>
      </c>
      <c r="U197" s="4">
        <v>40374</v>
      </c>
      <c r="V197" s="11">
        <v>196</v>
      </c>
      <c r="W197" s="4">
        <v>40739</v>
      </c>
      <c r="X197" s="12">
        <v>196</v>
      </c>
      <c r="Y197" s="4">
        <v>41104</v>
      </c>
    </row>
    <row r="198" spans="12:25" x14ac:dyDescent="0.25">
      <c r="L198" s="10">
        <v>197</v>
      </c>
      <c r="M198" s="4">
        <v>38914</v>
      </c>
      <c r="N198" s="11">
        <v>197</v>
      </c>
      <c r="O198" s="4">
        <v>39279</v>
      </c>
      <c r="P198" s="11">
        <v>197</v>
      </c>
      <c r="Q198" s="4">
        <v>39644</v>
      </c>
      <c r="R198" s="11">
        <v>197</v>
      </c>
      <c r="S198" s="4">
        <v>40010</v>
      </c>
      <c r="T198" s="11">
        <v>197</v>
      </c>
      <c r="U198" s="4">
        <v>40375</v>
      </c>
      <c r="V198" s="11">
        <v>197</v>
      </c>
      <c r="W198" s="4">
        <v>40740</v>
      </c>
      <c r="X198" s="12">
        <v>197</v>
      </c>
      <c r="Y198" s="4">
        <v>41105</v>
      </c>
    </row>
    <row r="199" spans="12:25" x14ac:dyDescent="0.25">
      <c r="L199" s="10">
        <v>198</v>
      </c>
      <c r="M199" s="4">
        <v>38915</v>
      </c>
      <c r="N199" s="11">
        <v>198</v>
      </c>
      <c r="O199" s="4">
        <v>39280</v>
      </c>
      <c r="P199" s="11">
        <v>198</v>
      </c>
      <c r="Q199" s="4">
        <v>39645</v>
      </c>
      <c r="R199" s="11">
        <v>198</v>
      </c>
      <c r="S199" s="4">
        <v>40011</v>
      </c>
      <c r="T199" s="11">
        <v>198</v>
      </c>
      <c r="U199" s="4">
        <v>40376</v>
      </c>
      <c r="V199" s="11">
        <v>198</v>
      </c>
      <c r="W199" s="4">
        <v>40741</v>
      </c>
      <c r="X199" s="12">
        <v>198</v>
      </c>
      <c r="Y199" s="4">
        <v>41106</v>
      </c>
    </row>
    <row r="200" spans="12:25" x14ac:dyDescent="0.25">
      <c r="L200" s="10">
        <v>199</v>
      </c>
      <c r="M200" s="4">
        <v>38916</v>
      </c>
      <c r="N200" s="11">
        <v>199</v>
      </c>
      <c r="O200" s="4">
        <v>39281</v>
      </c>
      <c r="P200" s="11">
        <v>199</v>
      </c>
      <c r="Q200" s="4">
        <v>39646</v>
      </c>
      <c r="R200" s="11">
        <v>199</v>
      </c>
      <c r="S200" s="4">
        <v>40012</v>
      </c>
      <c r="T200" s="11">
        <v>199</v>
      </c>
      <c r="U200" s="4">
        <v>40377</v>
      </c>
      <c r="V200" s="11">
        <v>199</v>
      </c>
      <c r="W200" s="4">
        <v>40742</v>
      </c>
      <c r="X200" s="12">
        <v>199</v>
      </c>
      <c r="Y200" s="4">
        <v>41107</v>
      </c>
    </row>
    <row r="201" spans="12:25" x14ac:dyDescent="0.25">
      <c r="L201" s="10">
        <v>200</v>
      </c>
      <c r="M201" s="4">
        <v>38917</v>
      </c>
      <c r="N201" s="11">
        <v>200</v>
      </c>
      <c r="O201" s="4">
        <v>39282</v>
      </c>
      <c r="P201" s="11">
        <v>200</v>
      </c>
      <c r="Q201" s="4">
        <v>39647</v>
      </c>
      <c r="R201" s="11">
        <v>200</v>
      </c>
      <c r="S201" s="4">
        <v>40013</v>
      </c>
      <c r="T201" s="11">
        <v>200</v>
      </c>
      <c r="U201" s="4">
        <v>40378</v>
      </c>
      <c r="V201" s="11">
        <v>200</v>
      </c>
      <c r="W201" s="4">
        <v>40743</v>
      </c>
      <c r="X201" s="12">
        <v>200</v>
      </c>
      <c r="Y201" s="4">
        <v>41108</v>
      </c>
    </row>
    <row r="202" spans="12:25" x14ac:dyDescent="0.25">
      <c r="L202" s="10">
        <v>201</v>
      </c>
      <c r="M202" s="4">
        <v>38918</v>
      </c>
      <c r="N202" s="11">
        <v>201</v>
      </c>
      <c r="O202" s="4">
        <v>39283</v>
      </c>
      <c r="P202" s="11">
        <v>201</v>
      </c>
      <c r="Q202" s="4">
        <v>39648</v>
      </c>
      <c r="R202" s="11">
        <v>201</v>
      </c>
      <c r="S202" s="4">
        <v>40014</v>
      </c>
      <c r="T202" s="11">
        <v>201</v>
      </c>
      <c r="U202" s="4">
        <v>40379</v>
      </c>
      <c r="V202" s="11">
        <v>201</v>
      </c>
      <c r="W202" s="4">
        <v>40744</v>
      </c>
      <c r="X202" s="12">
        <v>201</v>
      </c>
      <c r="Y202" s="4">
        <v>41109</v>
      </c>
    </row>
    <row r="203" spans="12:25" x14ac:dyDescent="0.25">
      <c r="L203" s="10">
        <v>202</v>
      </c>
      <c r="M203" s="4">
        <v>38919</v>
      </c>
      <c r="N203" s="11">
        <v>202</v>
      </c>
      <c r="O203" s="4">
        <v>39284</v>
      </c>
      <c r="P203" s="11">
        <v>202</v>
      </c>
      <c r="Q203" s="4">
        <v>39649</v>
      </c>
      <c r="R203" s="11">
        <v>202</v>
      </c>
      <c r="S203" s="4">
        <v>40015</v>
      </c>
      <c r="T203" s="11">
        <v>202</v>
      </c>
      <c r="U203" s="4">
        <v>40380</v>
      </c>
      <c r="V203" s="11">
        <v>202</v>
      </c>
      <c r="W203" s="4">
        <v>40745</v>
      </c>
      <c r="X203" s="12">
        <v>202</v>
      </c>
      <c r="Y203" s="4">
        <v>41110</v>
      </c>
    </row>
    <row r="204" spans="12:25" x14ac:dyDescent="0.25">
      <c r="L204" s="10">
        <v>203</v>
      </c>
      <c r="M204" s="4">
        <v>38920</v>
      </c>
      <c r="N204" s="11">
        <v>203</v>
      </c>
      <c r="O204" s="4">
        <v>39285</v>
      </c>
      <c r="P204" s="11">
        <v>203</v>
      </c>
      <c r="Q204" s="4">
        <v>39650</v>
      </c>
      <c r="R204" s="11">
        <v>203</v>
      </c>
      <c r="S204" s="4">
        <v>40016</v>
      </c>
      <c r="T204" s="11">
        <v>203</v>
      </c>
      <c r="U204" s="4">
        <v>40381</v>
      </c>
      <c r="V204" s="11">
        <v>203</v>
      </c>
      <c r="W204" s="4">
        <v>40746</v>
      </c>
      <c r="X204" s="12">
        <v>203</v>
      </c>
      <c r="Y204" s="4">
        <v>41111</v>
      </c>
    </row>
    <row r="205" spans="12:25" x14ac:dyDescent="0.25">
      <c r="L205" s="10">
        <v>204</v>
      </c>
      <c r="M205" s="4">
        <v>38921</v>
      </c>
      <c r="N205" s="11">
        <v>204</v>
      </c>
      <c r="O205" s="4">
        <v>39286</v>
      </c>
      <c r="P205" s="11">
        <v>204</v>
      </c>
      <c r="Q205" s="4">
        <v>39651</v>
      </c>
      <c r="R205" s="11">
        <v>204</v>
      </c>
      <c r="S205" s="4">
        <v>40017</v>
      </c>
      <c r="T205" s="11">
        <v>204</v>
      </c>
      <c r="U205" s="4">
        <v>40382</v>
      </c>
      <c r="V205" s="11">
        <v>204</v>
      </c>
      <c r="W205" s="4">
        <v>40747</v>
      </c>
      <c r="X205" s="12">
        <v>204</v>
      </c>
      <c r="Y205" s="4">
        <v>41112</v>
      </c>
    </row>
    <row r="206" spans="12:25" x14ac:dyDescent="0.25">
      <c r="L206" s="10">
        <v>205</v>
      </c>
      <c r="M206" s="4">
        <v>38922</v>
      </c>
      <c r="N206" s="11">
        <v>205</v>
      </c>
      <c r="O206" s="4">
        <v>39287</v>
      </c>
      <c r="P206" s="11">
        <v>205</v>
      </c>
      <c r="Q206" s="4">
        <v>39652</v>
      </c>
      <c r="R206" s="11">
        <v>205</v>
      </c>
      <c r="S206" s="4">
        <v>40018</v>
      </c>
      <c r="T206" s="11">
        <v>205</v>
      </c>
      <c r="U206" s="4">
        <v>40383</v>
      </c>
      <c r="V206" s="11">
        <v>205</v>
      </c>
      <c r="W206" s="4">
        <v>40748</v>
      </c>
      <c r="X206" s="12">
        <v>205</v>
      </c>
      <c r="Y206" s="4">
        <v>41113</v>
      </c>
    </row>
    <row r="207" spans="12:25" x14ac:dyDescent="0.25">
      <c r="L207" s="10">
        <v>206</v>
      </c>
      <c r="M207" s="4">
        <v>38923</v>
      </c>
      <c r="N207" s="11">
        <v>206</v>
      </c>
      <c r="O207" s="4">
        <v>39288</v>
      </c>
      <c r="P207" s="11">
        <v>206</v>
      </c>
      <c r="Q207" s="4">
        <v>39653</v>
      </c>
      <c r="R207" s="11">
        <v>206</v>
      </c>
      <c r="S207" s="4">
        <v>40019</v>
      </c>
      <c r="T207" s="11">
        <v>206</v>
      </c>
      <c r="U207" s="4">
        <v>40384</v>
      </c>
      <c r="V207" s="11">
        <v>206</v>
      </c>
      <c r="W207" s="4">
        <v>40749</v>
      </c>
      <c r="X207" s="12">
        <v>206</v>
      </c>
      <c r="Y207" s="4">
        <v>41114</v>
      </c>
    </row>
    <row r="208" spans="12:25" x14ac:dyDescent="0.25">
      <c r="L208" s="10">
        <v>207</v>
      </c>
      <c r="M208" s="4">
        <v>38924</v>
      </c>
      <c r="N208" s="11">
        <v>207</v>
      </c>
      <c r="O208" s="4">
        <v>39289</v>
      </c>
      <c r="P208" s="11">
        <v>207</v>
      </c>
      <c r="Q208" s="4">
        <v>39654</v>
      </c>
      <c r="R208" s="11">
        <v>207</v>
      </c>
      <c r="S208" s="4">
        <v>40020</v>
      </c>
      <c r="T208" s="11">
        <v>207</v>
      </c>
      <c r="U208" s="4">
        <v>40385</v>
      </c>
      <c r="V208" s="11">
        <v>207</v>
      </c>
      <c r="W208" s="4">
        <v>40750</v>
      </c>
      <c r="X208" s="12">
        <v>207</v>
      </c>
      <c r="Y208" s="4">
        <v>41115</v>
      </c>
    </row>
    <row r="209" spans="12:25" x14ac:dyDescent="0.25">
      <c r="L209" s="10">
        <v>208</v>
      </c>
      <c r="M209" s="4">
        <v>38925</v>
      </c>
      <c r="N209" s="11">
        <v>208</v>
      </c>
      <c r="O209" s="4">
        <v>39290</v>
      </c>
      <c r="P209" s="11">
        <v>208</v>
      </c>
      <c r="Q209" s="4">
        <v>39655</v>
      </c>
      <c r="R209" s="11">
        <v>208</v>
      </c>
      <c r="S209" s="4">
        <v>40021</v>
      </c>
      <c r="T209" s="11">
        <v>208</v>
      </c>
      <c r="U209" s="4">
        <v>40386</v>
      </c>
      <c r="V209" s="11">
        <v>208</v>
      </c>
      <c r="W209" s="4">
        <v>40751</v>
      </c>
      <c r="X209" s="12">
        <v>208</v>
      </c>
      <c r="Y209" s="4">
        <v>41116</v>
      </c>
    </row>
    <row r="210" spans="12:25" x14ac:dyDescent="0.25">
      <c r="L210" s="10">
        <v>209</v>
      </c>
      <c r="M210" s="4">
        <v>38926</v>
      </c>
      <c r="N210" s="11">
        <v>209</v>
      </c>
      <c r="O210" s="4">
        <v>39291</v>
      </c>
      <c r="P210" s="11">
        <v>209</v>
      </c>
      <c r="Q210" s="4">
        <v>39656</v>
      </c>
      <c r="R210" s="11">
        <v>209</v>
      </c>
      <c r="S210" s="4">
        <v>40022</v>
      </c>
      <c r="T210" s="11">
        <v>209</v>
      </c>
      <c r="U210" s="4">
        <v>40387</v>
      </c>
      <c r="V210" s="11">
        <v>209</v>
      </c>
      <c r="W210" s="4">
        <v>40752</v>
      </c>
      <c r="X210" s="12">
        <v>209</v>
      </c>
      <c r="Y210" s="4">
        <v>41117</v>
      </c>
    </row>
    <row r="211" spans="12:25" x14ac:dyDescent="0.25">
      <c r="L211" s="10">
        <v>210</v>
      </c>
      <c r="M211" s="4">
        <v>38927</v>
      </c>
      <c r="N211" s="11">
        <v>210</v>
      </c>
      <c r="O211" s="4">
        <v>39292</v>
      </c>
      <c r="P211" s="11">
        <v>210</v>
      </c>
      <c r="Q211" s="4">
        <v>39657</v>
      </c>
      <c r="R211" s="11">
        <v>210</v>
      </c>
      <c r="S211" s="4">
        <v>40023</v>
      </c>
      <c r="T211" s="11">
        <v>210</v>
      </c>
      <c r="U211" s="4">
        <v>40388</v>
      </c>
      <c r="V211" s="11">
        <v>210</v>
      </c>
      <c r="W211" s="4">
        <v>40753</v>
      </c>
      <c r="X211" s="12">
        <v>210</v>
      </c>
      <c r="Y211" s="4">
        <v>41118</v>
      </c>
    </row>
    <row r="212" spans="12:25" x14ac:dyDescent="0.25">
      <c r="L212" s="10">
        <v>211</v>
      </c>
      <c r="M212" s="4">
        <v>38928</v>
      </c>
      <c r="N212" s="11">
        <v>211</v>
      </c>
      <c r="O212" s="4">
        <v>39293</v>
      </c>
      <c r="P212" s="11">
        <v>211</v>
      </c>
      <c r="Q212" s="4">
        <v>39658</v>
      </c>
      <c r="R212" s="11">
        <v>211</v>
      </c>
      <c r="S212" s="4">
        <v>40024</v>
      </c>
      <c r="T212" s="11">
        <v>211</v>
      </c>
      <c r="U212" s="4">
        <v>40389</v>
      </c>
      <c r="V212" s="11">
        <v>211</v>
      </c>
      <c r="W212" s="4">
        <v>40754</v>
      </c>
      <c r="X212" s="12">
        <v>211</v>
      </c>
      <c r="Y212" s="4">
        <v>41119</v>
      </c>
    </row>
    <row r="213" spans="12:25" x14ac:dyDescent="0.25">
      <c r="L213" s="10">
        <v>212</v>
      </c>
      <c r="M213" s="4">
        <v>38929</v>
      </c>
      <c r="N213" s="11">
        <v>212</v>
      </c>
      <c r="O213" s="4">
        <v>39294</v>
      </c>
      <c r="P213" s="11">
        <v>212</v>
      </c>
      <c r="Q213" s="4">
        <v>39659</v>
      </c>
      <c r="R213" s="11">
        <v>212</v>
      </c>
      <c r="S213" s="4">
        <v>40025</v>
      </c>
      <c r="T213" s="11">
        <v>212</v>
      </c>
      <c r="U213" s="4">
        <v>40390</v>
      </c>
      <c r="V213" s="11">
        <v>212</v>
      </c>
      <c r="W213" s="4">
        <v>40755</v>
      </c>
      <c r="X213" s="12">
        <v>212</v>
      </c>
      <c r="Y213" s="4">
        <v>41120</v>
      </c>
    </row>
    <row r="214" spans="12:25" x14ac:dyDescent="0.25">
      <c r="L214" s="10">
        <v>213</v>
      </c>
      <c r="M214" s="4">
        <v>38930</v>
      </c>
      <c r="N214" s="11">
        <v>213</v>
      </c>
      <c r="O214" s="4">
        <v>39295</v>
      </c>
      <c r="P214" s="11">
        <v>213</v>
      </c>
      <c r="Q214" s="4">
        <v>39660</v>
      </c>
      <c r="R214" s="11">
        <v>213</v>
      </c>
      <c r="S214" s="4">
        <v>40026</v>
      </c>
      <c r="T214" s="11">
        <v>213</v>
      </c>
      <c r="U214" s="4">
        <v>40391</v>
      </c>
      <c r="V214" s="11">
        <v>213</v>
      </c>
      <c r="W214" s="4">
        <v>40756</v>
      </c>
      <c r="X214" s="12">
        <v>213</v>
      </c>
      <c r="Y214" s="4">
        <v>41121</v>
      </c>
    </row>
    <row r="215" spans="12:25" x14ac:dyDescent="0.25">
      <c r="L215" s="10">
        <v>214</v>
      </c>
      <c r="M215" s="4">
        <v>38931</v>
      </c>
      <c r="N215" s="11">
        <v>214</v>
      </c>
      <c r="O215" s="4">
        <v>39296</v>
      </c>
      <c r="P215" s="11">
        <v>214</v>
      </c>
      <c r="Q215" s="4">
        <v>39661</v>
      </c>
      <c r="R215" s="11">
        <v>214</v>
      </c>
      <c r="S215" s="4">
        <v>40027</v>
      </c>
      <c r="T215" s="11">
        <v>214</v>
      </c>
      <c r="U215" s="4">
        <v>40392</v>
      </c>
      <c r="V215" s="11">
        <v>214</v>
      </c>
      <c r="W215" s="4">
        <v>40757</v>
      </c>
      <c r="X215" s="12">
        <v>214</v>
      </c>
      <c r="Y215" s="4">
        <v>41122</v>
      </c>
    </row>
    <row r="216" spans="12:25" x14ac:dyDescent="0.25">
      <c r="L216" s="10">
        <v>215</v>
      </c>
      <c r="M216" s="4">
        <v>38932</v>
      </c>
      <c r="N216" s="11">
        <v>215</v>
      </c>
      <c r="O216" s="4">
        <v>39297</v>
      </c>
      <c r="P216" s="11">
        <v>215</v>
      </c>
      <c r="Q216" s="4">
        <v>39662</v>
      </c>
      <c r="R216" s="11">
        <v>215</v>
      </c>
      <c r="S216" s="4">
        <v>40028</v>
      </c>
      <c r="T216" s="11">
        <v>215</v>
      </c>
      <c r="U216" s="4">
        <v>40393</v>
      </c>
      <c r="V216" s="11">
        <v>215</v>
      </c>
      <c r="W216" s="4">
        <v>40758</v>
      </c>
      <c r="X216" s="12">
        <v>215</v>
      </c>
      <c r="Y216" s="4">
        <v>41123</v>
      </c>
    </row>
    <row r="217" spans="12:25" x14ac:dyDescent="0.25">
      <c r="L217" s="10">
        <v>216</v>
      </c>
      <c r="M217" s="4">
        <v>38933</v>
      </c>
      <c r="N217" s="11">
        <v>216</v>
      </c>
      <c r="O217" s="4">
        <v>39298</v>
      </c>
      <c r="P217" s="11">
        <v>216</v>
      </c>
      <c r="Q217" s="4">
        <v>39663</v>
      </c>
      <c r="R217" s="11">
        <v>216</v>
      </c>
      <c r="S217" s="4">
        <v>40029</v>
      </c>
      <c r="T217" s="11">
        <v>216</v>
      </c>
      <c r="U217" s="4">
        <v>40394</v>
      </c>
      <c r="V217" s="11">
        <v>216</v>
      </c>
      <c r="W217" s="4">
        <v>40759</v>
      </c>
      <c r="X217" s="12">
        <v>216</v>
      </c>
      <c r="Y217" s="4">
        <v>41124</v>
      </c>
    </row>
    <row r="218" spans="12:25" x14ac:dyDescent="0.25">
      <c r="L218" s="10">
        <v>217</v>
      </c>
      <c r="M218" s="4">
        <v>38934</v>
      </c>
      <c r="N218" s="11">
        <v>217</v>
      </c>
      <c r="O218" s="4">
        <v>39299</v>
      </c>
      <c r="P218" s="11">
        <v>217</v>
      </c>
      <c r="Q218" s="4">
        <v>39664</v>
      </c>
      <c r="R218" s="11">
        <v>217</v>
      </c>
      <c r="S218" s="4">
        <v>40030</v>
      </c>
      <c r="T218" s="11">
        <v>217</v>
      </c>
      <c r="U218" s="4">
        <v>40395</v>
      </c>
      <c r="V218" s="11">
        <v>217</v>
      </c>
      <c r="W218" s="4">
        <v>40760</v>
      </c>
      <c r="X218" s="12">
        <v>217</v>
      </c>
      <c r="Y218" s="4">
        <v>41125</v>
      </c>
    </row>
    <row r="219" spans="12:25" x14ac:dyDescent="0.25">
      <c r="L219" s="10">
        <v>218</v>
      </c>
      <c r="M219" s="4">
        <v>38935</v>
      </c>
      <c r="N219" s="11">
        <v>218</v>
      </c>
      <c r="O219" s="4">
        <v>39300</v>
      </c>
      <c r="P219" s="11">
        <v>218</v>
      </c>
      <c r="Q219" s="4">
        <v>39665</v>
      </c>
      <c r="R219" s="11">
        <v>218</v>
      </c>
      <c r="S219" s="4">
        <v>40031</v>
      </c>
      <c r="T219" s="11">
        <v>218</v>
      </c>
      <c r="U219" s="4">
        <v>40396</v>
      </c>
      <c r="V219" s="11">
        <v>218</v>
      </c>
      <c r="W219" s="4">
        <v>40761</v>
      </c>
      <c r="X219" s="12">
        <v>218</v>
      </c>
      <c r="Y219" s="4">
        <v>41126</v>
      </c>
    </row>
    <row r="220" spans="12:25" x14ac:dyDescent="0.25">
      <c r="L220" s="10">
        <v>219</v>
      </c>
      <c r="M220" s="4">
        <v>38936</v>
      </c>
      <c r="N220" s="11">
        <v>219</v>
      </c>
      <c r="O220" s="4">
        <v>39301</v>
      </c>
      <c r="P220" s="11">
        <v>219</v>
      </c>
      <c r="Q220" s="4">
        <v>39666</v>
      </c>
      <c r="R220" s="11">
        <v>219</v>
      </c>
      <c r="S220" s="4">
        <v>40032</v>
      </c>
      <c r="T220" s="11">
        <v>219</v>
      </c>
      <c r="U220" s="4">
        <v>40397</v>
      </c>
      <c r="V220" s="11">
        <v>219</v>
      </c>
      <c r="W220" s="4">
        <v>40762</v>
      </c>
      <c r="X220" s="12">
        <v>219</v>
      </c>
      <c r="Y220" s="4">
        <v>41127</v>
      </c>
    </row>
    <row r="221" spans="12:25" x14ac:dyDescent="0.25">
      <c r="L221" s="10">
        <v>220</v>
      </c>
      <c r="M221" s="4">
        <v>38937</v>
      </c>
      <c r="N221" s="11">
        <v>220</v>
      </c>
      <c r="O221" s="4">
        <v>39302</v>
      </c>
      <c r="P221" s="11">
        <v>220</v>
      </c>
      <c r="Q221" s="4">
        <v>39667</v>
      </c>
      <c r="R221" s="11">
        <v>220</v>
      </c>
      <c r="S221" s="4">
        <v>40033</v>
      </c>
      <c r="T221" s="11">
        <v>220</v>
      </c>
      <c r="U221" s="4">
        <v>40398</v>
      </c>
      <c r="V221" s="11">
        <v>220</v>
      </c>
      <c r="W221" s="4">
        <v>40763</v>
      </c>
      <c r="X221" s="12">
        <v>220</v>
      </c>
      <c r="Y221" s="4">
        <v>41128</v>
      </c>
    </row>
    <row r="222" spans="12:25" x14ac:dyDescent="0.25">
      <c r="L222" s="10">
        <v>221</v>
      </c>
      <c r="M222" s="4">
        <v>38938</v>
      </c>
      <c r="N222" s="11">
        <v>221</v>
      </c>
      <c r="O222" s="4">
        <v>39303</v>
      </c>
      <c r="P222" s="11">
        <v>221</v>
      </c>
      <c r="Q222" s="4">
        <v>39668</v>
      </c>
      <c r="R222" s="11">
        <v>221</v>
      </c>
      <c r="S222" s="4">
        <v>40034</v>
      </c>
      <c r="T222" s="11">
        <v>221</v>
      </c>
      <c r="U222" s="4">
        <v>40399</v>
      </c>
      <c r="V222" s="11">
        <v>221</v>
      </c>
      <c r="W222" s="4">
        <v>40764</v>
      </c>
      <c r="X222" s="12">
        <v>221</v>
      </c>
      <c r="Y222" s="4">
        <v>41129</v>
      </c>
    </row>
    <row r="223" spans="12:25" x14ac:dyDescent="0.25">
      <c r="L223" s="10">
        <v>222</v>
      </c>
      <c r="M223" s="4">
        <v>38939</v>
      </c>
      <c r="N223" s="11">
        <v>222</v>
      </c>
      <c r="O223" s="4">
        <v>39304</v>
      </c>
      <c r="P223" s="11">
        <v>222</v>
      </c>
      <c r="Q223" s="4">
        <v>39669</v>
      </c>
      <c r="R223" s="11">
        <v>222</v>
      </c>
      <c r="S223" s="4">
        <v>40035</v>
      </c>
      <c r="T223" s="11">
        <v>222</v>
      </c>
      <c r="U223" s="4">
        <v>40400</v>
      </c>
      <c r="V223" s="11">
        <v>222</v>
      </c>
      <c r="W223" s="4">
        <v>40765</v>
      </c>
      <c r="X223" s="12">
        <v>222</v>
      </c>
      <c r="Y223" s="4">
        <v>41130</v>
      </c>
    </row>
    <row r="224" spans="12:25" x14ac:dyDescent="0.25">
      <c r="L224" s="10">
        <v>223</v>
      </c>
      <c r="M224" s="4">
        <v>38940</v>
      </c>
      <c r="N224" s="11">
        <v>223</v>
      </c>
      <c r="O224" s="4">
        <v>39305</v>
      </c>
      <c r="P224" s="11">
        <v>223</v>
      </c>
      <c r="Q224" s="4">
        <v>39670</v>
      </c>
      <c r="R224" s="11">
        <v>223</v>
      </c>
      <c r="S224" s="4">
        <v>40036</v>
      </c>
      <c r="T224" s="11">
        <v>223</v>
      </c>
      <c r="U224" s="4">
        <v>40401</v>
      </c>
      <c r="V224" s="11">
        <v>223</v>
      </c>
      <c r="W224" s="4">
        <v>40766</v>
      </c>
      <c r="X224" s="12">
        <v>223</v>
      </c>
      <c r="Y224" s="4">
        <v>41131</v>
      </c>
    </row>
    <row r="225" spans="12:25" x14ac:dyDescent="0.25">
      <c r="L225" s="10">
        <v>224</v>
      </c>
      <c r="M225" s="4">
        <v>38941</v>
      </c>
      <c r="N225" s="11">
        <v>224</v>
      </c>
      <c r="O225" s="4">
        <v>39306</v>
      </c>
      <c r="P225" s="11">
        <v>224</v>
      </c>
      <c r="Q225" s="4">
        <v>39671</v>
      </c>
      <c r="R225" s="11">
        <v>224</v>
      </c>
      <c r="S225" s="4">
        <v>40037</v>
      </c>
      <c r="T225" s="11">
        <v>224</v>
      </c>
      <c r="U225" s="4">
        <v>40402</v>
      </c>
      <c r="V225" s="11">
        <v>224</v>
      </c>
      <c r="W225" s="4">
        <v>40767</v>
      </c>
      <c r="X225" s="12">
        <v>224</v>
      </c>
      <c r="Y225" s="4">
        <v>41132</v>
      </c>
    </row>
    <row r="226" spans="12:25" x14ac:dyDescent="0.25">
      <c r="L226" s="10">
        <v>225</v>
      </c>
      <c r="M226" s="4">
        <v>38942</v>
      </c>
      <c r="N226" s="11">
        <v>225</v>
      </c>
      <c r="O226" s="4">
        <v>39307</v>
      </c>
      <c r="P226" s="11">
        <v>225</v>
      </c>
      <c r="Q226" s="4">
        <v>39672</v>
      </c>
      <c r="R226" s="11">
        <v>225</v>
      </c>
      <c r="S226" s="4">
        <v>40038</v>
      </c>
      <c r="T226" s="11">
        <v>225</v>
      </c>
      <c r="U226" s="4">
        <v>40403</v>
      </c>
      <c r="V226" s="11">
        <v>225</v>
      </c>
      <c r="W226" s="4">
        <v>40768</v>
      </c>
      <c r="X226" s="12">
        <v>225</v>
      </c>
      <c r="Y226" s="4">
        <v>41133</v>
      </c>
    </row>
    <row r="227" spans="12:25" x14ac:dyDescent="0.25">
      <c r="L227" s="10">
        <v>226</v>
      </c>
      <c r="M227" s="4">
        <v>38943</v>
      </c>
      <c r="N227" s="11">
        <v>226</v>
      </c>
      <c r="O227" s="4">
        <v>39308</v>
      </c>
      <c r="P227" s="11">
        <v>226</v>
      </c>
      <c r="Q227" s="4">
        <v>39673</v>
      </c>
      <c r="R227" s="11">
        <v>226</v>
      </c>
      <c r="S227" s="4">
        <v>40039</v>
      </c>
      <c r="T227" s="11">
        <v>226</v>
      </c>
      <c r="U227" s="4">
        <v>40404</v>
      </c>
      <c r="V227" s="11">
        <v>226</v>
      </c>
      <c r="W227" s="4">
        <v>40769</v>
      </c>
      <c r="X227" s="12">
        <v>226</v>
      </c>
      <c r="Y227" s="4">
        <v>41134</v>
      </c>
    </row>
    <row r="228" spans="12:25" x14ac:dyDescent="0.25">
      <c r="L228" s="10">
        <v>227</v>
      </c>
      <c r="M228" s="4">
        <v>38944</v>
      </c>
      <c r="N228" s="11">
        <v>227</v>
      </c>
      <c r="O228" s="4">
        <v>39309</v>
      </c>
      <c r="P228" s="11">
        <v>227</v>
      </c>
      <c r="Q228" s="4">
        <v>39674</v>
      </c>
      <c r="R228" s="11">
        <v>227</v>
      </c>
      <c r="S228" s="4">
        <v>40040</v>
      </c>
      <c r="T228" s="11">
        <v>227</v>
      </c>
      <c r="U228" s="4">
        <v>40405</v>
      </c>
      <c r="V228" s="11">
        <v>227</v>
      </c>
      <c r="W228" s="4">
        <v>40770</v>
      </c>
      <c r="X228" s="12">
        <v>227</v>
      </c>
      <c r="Y228" s="4">
        <v>41135</v>
      </c>
    </row>
    <row r="229" spans="12:25" x14ac:dyDescent="0.25">
      <c r="L229" s="10">
        <v>228</v>
      </c>
      <c r="M229" s="4">
        <v>38945</v>
      </c>
      <c r="N229" s="11">
        <v>228</v>
      </c>
      <c r="O229" s="4">
        <v>39310</v>
      </c>
      <c r="P229" s="11">
        <v>228</v>
      </c>
      <c r="Q229" s="4">
        <v>39675</v>
      </c>
      <c r="R229" s="11">
        <v>228</v>
      </c>
      <c r="S229" s="4">
        <v>40041</v>
      </c>
      <c r="T229" s="11">
        <v>228</v>
      </c>
      <c r="U229" s="4">
        <v>40406</v>
      </c>
      <c r="V229" s="11">
        <v>228</v>
      </c>
      <c r="W229" s="4">
        <v>40771</v>
      </c>
      <c r="X229" s="12">
        <v>228</v>
      </c>
      <c r="Y229" s="4">
        <v>41136</v>
      </c>
    </row>
    <row r="230" spans="12:25" x14ac:dyDescent="0.25">
      <c r="L230" s="10">
        <v>229</v>
      </c>
      <c r="M230" s="4">
        <v>38946</v>
      </c>
      <c r="N230" s="11">
        <v>229</v>
      </c>
      <c r="O230" s="4">
        <v>39311</v>
      </c>
      <c r="P230" s="11">
        <v>229</v>
      </c>
      <c r="Q230" s="4">
        <v>39676</v>
      </c>
      <c r="R230" s="11">
        <v>229</v>
      </c>
      <c r="S230" s="4">
        <v>40042</v>
      </c>
      <c r="T230" s="11">
        <v>229</v>
      </c>
      <c r="U230" s="4">
        <v>40407</v>
      </c>
      <c r="V230" s="11">
        <v>229</v>
      </c>
      <c r="W230" s="4">
        <v>40772</v>
      </c>
      <c r="X230" s="12">
        <v>229</v>
      </c>
      <c r="Y230" s="4">
        <v>41137</v>
      </c>
    </row>
    <row r="231" spans="12:25" x14ac:dyDescent="0.25">
      <c r="L231" s="10">
        <v>230</v>
      </c>
      <c r="M231" s="4">
        <v>38947</v>
      </c>
      <c r="N231" s="11">
        <v>230</v>
      </c>
      <c r="O231" s="4">
        <v>39312</v>
      </c>
      <c r="P231" s="11">
        <v>230</v>
      </c>
      <c r="Q231" s="4">
        <v>39677</v>
      </c>
      <c r="R231" s="11">
        <v>230</v>
      </c>
      <c r="S231" s="4">
        <v>40043</v>
      </c>
      <c r="T231" s="11">
        <v>230</v>
      </c>
      <c r="U231" s="4">
        <v>40408</v>
      </c>
      <c r="V231" s="11">
        <v>230</v>
      </c>
      <c r="W231" s="4">
        <v>40773</v>
      </c>
      <c r="X231" s="12">
        <v>230</v>
      </c>
      <c r="Y231" s="4">
        <v>41138</v>
      </c>
    </row>
    <row r="232" spans="12:25" x14ac:dyDescent="0.25">
      <c r="L232" s="10">
        <v>231</v>
      </c>
      <c r="M232" s="4">
        <v>38948</v>
      </c>
      <c r="N232" s="11">
        <v>231</v>
      </c>
      <c r="O232" s="4">
        <v>39313</v>
      </c>
      <c r="P232" s="11">
        <v>231</v>
      </c>
      <c r="Q232" s="4">
        <v>39678</v>
      </c>
      <c r="R232" s="11">
        <v>231</v>
      </c>
      <c r="S232" s="4">
        <v>40044</v>
      </c>
      <c r="T232" s="11">
        <v>231</v>
      </c>
      <c r="U232" s="4">
        <v>40409</v>
      </c>
      <c r="V232" s="11">
        <v>231</v>
      </c>
      <c r="W232" s="4">
        <v>40774</v>
      </c>
      <c r="X232" s="12">
        <v>231</v>
      </c>
      <c r="Y232" s="4">
        <v>41139</v>
      </c>
    </row>
    <row r="233" spans="12:25" x14ac:dyDescent="0.25">
      <c r="L233" s="10">
        <v>232</v>
      </c>
      <c r="M233" s="4">
        <v>38949</v>
      </c>
      <c r="N233" s="11">
        <v>232</v>
      </c>
      <c r="O233" s="4">
        <v>39314</v>
      </c>
      <c r="P233" s="11">
        <v>232</v>
      </c>
      <c r="Q233" s="4">
        <v>39679</v>
      </c>
      <c r="R233" s="11">
        <v>232</v>
      </c>
      <c r="S233" s="4">
        <v>40045</v>
      </c>
      <c r="T233" s="11">
        <v>232</v>
      </c>
      <c r="U233" s="4">
        <v>40410</v>
      </c>
      <c r="V233" s="11">
        <v>232</v>
      </c>
      <c r="W233" s="4">
        <v>40775</v>
      </c>
      <c r="X233" s="12">
        <v>232</v>
      </c>
      <c r="Y233" s="4">
        <v>41140</v>
      </c>
    </row>
    <row r="234" spans="12:25" x14ac:dyDescent="0.25">
      <c r="L234" s="10">
        <v>233</v>
      </c>
      <c r="M234" s="4">
        <v>38950</v>
      </c>
      <c r="N234" s="11">
        <v>233</v>
      </c>
      <c r="O234" s="4">
        <v>39315</v>
      </c>
      <c r="P234" s="11">
        <v>233</v>
      </c>
      <c r="Q234" s="4">
        <v>39680</v>
      </c>
      <c r="R234" s="11">
        <v>233</v>
      </c>
      <c r="S234" s="4">
        <v>40046</v>
      </c>
      <c r="T234" s="11">
        <v>233</v>
      </c>
      <c r="U234" s="4">
        <v>40411</v>
      </c>
      <c r="V234" s="11">
        <v>233</v>
      </c>
      <c r="W234" s="4">
        <v>40776</v>
      </c>
      <c r="X234" s="12">
        <v>233</v>
      </c>
      <c r="Y234" s="4">
        <v>41141</v>
      </c>
    </row>
    <row r="235" spans="12:25" x14ac:dyDescent="0.25">
      <c r="L235" s="10">
        <v>234</v>
      </c>
      <c r="M235" s="4">
        <v>38951</v>
      </c>
      <c r="N235" s="11">
        <v>234</v>
      </c>
      <c r="O235" s="4">
        <v>39316</v>
      </c>
      <c r="P235" s="11">
        <v>234</v>
      </c>
      <c r="Q235" s="4">
        <v>39681</v>
      </c>
      <c r="R235" s="11">
        <v>234</v>
      </c>
      <c r="S235" s="4">
        <v>40047</v>
      </c>
      <c r="T235" s="11">
        <v>234</v>
      </c>
      <c r="U235" s="4">
        <v>40412</v>
      </c>
      <c r="V235" s="11">
        <v>234</v>
      </c>
      <c r="W235" s="4">
        <v>40777</v>
      </c>
      <c r="X235" s="12">
        <v>234</v>
      </c>
      <c r="Y235" s="4">
        <v>41142</v>
      </c>
    </row>
    <row r="236" spans="12:25" x14ac:dyDescent="0.25">
      <c r="L236" s="10">
        <v>235</v>
      </c>
      <c r="M236" s="4">
        <v>38952</v>
      </c>
      <c r="N236" s="11">
        <v>235</v>
      </c>
      <c r="O236" s="4">
        <v>39317</v>
      </c>
      <c r="P236" s="11">
        <v>235</v>
      </c>
      <c r="Q236" s="4">
        <v>39682</v>
      </c>
      <c r="R236" s="11">
        <v>235</v>
      </c>
      <c r="S236" s="4">
        <v>40048</v>
      </c>
      <c r="T236" s="11">
        <v>235</v>
      </c>
      <c r="U236" s="4">
        <v>40413</v>
      </c>
      <c r="V236" s="11">
        <v>235</v>
      </c>
      <c r="W236" s="4">
        <v>40778</v>
      </c>
      <c r="X236" s="12">
        <v>235</v>
      </c>
      <c r="Y236" s="4">
        <v>41143</v>
      </c>
    </row>
    <row r="237" spans="12:25" x14ac:dyDescent="0.25">
      <c r="L237" s="10">
        <v>236</v>
      </c>
      <c r="M237" s="4">
        <v>38953</v>
      </c>
      <c r="N237" s="11">
        <v>236</v>
      </c>
      <c r="O237" s="4">
        <v>39318</v>
      </c>
      <c r="P237" s="11">
        <v>236</v>
      </c>
      <c r="Q237" s="4">
        <v>39683</v>
      </c>
      <c r="R237" s="11">
        <v>236</v>
      </c>
      <c r="S237" s="4">
        <v>40049</v>
      </c>
      <c r="T237" s="11">
        <v>236</v>
      </c>
      <c r="U237" s="4">
        <v>40414</v>
      </c>
      <c r="V237" s="11">
        <v>236</v>
      </c>
      <c r="W237" s="4">
        <v>40779</v>
      </c>
      <c r="X237" s="12">
        <v>236</v>
      </c>
      <c r="Y237" s="4">
        <v>41144</v>
      </c>
    </row>
    <row r="238" spans="12:25" x14ac:dyDescent="0.25">
      <c r="L238" s="10">
        <v>237</v>
      </c>
      <c r="M238" s="4">
        <v>38954</v>
      </c>
      <c r="N238" s="11">
        <v>237</v>
      </c>
      <c r="O238" s="4">
        <v>39319</v>
      </c>
      <c r="P238" s="11">
        <v>237</v>
      </c>
      <c r="Q238" s="4">
        <v>39684</v>
      </c>
      <c r="R238" s="11">
        <v>237</v>
      </c>
      <c r="S238" s="4">
        <v>40050</v>
      </c>
      <c r="T238" s="11">
        <v>237</v>
      </c>
      <c r="U238" s="4">
        <v>40415</v>
      </c>
      <c r="V238" s="11">
        <v>237</v>
      </c>
      <c r="W238" s="4">
        <v>40780</v>
      </c>
      <c r="X238" s="12">
        <v>237</v>
      </c>
      <c r="Y238" s="4">
        <v>41145</v>
      </c>
    </row>
    <row r="239" spans="12:25" x14ac:dyDescent="0.25">
      <c r="L239" s="10">
        <v>238</v>
      </c>
      <c r="M239" s="4">
        <v>38955</v>
      </c>
      <c r="N239" s="11">
        <v>238</v>
      </c>
      <c r="O239" s="4">
        <v>39320</v>
      </c>
      <c r="P239" s="11">
        <v>238</v>
      </c>
      <c r="Q239" s="4">
        <v>39685</v>
      </c>
      <c r="R239" s="11">
        <v>238</v>
      </c>
      <c r="S239" s="4">
        <v>40051</v>
      </c>
      <c r="T239" s="11">
        <v>238</v>
      </c>
      <c r="U239" s="4">
        <v>40416</v>
      </c>
      <c r="V239" s="11">
        <v>238</v>
      </c>
      <c r="W239" s="4">
        <v>40781</v>
      </c>
      <c r="X239" s="12">
        <v>238</v>
      </c>
      <c r="Y239" s="4">
        <v>41146</v>
      </c>
    </row>
    <row r="240" spans="12:25" x14ac:dyDescent="0.25">
      <c r="L240" s="10">
        <v>239</v>
      </c>
      <c r="M240" s="4">
        <v>38956</v>
      </c>
      <c r="N240" s="11">
        <v>239</v>
      </c>
      <c r="O240" s="4">
        <v>39321</v>
      </c>
      <c r="P240" s="11">
        <v>239</v>
      </c>
      <c r="Q240" s="4">
        <v>39686</v>
      </c>
      <c r="R240" s="11">
        <v>239</v>
      </c>
      <c r="S240" s="4">
        <v>40052</v>
      </c>
      <c r="T240" s="11">
        <v>239</v>
      </c>
      <c r="U240" s="4">
        <v>40417</v>
      </c>
      <c r="V240" s="11">
        <v>239</v>
      </c>
      <c r="W240" s="4">
        <v>40782</v>
      </c>
      <c r="X240" s="12">
        <v>239</v>
      </c>
      <c r="Y240" s="4">
        <v>41147</v>
      </c>
    </row>
    <row r="241" spans="12:25" x14ac:dyDescent="0.25">
      <c r="L241" s="10">
        <v>240</v>
      </c>
      <c r="M241" s="4">
        <v>38957</v>
      </c>
      <c r="N241" s="11">
        <v>240</v>
      </c>
      <c r="O241" s="4">
        <v>39322</v>
      </c>
      <c r="P241" s="11">
        <v>240</v>
      </c>
      <c r="Q241" s="4">
        <v>39687</v>
      </c>
      <c r="R241" s="11">
        <v>240</v>
      </c>
      <c r="S241" s="4">
        <v>40053</v>
      </c>
      <c r="T241" s="11">
        <v>240</v>
      </c>
      <c r="U241" s="4">
        <v>40418</v>
      </c>
      <c r="V241" s="11">
        <v>240</v>
      </c>
      <c r="W241" s="4">
        <v>40783</v>
      </c>
      <c r="X241" s="12">
        <v>240</v>
      </c>
      <c r="Y241" s="4">
        <v>41148</v>
      </c>
    </row>
    <row r="242" spans="12:25" x14ac:dyDescent="0.25">
      <c r="L242" s="10">
        <v>241</v>
      </c>
      <c r="M242" s="4">
        <v>38958</v>
      </c>
      <c r="N242" s="11">
        <v>241</v>
      </c>
      <c r="O242" s="4">
        <v>39323</v>
      </c>
      <c r="P242" s="11">
        <v>241</v>
      </c>
      <c r="Q242" s="4">
        <v>39688</v>
      </c>
      <c r="R242" s="11">
        <v>241</v>
      </c>
      <c r="S242" s="4">
        <v>40054</v>
      </c>
      <c r="T242" s="11">
        <v>241</v>
      </c>
      <c r="U242" s="4">
        <v>40419</v>
      </c>
      <c r="V242" s="11">
        <v>241</v>
      </c>
      <c r="W242" s="4">
        <v>40784</v>
      </c>
      <c r="X242" s="12">
        <v>241</v>
      </c>
      <c r="Y242" s="4">
        <v>41149</v>
      </c>
    </row>
    <row r="243" spans="12:25" x14ac:dyDescent="0.25">
      <c r="L243" s="10">
        <v>242</v>
      </c>
      <c r="M243" s="4">
        <v>38959</v>
      </c>
      <c r="N243" s="11">
        <v>242</v>
      </c>
      <c r="O243" s="4">
        <v>39324</v>
      </c>
      <c r="P243" s="11">
        <v>242</v>
      </c>
      <c r="Q243" s="4">
        <v>39689</v>
      </c>
      <c r="R243" s="11">
        <v>242</v>
      </c>
      <c r="S243" s="4">
        <v>40055</v>
      </c>
      <c r="T243" s="11">
        <v>242</v>
      </c>
      <c r="U243" s="4">
        <v>40420</v>
      </c>
      <c r="V243" s="11">
        <v>242</v>
      </c>
      <c r="W243" s="4">
        <v>40785</v>
      </c>
      <c r="X243" s="12">
        <v>242</v>
      </c>
      <c r="Y243" s="4">
        <v>41150</v>
      </c>
    </row>
    <row r="244" spans="12:25" x14ac:dyDescent="0.25">
      <c r="L244" s="10">
        <v>243</v>
      </c>
      <c r="M244" s="4">
        <v>38960</v>
      </c>
      <c r="N244" s="11">
        <v>243</v>
      </c>
      <c r="O244" s="4">
        <v>39325</v>
      </c>
      <c r="P244" s="11">
        <v>243</v>
      </c>
      <c r="Q244" s="4">
        <v>39690</v>
      </c>
      <c r="R244" s="11">
        <v>243</v>
      </c>
      <c r="S244" s="4">
        <v>40056</v>
      </c>
      <c r="T244" s="11">
        <v>243</v>
      </c>
      <c r="U244" s="4">
        <v>40421</v>
      </c>
      <c r="V244" s="11">
        <v>243</v>
      </c>
      <c r="W244" s="4">
        <v>40786</v>
      </c>
      <c r="X244" s="12">
        <v>243</v>
      </c>
      <c r="Y244" s="4">
        <v>41151</v>
      </c>
    </row>
    <row r="245" spans="12:25" x14ac:dyDescent="0.25">
      <c r="L245" s="10">
        <v>244</v>
      </c>
      <c r="M245" s="4">
        <v>38961</v>
      </c>
      <c r="N245" s="11">
        <v>244</v>
      </c>
      <c r="O245" s="4">
        <v>39326</v>
      </c>
      <c r="P245" s="11">
        <v>244</v>
      </c>
      <c r="Q245" s="4">
        <v>39691</v>
      </c>
      <c r="R245" s="11">
        <v>244</v>
      </c>
      <c r="S245" s="4">
        <v>40057</v>
      </c>
      <c r="T245" s="11">
        <v>244</v>
      </c>
      <c r="U245" s="4">
        <v>40422</v>
      </c>
      <c r="V245" s="11">
        <v>244</v>
      </c>
      <c r="W245" s="4">
        <v>40787</v>
      </c>
      <c r="X245" s="12">
        <v>244</v>
      </c>
      <c r="Y245" s="4">
        <v>41152</v>
      </c>
    </row>
    <row r="246" spans="12:25" x14ac:dyDescent="0.25">
      <c r="L246" s="10">
        <v>245</v>
      </c>
      <c r="M246" s="4">
        <v>38962</v>
      </c>
      <c r="N246" s="11">
        <v>245</v>
      </c>
      <c r="O246" s="4">
        <v>39327</v>
      </c>
      <c r="P246" s="11">
        <v>245</v>
      </c>
      <c r="Q246" s="4">
        <v>39692</v>
      </c>
      <c r="R246" s="11">
        <v>245</v>
      </c>
      <c r="S246" s="4">
        <v>40058</v>
      </c>
      <c r="T246" s="11">
        <v>245</v>
      </c>
      <c r="U246" s="4">
        <v>40423</v>
      </c>
      <c r="V246" s="11">
        <v>245</v>
      </c>
      <c r="W246" s="4">
        <v>40788</v>
      </c>
      <c r="X246" s="12">
        <v>245</v>
      </c>
      <c r="Y246" s="4">
        <v>41153</v>
      </c>
    </row>
    <row r="247" spans="12:25" x14ac:dyDescent="0.25">
      <c r="L247" s="10">
        <v>246</v>
      </c>
      <c r="M247" s="4">
        <v>38963</v>
      </c>
      <c r="N247" s="11">
        <v>246</v>
      </c>
      <c r="O247" s="4">
        <v>39328</v>
      </c>
      <c r="P247" s="11">
        <v>246</v>
      </c>
      <c r="Q247" s="4">
        <v>39693</v>
      </c>
      <c r="R247" s="11">
        <v>246</v>
      </c>
      <c r="S247" s="4">
        <v>40059</v>
      </c>
      <c r="T247" s="11">
        <v>246</v>
      </c>
      <c r="U247" s="4">
        <v>40424</v>
      </c>
      <c r="V247" s="11">
        <v>246</v>
      </c>
      <c r="W247" s="4">
        <v>40789</v>
      </c>
      <c r="X247" s="12">
        <v>246</v>
      </c>
      <c r="Y247" s="4">
        <v>41154</v>
      </c>
    </row>
    <row r="248" spans="12:25" x14ac:dyDescent="0.25">
      <c r="L248" s="10">
        <v>247</v>
      </c>
      <c r="M248" s="4">
        <v>38964</v>
      </c>
      <c r="N248" s="11">
        <v>247</v>
      </c>
      <c r="O248" s="4">
        <v>39329</v>
      </c>
      <c r="P248" s="11">
        <v>247</v>
      </c>
      <c r="Q248" s="4">
        <v>39694</v>
      </c>
      <c r="R248" s="11">
        <v>247</v>
      </c>
      <c r="S248" s="4">
        <v>40060</v>
      </c>
      <c r="T248" s="11">
        <v>247</v>
      </c>
      <c r="U248" s="4">
        <v>40425</v>
      </c>
      <c r="V248" s="11">
        <v>247</v>
      </c>
      <c r="W248" s="4">
        <v>40790</v>
      </c>
      <c r="X248" s="12">
        <v>247</v>
      </c>
      <c r="Y248" s="4">
        <v>41155</v>
      </c>
    </row>
    <row r="249" spans="12:25" x14ac:dyDescent="0.25">
      <c r="L249" s="10">
        <v>248</v>
      </c>
      <c r="M249" s="4">
        <v>38965</v>
      </c>
      <c r="N249" s="11">
        <v>248</v>
      </c>
      <c r="O249" s="4">
        <v>39330</v>
      </c>
      <c r="P249" s="11">
        <v>248</v>
      </c>
      <c r="Q249" s="4">
        <v>39695</v>
      </c>
      <c r="R249" s="11">
        <v>248</v>
      </c>
      <c r="S249" s="4">
        <v>40061</v>
      </c>
      <c r="T249" s="11">
        <v>248</v>
      </c>
      <c r="U249" s="4">
        <v>40426</v>
      </c>
      <c r="V249" s="11">
        <v>248</v>
      </c>
      <c r="W249" s="4">
        <v>40791</v>
      </c>
      <c r="X249" s="12">
        <v>248</v>
      </c>
      <c r="Y249" s="4">
        <v>41156</v>
      </c>
    </row>
    <row r="250" spans="12:25" x14ac:dyDescent="0.25">
      <c r="L250" s="10">
        <v>249</v>
      </c>
      <c r="M250" s="4">
        <v>38966</v>
      </c>
      <c r="N250" s="11">
        <v>249</v>
      </c>
      <c r="O250" s="4">
        <v>39331</v>
      </c>
      <c r="P250" s="11">
        <v>249</v>
      </c>
      <c r="Q250" s="4">
        <v>39696</v>
      </c>
      <c r="R250" s="11">
        <v>249</v>
      </c>
      <c r="S250" s="4">
        <v>40062</v>
      </c>
      <c r="T250" s="11">
        <v>249</v>
      </c>
      <c r="U250" s="4">
        <v>40427</v>
      </c>
      <c r="V250" s="11">
        <v>249</v>
      </c>
      <c r="W250" s="4">
        <v>40792</v>
      </c>
      <c r="X250" s="12">
        <v>249</v>
      </c>
      <c r="Y250" s="4">
        <v>41157</v>
      </c>
    </row>
    <row r="251" spans="12:25" x14ac:dyDescent="0.25">
      <c r="L251" s="10">
        <v>250</v>
      </c>
      <c r="M251" s="4">
        <v>38967</v>
      </c>
      <c r="N251" s="11">
        <v>250</v>
      </c>
      <c r="O251" s="4">
        <v>39332</v>
      </c>
      <c r="P251" s="11">
        <v>250</v>
      </c>
      <c r="Q251" s="4">
        <v>39697</v>
      </c>
      <c r="R251" s="11">
        <v>250</v>
      </c>
      <c r="S251" s="4">
        <v>40063</v>
      </c>
      <c r="T251" s="11">
        <v>250</v>
      </c>
      <c r="U251" s="4">
        <v>40428</v>
      </c>
      <c r="V251" s="11">
        <v>250</v>
      </c>
      <c r="W251" s="4">
        <v>40793</v>
      </c>
      <c r="X251" s="12">
        <v>250</v>
      </c>
      <c r="Y251" s="4">
        <v>41158</v>
      </c>
    </row>
    <row r="252" spans="12:25" x14ac:dyDescent="0.25">
      <c r="L252" s="10">
        <v>251</v>
      </c>
      <c r="M252" s="4">
        <v>38968</v>
      </c>
      <c r="N252" s="11">
        <v>251</v>
      </c>
      <c r="O252" s="4">
        <v>39333</v>
      </c>
      <c r="P252" s="11">
        <v>251</v>
      </c>
      <c r="Q252" s="4">
        <v>39698</v>
      </c>
      <c r="R252" s="11">
        <v>251</v>
      </c>
      <c r="S252" s="4">
        <v>40064</v>
      </c>
      <c r="T252" s="11">
        <v>251</v>
      </c>
      <c r="U252" s="4">
        <v>40429</v>
      </c>
      <c r="V252" s="11">
        <v>251</v>
      </c>
      <c r="W252" s="4">
        <v>40794</v>
      </c>
      <c r="X252" s="12">
        <v>251</v>
      </c>
      <c r="Y252" s="4">
        <v>41159</v>
      </c>
    </row>
    <row r="253" spans="12:25" x14ac:dyDescent="0.25">
      <c r="L253" s="10">
        <v>252</v>
      </c>
      <c r="M253" s="4">
        <v>38969</v>
      </c>
      <c r="N253" s="11">
        <v>252</v>
      </c>
      <c r="O253" s="4">
        <v>39334</v>
      </c>
      <c r="P253" s="11">
        <v>252</v>
      </c>
      <c r="Q253" s="4">
        <v>39699</v>
      </c>
      <c r="R253" s="11">
        <v>252</v>
      </c>
      <c r="S253" s="4">
        <v>40065</v>
      </c>
      <c r="T253" s="11">
        <v>252</v>
      </c>
      <c r="U253" s="4">
        <v>40430</v>
      </c>
      <c r="V253" s="11">
        <v>252</v>
      </c>
      <c r="W253" s="4">
        <v>40795</v>
      </c>
      <c r="X253" s="12">
        <v>252</v>
      </c>
      <c r="Y253" s="4">
        <v>41160</v>
      </c>
    </row>
    <row r="254" spans="12:25" x14ac:dyDescent="0.25">
      <c r="L254" s="10">
        <v>253</v>
      </c>
      <c r="M254" s="4">
        <v>38970</v>
      </c>
      <c r="N254" s="11">
        <v>253</v>
      </c>
      <c r="O254" s="4">
        <v>39335</v>
      </c>
      <c r="P254" s="11">
        <v>253</v>
      </c>
      <c r="Q254" s="4">
        <v>39700</v>
      </c>
      <c r="R254" s="11">
        <v>253</v>
      </c>
      <c r="S254" s="4">
        <v>40066</v>
      </c>
      <c r="T254" s="11">
        <v>253</v>
      </c>
      <c r="U254" s="4">
        <v>40431</v>
      </c>
      <c r="V254" s="11">
        <v>253</v>
      </c>
      <c r="W254" s="4">
        <v>40796</v>
      </c>
      <c r="X254" s="12">
        <v>253</v>
      </c>
      <c r="Y254" s="4">
        <v>41161</v>
      </c>
    </row>
    <row r="255" spans="12:25" x14ac:dyDescent="0.25">
      <c r="L255" s="10">
        <v>254</v>
      </c>
      <c r="M255" s="4">
        <v>38971</v>
      </c>
      <c r="N255" s="11">
        <v>254</v>
      </c>
      <c r="O255" s="4">
        <v>39336</v>
      </c>
      <c r="P255" s="11">
        <v>254</v>
      </c>
      <c r="Q255" s="4">
        <v>39701</v>
      </c>
      <c r="R255" s="11">
        <v>254</v>
      </c>
      <c r="S255" s="4">
        <v>40067</v>
      </c>
      <c r="T255" s="11">
        <v>254</v>
      </c>
      <c r="U255" s="4">
        <v>40432</v>
      </c>
      <c r="V255" s="11">
        <v>254</v>
      </c>
      <c r="W255" s="4">
        <v>40797</v>
      </c>
      <c r="X255" s="12">
        <v>254</v>
      </c>
      <c r="Y255" s="4">
        <v>41162</v>
      </c>
    </row>
    <row r="256" spans="12:25" x14ac:dyDescent="0.25">
      <c r="L256" s="10">
        <v>255</v>
      </c>
      <c r="M256" s="4">
        <v>38972</v>
      </c>
      <c r="N256" s="11">
        <v>255</v>
      </c>
      <c r="O256" s="4">
        <v>39337</v>
      </c>
      <c r="P256" s="11">
        <v>255</v>
      </c>
      <c r="Q256" s="4">
        <v>39702</v>
      </c>
      <c r="R256" s="11">
        <v>255</v>
      </c>
      <c r="S256" s="4">
        <v>40068</v>
      </c>
      <c r="T256" s="11">
        <v>255</v>
      </c>
      <c r="U256" s="4">
        <v>40433</v>
      </c>
      <c r="V256" s="11">
        <v>255</v>
      </c>
      <c r="W256" s="4">
        <v>40798</v>
      </c>
      <c r="X256" s="12">
        <v>255</v>
      </c>
      <c r="Y256" s="4">
        <v>41163</v>
      </c>
    </row>
    <row r="257" spans="12:25" x14ac:dyDescent="0.25">
      <c r="L257" s="10">
        <v>256</v>
      </c>
      <c r="M257" s="4">
        <v>38973</v>
      </c>
      <c r="N257" s="11">
        <v>256</v>
      </c>
      <c r="O257" s="4">
        <v>39338</v>
      </c>
      <c r="P257" s="11">
        <v>256</v>
      </c>
      <c r="Q257" s="4">
        <v>39703</v>
      </c>
      <c r="R257" s="11">
        <v>256</v>
      </c>
      <c r="S257" s="4">
        <v>40069</v>
      </c>
      <c r="T257" s="11">
        <v>256</v>
      </c>
      <c r="U257" s="4">
        <v>40434</v>
      </c>
      <c r="V257" s="11">
        <v>256</v>
      </c>
      <c r="W257" s="4">
        <v>40799</v>
      </c>
      <c r="X257" s="12">
        <v>256</v>
      </c>
      <c r="Y257" s="4">
        <v>41164</v>
      </c>
    </row>
    <row r="258" spans="12:25" x14ac:dyDescent="0.25">
      <c r="L258" s="10">
        <v>257</v>
      </c>
      <c r="M258" s="4">
        <v>38974</v>
      </c>
      <c r="N258" s="11">
        <v>257</v>
      </c>
      <c r="O258" s="4">
        <v>39339</v>
      </c>
      <c r="P258" s="11">
        <v>257</v>
      </c>
      <c r="Q258" s="4">
        <v>39704</v>
      </c>
      <c r="R258" s="11">
        <v>257</v>
      </c>
      <c r="S258" s="4">
        <v>40070</v>
      </c>
      <c r="T258" s="11">
        <v>257</v>
      </c>
      <c r="U258" s="4">
        <v>40435</v>
      </c>
      <c r="V258" s="11">
        <v>257</v>
      </c>
      <c r="W258" s="4">
        <v>40800</v>
      </c>
      <c r="X258" s="12">
        <v>257</v>
      </c>
      <c r="Y258" s="4">
        <v>41165</v>
      </c>
    </row>
    <row r="259" spans="12:25" x14ac:dyDescent="0.25">
      <c r="L259" s="10">
        <v>258</v>
      </c>
      <c r="M259" s="4">
        <v>38975</v>
      </c>
      <c r="N259" s="11">
        <v>258</v>
      </c>
      <c r="O259" s="4">
        <v>39340</v>
      </c>
      <c r="P259" s="11">
        <v>258</v>
      </c>
      <c r="Q259" s="4">
        <v>39705</v>
      </c>
      <c r="R259" s="11">
        <v>258</v>
      </c>
      <c r="S259" s="4">
        <v>40071</v>
      </c>
      <c r="T259" s="11">
        <v>258</v>
      </c>
      <c r="U259" s="4">
        <v>40436</v>
      </c>
      <c r="V259" s="11">
        <v>258</v>
      </c>
      <c r="W259" s="4">
        <v>40801</v>
      </c>
      <c r="X259" s="12">
        <v>258</v>
      </c>
      <c r="Y259" s="4">
        <v>41166</v>
      </c>
    </row>
    <row r="260" spans="12:25" x14ac:dyDescent="0.25">
      <c r="L260" s="10">
        <v>259</v>
      </c>
      <c r="M260" s="4">
        <v>38976</v>
      </c>
      <c r="N260" s="11">
        <v>259</v>
      </c>
      <c r="O260" s="4">
        <v>39341</v>
      </c>
      <c r="P260" s="11">
        <v>259</v>
      </c>
      <c r="Q260" s="4">
        <v>39706</v>
      </c>
      <c r="R260" s="11">
        <v>259</v>
      </c>
      <c r="S260" s="4">
        <v>40072</v>
      </c>
      <c r="T260" s="11">
        <v>259</v>
      </c>
      <c r="U260" s="4">
        <v>40437</v>
      </c>
      <c r="V260" s="11">
        <v>259</v>
      </c>
      <c r="W260" s="4">
        <v>40802</v>
      </c>
      <c r="X260" s="12">
        <v>259</v>
      </c>
      <c r="Y260" s="4">
        <v>41167</v>
      </c>
    </row>
    <row r="261" spans="12:25" x14ac:dyDescent="0.25">
      <c r="L261" s="10">
        <v>260</v>
      </c>
      <c r="M261" s="4">
        <v>38977</v>
      </c>
      <c r="N261" s="11">
        <v>260</v>
      </c>
      <c r="O261" s="4">
        <v>39342</v>
      </c>
      <c r="P261" s="11">
        <v>260</v>
      </c>
      <c r="Q261" s="4">
        <v>39707</v>
      </c>
      <c r="R261" s="11">
        <v>260</v>
      </c>
      <c r="S261" s="4">
        <v>40073</v>
      </c>
      <c r="T261" s="11">
        <v>260</v>
      </c>
      <c r="U261" s="4">
        <v>40438</v>
      </c>
      <c r="V261" s="11">
        <v>260</v>
      </c>
      <c r="W261" s="4">
        <v>40803</v>
      </c>
      <c r="X261" s="12">
        <v>260</v>
      </c>
      <c r="Y261" s="4">
        <v>41168</v>
      </c>
    </row>
    <row r="262" spans="12:25" x14ac:dyDescent="0.25">
      <c r="L262" s="10">
        <v>261</v>
      </c>
      <c r="M262" s="4">
        <v>38978</v>
      </c>
      <c r="N262" s="11">
        <v>261</v>
      </c>
      <c r="O262" s="4">
        <v>39343</v>
      </c>
      <c r="P262" s="11">
        <v>261</v>
      </c>
      <c r="Q262" s="4">
        <v>39708</v>
      </c>
      <c r="R262" s="11">
        <v>261</v>
      </c>
      <c r="S262" s="4">
        <v>40074</v>
      </c>
      <c r="T262" s="11">
        <v>261</v>
      </c>
      <c r="U262" s="4">
        <v>40439</v>
      </c>
      <c r="V262" s="11">
        <v>261</v>
      </c>
      <c r="W262" s="4">
        <v>40804</v>
      </c>
      <c r="X262" s="12">
        <v>261</v>
      </c>
      <c r="Y262" s="4">
        <v>41169</v>
      </c>
    </row>
    <row r="263" spans="12:25" x14ac:dyDescent="0.25">
      <c r="L263" s="10">
        <v>262</v>
      </c>
      <c r="M263" s="4">
        <v>38979</v>
      </c>
      <c r="N263" s="11">
        <v>262</v>
      </c>
      <c r="O263" s="4">
        <v>39344</v>
      </c>
      <c r="P263" s="11">
        <v>262</v>
      </c>
      <c r="Q263" s="4">
        <v>39709</v>
      </c>
      <c r="R263" s="11">
        <v>262</v>
      </c>
      <c r="S263" s="4">
        <v>40075</v>
      </c>
      <c r="T263" s="11">
        <v>262</v>
      </c>
      <c r="U263" s="4">
        <v>40440</v>
      </c>
      <c r="V263" s="11">
        <v>262</v>
      </c>
      <c r="W263" s="4">
        <v>40805</v>
      </c>
      <c r="X263" s="12">
        <v>262</v>
      </c>
      <c r="Y263" s="4">
        <v>41170</v>
      </c>
    </row>
    <row r="264" spans="12:25" x14ac:dyDescent="0.25">
      <c r="L264" s="10">
        <v>263</v>
      </c>
      <c r="M264" s="4">
        <v>38980</v>
      </c>
      <c r="N264" s="11">
        <v>263</v>
      </c>
      <c r="O264" s="4">
        <v>39345</v>
      </c>
      <c r="P264" s="11">
        <v>263</v>
      </c>
      <c r="Q264" s="4">
        <v>39710</v>
      </c>
      <c r="R264" s="11">
        <v>263</v>
      </c>
      <c r="S264" s="4">
        <v>40076</v>
      </c>
      <c r="T264" s="11">
        <v>263</v>
      </c>
      <c r="U264" s="4">
        <v>40441</v>
      </c>
      <c r="V264" s="11">
        <v>263</v>
      </c>
      <c r="W264" s="4">
        <v>40806</v>
      </c>
      <c r="X264" s="12">
        <v>263</v>
      </c>
      <c r="Y264" s="4">
        <v>41171</v>
      </c>
    </row>
    <row r="265" spans="12:25" x14ac:dyDescent="0.25">
      <c r="L265" s="10">
        <v>264</v>
      </c>
      <c r="M265" s="4">
        <v>38981</v>
      </c>
      <c r="N265" s="11">
        <v>264</v>
      </c>
      <c r="O265" s="4">
        <v>39346</v>
      </c>
      <c r="P265" s="11">
        <v>264</v>
      </c>
      <c r="Q265" s="4">
        <v>39711</v>
      </c>
      <c r="R265" s="11">
        <v>264</v>
      </c>
      <c r="S265" s="4">
        <v>40077</v>
      </c>
      <c r="T265" s="11">
        <v>264</v>
      </c>
      <c r="U265" s="4">
        <v>40442</v>
      </c>
      <c r="V265" s="11">
        <v>264</v>
      </c>
      <c r="W265" s="4">
        <v>40807</v>
      </c>
      <c r="X265" s="12">
        <v>264</v>
      </c>
      <c r="Y265" s="4">
        <v>41172</v>
      </c>
    </row>
    <row r="266" spans="12:25" x14ac:dyDescent="0.25">
      <c r="L266" s="10">
        <v>265</v>
      </c>
      <c r="M266" s="4">
        <v>38982</v>
      </c>
      <c r="N266" s="11">
        <v>265</v>
      </c>
      <c r="O266" s="4">
        <v>39347</v>
      </c>
      <c r="P266" s="11">
        <v>265</v>
      </c>
      <c r="Q266" s="4">
        <v>39712</v>
      </c>
      <c r="R266" s="11">
        <v>265</v>
      </c>
      <c r="S266" s="4">
        <v>40078</v>
      </c>
      <c r="T266" s="11">
        <v>265</v>
      </c>
      <c r="U266" s="4">
        <v>40443</v>
      </c>
      <c r="V266" s="11">
        <v>265</v>
      </c>
      <c r="W266" s="4">
        <v>40808</v>
      </c>
      <c r="X266" s="12">
        <v>265</v>
      </c>
      <c r="Y266" s="4">
        <v>41173</v>
      </c>
    </row>
    <row r="267" spans="12:25" x14ac:dyDescent="0.25">
      <c r="L267" s="10">
        <v>266</v>
      </c>
      <c r="M267" s="4">
        <v>38983</v>
      </c>
      <c r="N267" s="11">
        <v>266</v>
      </c>
      <c r="O267" s="4">
        <v>39348</v>
      </c>
      <c r="P267" s="11">
        <v>266</v>
      </c>
      <c r="Q267" s="4">
        <v>39713</v>
      </c>
      <c r="R267" s="11">
        <v>266</v>
      </c>
      <c r="S267" s="4">
        <v>40079</v>
      </c>
      <c r="T267" s="11">
        <v>266</v>
      </c>
      <c r="U267" s="4">
        <v>40444</v>
      </c>
      <c r="V267" s="11">
        <v>266</v>
      </c>
      <c r="W267" s="4">
        <v>40809</v>
      </c>
      <c r="X267" s="12">
        <v>266</v>
      </c>
      <c r="Y267" s="4">
        <v>41174</v>
      </c>
    </row>
    <row r="268" spans="12:25" x14ac:dyDescent="0.25">
      <c r="L268" s="10">
        <v>267</v>
      </c>
      <c r="M268" s="4">
        <v>38984</v>
      </c>
      <c r="N268" s="11">
        <v>267</v>
      </c>
      <c r="O268" s="4">
        <v>39349</v>
      </c>
      <c r="P268" s="11">
        <v>267</v>
      </c>
      <c r="Q268" s="4">
        <v>39714</v>
      </c>
      <c r="R268" s="11">
        <v>267</v>
      </c>
      <c r="S268" s="4">
        <v>40080</v>
      </c>
      <c r="T268" s="11">
        <v>267</v>
      </c>
      <c r="U268" s="4">
        <v>40445</v>
      </c>
      <c r="V268" s="11">
        <v>267</v>
      </c>
      <c r="W268" s="4">
        <v>40810</v>
      </c>
      <c r="X268" s="12">
        <v>267</v>
      </c>
      <c r="Y268" s="4">
        <v>41175</v>
      </c>
    </row>
    <row r="269" spans="12:25" x14ac:dyDescent="0.25">
      <c r="L269" s="10">
        <v>268</v>
      </c>
      <c r="M269" s="4">
        <v>38985</v>
      </c>
      <c r="N269" s="11">
        <v>268</v>
      </c>
      <c r="O269" s="4">
        <v>39350</v>
      </c>
      <c r="P269" s="11">
        <v>268</v>
      </c>
      <c r="Q269" s="4">
        <v>39715</v>
      </c>
      <c r="R269" s="11">
        <v>268</v>
      </c>
      <c r="S269" s="4">
        <v>40081</v>
      </c>
      <c r="T269" s="11">
        <v>268</v>
      </c>
      <c r="U269" s="4">
        <v>40446</v>
      </c>
      <c r="V269" s="11">
        <v>268</v>
      </c>
      <c r="W269" s="4">
        <v>40811</v>
      </c>
      <c r="X269" s="12">
        <v>268</v>
      </c>
      <c r="Y269" s="4">
        <v>41176</v>
      </c>
    </row>
    <row r="270" spans="12:25" x14ac:dyDescent="0.25">
      <c r="L270" s="10">
        <v>269</v>
      </c>
      <c r="M270" s="4">
        <v>38986</v>
      </c>
      <c r="N270" s="11">
        <v>269</v>
      </c>
      <c r="O270" s="4">
        <v>39351</v>
      </c>
      <c r="P270" s="11">
        <v>269</v>
      </c>
      <c r="Q270" s="4">
        <v>39716</v>
      </c>
      <c r="R270" s="11">
        <v>269</v>
      </c>
      <c r="S270" s="4">
        <v>40082</v>
      </c>
      <c r="T270" s="11">
        <v>269</v>
      </c>
      <c r="U270" s="4">
        <v>40447</v>
      </c>
      <c r="V270" s="11">
        <v>269</v>
      </c>
      <c r="W270" s="4">
        <v>40812</v>
      </c>
      <c r="X270" s="12">
        <v>269</v>
      </c>
      <c r="Y270" s="4">
        <v>41177</v>
      </c>
    </row>
    <row r="271" spans="12:25" x14ac:dyDescent="0.25">
      <c r="L271" s="10">
        <v>270</v>
      </c>
      <c r="M271" s="4">
        <v>38987</v>
      </c>
      <c r="N271" s="11">
        <v>270</v>
      </c>
      <c r="O271" s="4">
        <v>39352</v>
      </c>
      <c r="P271" s="11">
        <v>270</v>
      </c>
      <c r="Q271" s="4">
        <v>39717</v>
      </c>
      <c r="R271" s="11">
        <v>270</v>
      </c>
      <c r="S271" s="4">
        <v>40083</v>
      </c>
      <c r="T271" s="11">
        <v>270</v>
      </c>
      <c r="U271" s="4">
        <v>40448</v>
      </c>
      <c r="V271" s="11">
        <v>270</v>
      </c>
      <c r="W271" s="4">
        <v>40813</v>
      </c>
      <c r="X271" s="12">
        <v>270</v>
      </c>
      <c r="Y271" s="4">
        <v>41178</v>
      </c>
    </row>
    <row r="272" spans="12:25" x14ac:dyDescent="0.25">
      <c r="L272" s="10">
        <v>271</v>
      </c>
      <c r="M272" s="4">
        <v>38988</v>
      </c>
      <c r="N272" s="11">
        <v>271</v>
      </c>
      <c r="O272" s="4">
        <v>39353</v>
      </c>
      <c r="P272" s="11">
        <v>271</v>
      </c>
      <c r="Q272" s="4">
        <v>39718</v>
      </c>
      <c r="R272" s="11">
        <v>271</v>
      </c>
      <c r="S272" s="4">
        <v>40084</v>
      </c>
      <c r="T272" s="11">
        <v>271</v>
      </c>
      <c r="U272" s="4">
        <v>40449</v>
      </c>
      <c r="V272" s="11">
        <v>271</v>
      </c>
      <c r="W272" s="4">
        <v>40814</v>
      </c>
      <c r="X272" s="12">
        <v>271</v>
      </c>
      <c r="Y272" s="4">
        <v>41179</v>
      </c>
    </row>
    <row r="273" spans="12:25" x14ac:dyDescent="0.25">
      <c r="L273" s="10">
        <v>272</v>
      </c>
      <c r="M273" s="4">
        <v>38989</v>
      </c>
      <c r="N273" s="11">
        <v>272</v>
      </c>
      <c r="O273" s="4">
        <v>39354</v>
      </c>
      <c r="P273" s="11">
        <v>272</v>
      </c>
      <c r="Q273" s="4">
        <v>39719</v>
      </c>
      <c r="R273" s="11">
        <v>272</v>
      </c>
      <c r="S273" s="4">
        <v>40085</v>
      </c>
      <c r="T273" s="11">
        <v>272</v>
      </c>
      <c r="U273" s="4">
        <v>40450</v>
      </c>
      <c r="V273" s="11">
        <v>272</v>
      </c>
      <c r="W273" s="4">
        <v>40815</v>
      </c>
      <c r="X273" s="12">
        <v>272</v>
      </c>
      <c r="Y273" s="4">
        <v>41180</v>
      </c>
    </row>
    <row r="274" spans="12:25" x14ac:dyDescent="0.25">
      <c r="L274" s="10">
        <v>273</v>
      </c>
      <c r="M274" s="4">
        <v>38990</v>
      </c>
      <c r="N274" s="11">
        <v>273</v>
      </c>
      <c r="O274" s="4">
        <v>39355</v>
      </c>
      <c r="P274" s="11">
        <v>273</v>
      </c>
      <c r="Q274" s="4">
        <v>39720</v>
      </c>
      <c r="R274" s="11">
        <v>273</v>
      </c>
      <c r="S274" s="4">
        <v>40086</v>
      </c>
      <c r="T274" s="11">
        <v>273</v>
      </c>
      <c r="U274" s="4">
        <v>40451</v>
      </c>
      <c r="V274" s="11">
        <v>273</v>
      </c>
      <c r="W274" s="4">
        <v>40816</v>
      </c>
      <c r="X274" s="12">
        <v>273</v>
      </c>
      <c r="Y274" s="4">
        <v>41181</v>
      </c>
    </row>
    <row r="275" spans="12:25" x14ac:dyDescent="0.25">
      <c r="L275" s="10">
        <v>274</v>
      </c>
      <c r="M275" s="4">
        <v>38991</v>
      </c>
      <c r="N275" s="11">
        <v>274</v>
      </c>
      <c r="O275" s="4">
        <v>39356</v>
      </c>
      <c r="P275" s="11">
        <v>274</v>
      </c>
      <c r="Q275" s="4">
        <v>39721</v>
      </c>
      <c r="R275" s="11">
        <v>274</v>
      </c>
      <c r="S275" s="4">
        <v>40087</v>
      </c>
      <c r="T275" s="11">
        <v>274</v>
      </c>
      <c r="U275" s="4">
        <v>40452</v>
      </c>
      <c r="V275" s="11">
        <v>274</v>
      </c>
      <c r="W275" s="4">
        <v>40817</v>
      </c>
      <c r="X275" s="12">
        <v>274</v>
      </c>
      <c r="Y275" s="4">
        <v>41182</v>
      </c>
    </row>
    <row r="276" spans="12:25" x14ac:dyDescent="0.25">
      <c r="L276" s="10">
        <v>275</v>
      </c>
      <c r="M276" s="4">
        <v>38992</v>
      </c>
      <c r="N276" s="11">
        <v>275</v>
      </c>
      <c r="O276" s="4">
        <v>39357</v>
      </c>
      <c r="P276" s="11">
        <v>275</v>
      </c>
      <c r="Q276" s="4">
        <v>39722</v>
      </c>
      <c r="R276" s="11">
        <v>275</v>
      </c>
      <c r="S276" s="4">
        <v>40088</v>
      </c>
      <c r="T276" s="11">
        <v>275</v>
      </c>
      <c r="U276" s="4">
        <v>40453</v>
      </c>
      <c r="V276" s="11">
        <v>275</v>
      </c>
      <c r="W276" s="4">
        <v>40818</v>
      </c>
      <c r="X276" s="12">
        <v>275</v>
      </c>
      <c r="Y276" s="4">
        <v>41183</v>
      </c>
    </row>
    <row r="277" spans="12:25" x14ac:dyDescent="0.25">
      <c r="L277" s="10">
        <v>276</v>
      </c>
      <c r="M277" s="4">
        <v>38993</v>
      </c>
      <c r="N277" s="11">
        <v>276</v>
      </c>
      <c r="O277" s="4">
        <v>39358</v>
      </c>
      <c r="P277" s="11">
        <v>276</v>
      </c>
      <c r="Q277" s="4">
        <v>39723</v>
      </c>
      <c r="R277" s="11">
        <v>276</v>
      </c>
      <c r="S277" s="4">
        <v>40089</v>
      </c>
      <c r="T277" s="11">
        <v>276</v>
      </c>
      <c r="U277" s="4">
        <v>40454</v>
      </c>
      <c r="V277" s="11">
        <v>276</v>
      </c>
      <c r="W277" s="4">
        <v>40819</v>
      </c>
      <c r="X277" s="12">
        <v>276</v>
      </c>
      <c r="Y277" s="4">
        <v>41184</v>
      </c>
    </row>
    <row r="278" spans="12:25" x14ac:dyDescent="0.25">
      <c r="L278" s="10">
        <v>277</v>
      </c>
      <c r="M278" s="4">
        <v>38994</v>
      </c>
      <c r="N278" s="11">
        <v>277</v>
      </c>
      <c r="O278" s="4">
        <v>39359</v>
      </c>
      <c r="P278" s="11">
        <v>277</v>
      </c>
      <c r="Q278" s="4">
        <v>39724</v>
      </c>
      <c r="R278" s="11">
        <v>277</v>
      </c>
      <c r="S278" s="4">
        <v>40090</v>
      </c>
      <c r="T278" s="11">
        <v>277</v>
      </c>
      <c r="U278" s="4">
        <v>40455</v>
      </c>
      <c r="V278" s="11">
        <v>277</v>
      </c>
      <c r="W278" s="4">
        <v>40820</v>
      </c>
      <c r="X278" s="12">
        <v>277</v>
      </c>
      <c r="Y278" s="4">
        <v>41185</v>
      </c>
    </row>
    <row r="279" spans="12:25" x14ac:dyDescent="0.25">
      <c r="L279" s="10">
        <v>278</v>
      </c>
      <c r="M279" s="4">
        <v>38995</v>
      </c>
      <c r="N279" s="11">
        <v>278</v>
      </c>
      <c r="O279" s="4">
        <v>39360</v>
      </c>
      <c r="P279" s="11">
        <v>278</v>
      </c>
      <c r="Q279" s="4">
        <v>39725</v>
      </c>
      <c r="R279" s="11">
        <v>278</v>
      </c>
      <c r="S279" s="4">
        <v>40091</v>
      </c>
      <c r="T279" s="11">
        <v>278</v>
      </c>
      <c r="U279" s="4">
        <v>40456</v>
      </c>
      <c r="V279" s="11">
        <v>278</v>
      </c>
      <c r="W279" s="4">
        <v>40821</v>
      </c>
      <c r="X279" s="12">
        <v>278</v>
      </c>
      <c r="Y279" s="4">
        <v>41186</v>
      </c>
    </row>
    <row r="280" spans="12:25" x14ac:dyDescent="0.25">
      <c r="L280" s="10">
        <v>279</v>
      </c>
      <c r="M280" s="4">
        <v>38996</v>
      </c>
      <c r="N280" s="11">
        <v>279</v>
      </c>
      <c r="O280" s="4">
        <v>39361</v>
      </c>
      <c r="P280" s="11">
        <v>279</v>
      </c>
      <c r="Q280" s="4">
        <v>39726</v>
      </c>
      <c r="R280" s="11">
        <v>279</v>
      </c>
      <c r="S280" s="4">
        <v>40092</v>
      </c>
      <c r="T280" s="11">
        <v>279</v>
      </c>
      <c r="U280" s="4">
        <v>40457</v>
      </c>
      <c r="V280" s="11">
        <v>279</v>
      </c>
      <c r="W280" s="4">
        <v>40822</v>
      </c>
      <c r="X280" s="12">
        <v>279</v>
      </c>
      <c r="Y280" s="4">
        <v>41187</v>
      </c>
    </row>
    <row r="281" spans="12:25" x14ac:dyDescent="0.25">
      <c r="L281" s="10">
        <v>280</v>
      </c>
      <c r="M281" s="4">
        <v>38997</v>
      </c>
      <c r="N281" s="11">
        <v>280</v>
      </c>
      <c r="O281" s="4">
        <v>39362</v>
      </c>
      <c r="P281" s="11">
        <v>280</v>
      </c>
      <c r="Q281" s="4">
        <v>39727</v>
      </c>
      <c r="R281" s="11">
        <v>280</v>
      </c>
      <c r="S281" s="4">
        <v>40093</v>
      </c>
      <c r="T281" s="11">
        <v>280</v>
      </c>
      <c r="U281" s="4">
        <v>40458</v>
      </c>
      <c r="V281" s="11">
        <v>280</v>
      </c>
      <c r="W281" s="4">
        <v>40823</v>
      </c>
      <c r="X281" s="12">
        <v>280</v>
      </c>
      <c r="Y281" s="4">
        <v>41188</v>
      </c>
    </row>
    <row r="282" spans="12:25" x14ac:dyDescent="0.25">
      <c r="L282" s="10">
        <v>281</v>
      </c>
      <c r="M282" s="4">
        <v>38998</v>
      </c>
      <c r="N282" s="11">
        <v>281</v>
      </c>
      <c r="O282" s="4">
        <v>39363</v>
      </c>
      <c r="P282" s="11">
        <v>281</v>
      </c>
      <c r="Q282" s="4">
        <v>39728</v>
      </c>
      <c r="R282" s="11">
        <v>281</v>
      </c>
      <c r="S282" s="4">
        <v>40094</v>
      </c>
      <c r="T282" s="11">
        <v>281</v>
      </c>
      <c r="U282" s="4">
        <v>40459</v>
      </c>
      <c r="V282" s="11">
        <v>281</v>
      </c>
      <c r="W282" s="4">
        <v>40824</v>
      </c>
      <c r="X282" s="12">
        <v>281</v>
      </c>
      <c r="Y282" s="4">
        <v>41189</v>
      </c>
    </row>
    <row r="283" spans="12:25" x14ac:dyDescent="0.25">
      <c r="L283" s="10">
        <v>282</v>
      </c>
      <c r="M283" s="4">
        <v>38999</v>
      </c>
      <c r="N283" s="11">
        <v>282</v>
      </c>
      <c r="O283" s="4">
        <v>39364</v>
      </c>
      <c r="P283" s="11">
        <v>282</v>
      </c>
      <c r="Q283" s="4">
        <v>39729</v>
      </c>
      <c r="R283" s="11">
        <v>282</v>
      </c>
      <c r="S283" s="4">
        <v>40095</v>
      </c>
      <c r="T283" s="11">
        <v>282</v>
      </c>
      <c r="U283" s="4">
        <v>40460</v>
      </c>
      <c r="V283" s="11">
        <v>282</v>
      </c>
      <c r="W283" s="4">
        <v>40825</v>
      </c>
      <c r="X283" s="12">
        <v>282</v>
      </c>
      <c r="Y283" s="4">
        <v>41190</v>
      </c>
    </row>
    <row r="284" spans="12:25" x14ac:dyDescent="0.25">
      <c r="L284" s="10">
        <v>283</v>
      </c>
      <c r="M284" s="4">
        <v>39000</v>
      </c>
      <c r="N284" s="11">
        <v>283</v>
      </c>
      <c r="O284" s="4">
        <v>39365</v>
      </c>
      <c r="P284" s="11">
        <v>283</v>
      </c>
      <c r="Q284" s="4">
        <v>39730</v>
      </c>
      <c r="R284" s="11">
        <v>283</v>
      </c>
      <c r="S284" s="4">
        <v>40096</v>
      </c>
      <c r="T284" s="11">
        <v>283</v>
      </c>
      <c r="U284" s="4">
        <v>40461</v>
      </c>
      <c r="V284" s="11">
        <v>283</v>
      </c>
      <c r="W284" s="4">
        <v>40826</v>
      </c>
      <c r="X284" s="12">
        <v>283</v>
      </c>
      <c r="Y284" s="4">
        <v>41191</v>
      </c>
    </row>
    <row r="285" spans="12:25" x14ac:dyDescent="0.25">
      <c r="L285" s="10">
        <v>284</v>
      </c>
      <c r="M285" s="4">
        <v>39001</v>
      </c>
      <c r="N285" s="11">
        <v>284</v>
      </c>
      <c r="O285" s="4">
        <v>39366</v>
      </c>
      <c r="P285" s="11">
        <v>284</v>
      </c>
      <c r="Q285" s="4">
        <v>39731</v>
      </c>
      <c r="R285" s="11">
        <v>284</v>
      </c>
      <c r="S285" s="4">
        <v>40097</v>
      </c>
      <c r="T285" s="11">
        <v>284</v>
      </c>
      <c r="U285" s="4">
        <v>40462</v>
      </c>
      <c r="V285" s="11">
        <v>284</v>
      </c>
      <c r="W285" s="4">
        <v>40827</v>
      </c>
      <c r="X285" s="12">
        <v>284</v>
      </c>
      <c r="Y285" s="4">
        <v>41192</v>
      </c>
    </row>
    <row r="286" spans="12:25" x14ac:dyDescent="0.25">
      <c r="L286" s="10">
        <v>285</v>
      </c>
      <c r="M286" s="4">
        <v>39002</v>
      </c>
      <c r="N286" s="11">
        <v>285</v>
      </c>
      <c r="O286" s="4">
        <v>39367</v>
      </c>
      <c r="P286" s="11">
        <v>285</v>
      </c>
      <c r="Q286" s="4">
        <v>39732</v>
      </c>
      <c r="R286" s="11">
        <v>285</v>
      </c>
      <c r="S286" s="4">
        <v>40098</v>
      </c>
      <c r="T286" s="11">
        <v>285</v>
      </c>
      <c r="U286" s="4">
        <v>40463</v>
      </c>
      <c r="V286" s="11">
        <v>285</v>
      </c>
      <c r="W286" s="4">
        <v>40828</v>
      </c>
      <c r="X286" s="12">
        <v>285</v>
      </c>
      <c r="Y286" s="4">
        <v>41193</v>
      </c>
    </row>
    <row r="287" spans="12:25" x14ac:dyDescent="0.25">
      <c r="L287" s="10">
        <v>286</v>
      </c>
      <c r="M287" s="4">
        <v>39003</v>
      </c>
      <c r="N287" s="11">
        <v>286</v>
      </c>
      <c r="O287" s="4">
        <v>39368</v>
      </c>
      <c r="P287" s="11">
        <v>286</v>
      </c>
      <c r="Q287" s="4">
        <v>39733</v>
      </c>
      <c r="R287" s="11">
        <v>286</v>
      </c>
      <c r="S287" s="4">
        <v>40099</v>
      </c>
      <c r="T287" s="11">
        <v>286</v>
      </c>
      <c r="U287" s="4">
        <v>40464</v>
      </c>
      <c r="V287" s="11">
        <v>286</v>
      </c>
      <c r="W287" s="4">
        <v>40829</v>
      </c>
      <c r="X287" s="12">
        <v>286</v>
      </c>
      <c r="Y287" s="4">
        <v>41194</v>
      </c>
    </row>
    <row r="288" spans="12:25" x14ac:dyDescent="0.25">
      <c r="L288" s="10">
        <v>287</v>
      </c>
      <c r="M288" s="4">
        <v>39004</v>
      </c>
      <c r="N288" s="11">
        <v>287</v>
      </c>
      <c r="O288" s="4">
        <v>39369</v>
      </c>
      <c r="P288" s="11">
        <v>287</v>
      </c>
      <c r="Q288" s="4">
        <v>39734</v>
      </c>
      <c r="R288" s="11">
        <v>287</v>
      </c>
      <c r="S288" s="4">
        <v>40100</v>
      </c>
      <c r="T288" s="11">
        <v>287</v>
      </c>
      <c r="U288" s="4">
        <v>40465</v>
      </c>
      <c r="V288" s="11">
        <v>287</v>
      </c>
      <c r="W288" s="4">
        <v>40830</v>
      </c>
      <c r="X288" s="12">
        <v>287</v>
      </c>
      <c r="Y288" s="4">
        <v>41195</v>
      </c>
    </row>
    <row r="289" spans="12:25" x14ac:dyDescent="0.25">
      <c r="L289" s="10">
        <v>288</v>
      </c>
      <c r="M289" s="4">
        <v>39005</v>
      </c>
      <c r="N289" s="11">
        <v>288</v>
      </c>
      <c r="O289" s="4">
        <v>39370</v>
      </c>
      <c r="P289" s="11">
        <v>288</v>
      </c>
      <c r="Q289" s="4">
        <v>39735</v>
      </c>
      <c r="R289" s="11">
        <v>288</v>
      </c>
      <c r="S289" s="4">
        <v>40101</v>
      </c>
      <c r="T289" s="11">
        <v>288</v>
      </c>
      <c r="U289" s="4">
        <v>40466</v>
      </c>
      <c r="V289" s="11">
        <v>288</v>
      </c>
      <c r="W289" s="4">
        <v>40831</v>
      </c>
      <c r="X289" s="12">
        <v>288</v>
      </c>
      <c r="Y289" s="4">
        <v>41196</v>
      </c>
    </row>
    <row r="290" spans="12:25" x14ac:dyDescent="0.25">
      <c r="L290" s="10">
        <v>289</v>
      </c>
      <c r="M290" s="4">
        <v>39006</v>
      </c>
      <c r="N290" s="11">
        <v>289</v>
      </c>
      <c r="O290" s="4">
        <v>39371</v>
      </c>
      <c r="P290" s="11">
        <v>289</v>
      </c>
      <c r="Q290" s="4">
        <v>39736</v>
      </c>
      <c r="R290" s="11">
        <v>289</v>
      </c>
      <c r="S290" s="4">
        <v>40102</v>
      </c>
      <c r="T290" s="11">
        <v>289</v>
      </c>
      <c r="U290" s="4">
        <v>40467</v>
      </c>
      <c r="V290" s="11">
        <v>289</v>
      </c>
      <c r="W290" s="4">
        <v>40832</v>
      </c>
      <c r="X290" s="12">
        <v>289</v>
      </c>
      <c r="Y290" s="4">
        <v>41197</v>
      </c>
    </row>
    <row r="291" spans="12:25" x14ac:dyDescent="0.25">
      <c r="L291" s="10">
        <v>290</v>
      </c>
      <c r="M291" s="4">
        <v>39007</v>
      </c>
      <c r="N291" s="11">
        <v>290</v>
      </c>
      <c r="O291" s="4">
        <v>39372</v>
      </c>
      <c r="P291" s="11">
        <v>290</v>
      </c>
      <c r="Q291" s="4">
        <v>39737</v>
      </c>
      <c r="R291" s="11">
        <v>290</v>
      </c>
      <c r="S291" s="4">
        <v>40103</v>
      </c>
      <c r="T291" s="11">
        <v>290</v>
      </c>
      <c r="U291" s="4">
        <v>40468</v>
      </c>
      <c r="V291" s="11">
        <v>290</v>
      </c>
      <c r="W291" s="4">
        <v>40833</v>
      </c>
      <c r="X291" s="12">
        <v>290</v>
      </c>
      <c r="Y291" s="4">
        <v>41198</v>
      </c>
    </row>
    <row r="292" spans="12:25" x14ac:dyDescent="0.25">
      <c r="L292" s="10">
        <v>291</v>
      </c>
      <c r="M292" s="4">
        <v>39008</v>
      </c>
      <c r="N292" s="11">
        <v>291</v>
      </c>
      <c r="O292" s="4">
        <v>39373</v>
      </c>
      <c r="P292" s="11">
        <v>291</v>
      </c>
      <c r="Q292" s="4">
        <v>39738</v>
      </c>
      <c r="R292" s="11">
        <v>291</v>
      </c>
      <c r="S292" s="4">
        <v>40104</v>
      </c>
      <c r="T292" s="11">
        <v>291</v>
      </c>
      <c r="U292" s="4">
        <v>40469</v>
      </c>
      <c r="V292" s="11">
        <v>291</v>
      </c>
      <c r="W292" s="4">
        <v>40834</v>
      </c>
      <c r="X292" s="12">
        <v>291</v>
      </c>
      <c r="Y292" s="4">
        <v>41199</v>
      </c>
    </row>
    <row r="293" spans="12:25" x14ac:dyDescent="0.25">
      <c r="L293" s="10">
        <v>292</v>
      </c>
      <c r="M293" s="4">
        <v>39009</v>
      </c>
      <c r="N293" s="11">
        <v>292</v>
      </c>
      <c r="O293" s="4">
        <v>39374</v>
      </c>
      <c r="P293" s="11">
        <v>292</v>
      </c>
      <c r="Q293" s="4">
        <v>39739</v>
      </c>
      <c r="R293" s="11">
        <v>292</v>
      </c>
      <c r="S293" s="4">
        <v>40105</v>
      </c>
      <c r="T293" s="11">
        <v>292</v>
      </c>
      <c r="U293" s="4">
        <v>40470</v>
      </c>
      <c r="V293" s="11">
        <v>292</v>
      </c>
      <c r="W293" s="4">
        <v>40835</v>
      </c>
      <c r="X293" s="12">
        <v>292</v>
      </c>
      <c r="Y293" s="4">
        <v>41200</v>
      </c>
    </row>
    <row r="294" spans="12:25" x14ac:dyDescent="0.25">
      <c r="L294" s="10">
        <v>293</v>
      </c>
      <c r="M294" s="4">
        <v>39010</v>
      </c>
      <c r="N294" s="11">
        <v>293</v>
      </c>
      <c r="O294" s="4">
        <v>39375</v>
      </c>
      <c r="P294" s="11">
        <v>293</v>
      </c>
      <c r="Q294" s="4">
        <v>39740</v>
      </c>
      <c r="R294" s="11">
        <v>293</v>
      </c>
      <c r="S294" s="4">
        <v>40106</v>
      </c>
      <c r="T294" s="11">
        <v>293</v>
      </c>
      <c r="U294" s="4">
        <v>40471</v>
      </c>
      <c r="V294" s="11">
        <v>293</v>
      </c>
      <c r="W294" s="4">
        <v>40836</v>
      </c>
      <c r="X294" s="12">
        <v>293</v>
      </c>
      <c r="Y294" s="4">
        <v>41201</v>
      </c>
    </row>
    <row r="295" spans="12:25" x14ac:dyDescent="0.25">
      <c r="L295" s="10">
        <v>294</v>
      </c>
      <c r="M295" s="4">
        <v>39011</v>
      </c>
      <c r="N295" s="11">
        <v>294</v>
      </c>
      <c r="O295" s="4">
        <v>39376</v>
      </c>
      <c r="P295" s="11">
        <v>294</v>
      </c>
      <c r="Q295" s="4">
        <v>39741</v>
      </c>
      <c r="R295" s="11">
        <v>294</v>
      </c>
      <c r="S295" s="4">
        <v>40107</v>
      </c>
      <c r="T295" s="11">
        <v>294</v>
      </c>
      <c r="U295" s="4">
        <v>40472</v>
      </c>
      <c r="V295" s="11">
        <v>294</v>
      </c>
      <c r="W295" s="4">
        <v>40837</v>
      </c>
      <c r="X295" s="12">
        <v>294</v>
      </c>
      <c r="Y295" s="4">
        <v>41202</v>
      </c>
    </row>
    <row r="296" spans="12:25" x14ac:dyDescent="0.25">
      <c r="L296" s="10">
        <v>295</v>
      </c>
      <c r="M296" s="4">
        <v>39012</v>
      </c>
      <c r="N296" s="11">
        <v>295</v>
      </c>
      <c r="O296" s="4">
        <v>39377</v>
      </c>
      <c r="P296" s="11">
        <v>295</v>
      </c>
      <c r="Q296" s="4">
        <v>39742</v>
      </c>
      <c r="R296" s="11">
        <v>295</v>
      </c>
      <c r="S296" s="4">
        <v>40108</v>
      </c>
      <c r="T296" s="11">
        <v>295</v>
      </c>
      <c r="U296" s="4">
        <v>40473</v>
      </c>
      <c r="V296" s="11">
        <v>295</v>
      </c>
      <c r="W296" s="4">
        <v>40838</v>
      </c>
      <c r="X296" s="12">
        <v>295</v>
      </c>
      <c r="Y296" s="4">
        <v>41203</v>
      </c>
    </row>
    <row r="297" spans="12:25" x14ac:dyDescent="0.25">
      <c r="L297" s="10">
        <v>296</v>
      </c>
      <c r="M297" s="4">
        <v>39013</v>
      </c>
      <c r="N297" s="11">
        <v>296</v>
      </c>
      <c r="O297" s="4">
        <v>39378</v>
      </c>
      <c r="P297" s="11">
        <v>296</v>
      </c>
      <c r="Q297" s="4">
        <v>39743</v>
      </c>
      <c r="R297" s="11">
        <v>296</v>
      </c>
      <c r="S297" s="4">
        <v>40109</v>
      </c>
      <c r="T297" s="11">
        <v>296</v>
      </c>
      <c r="U297" s="4">
        <v>40474</v>
      </c>
      <c r="V297" s="11">
        <v>296</v>
      </c>
      <c r="W297" s="4">
        <v>40839</v>
      </c>
      <c r="X297" s="12">
        <v>296</v>
      </c>
      <c r="Y297" s="4">
        <v>41204</v>
      </c>
    </row>
    <row r="298" spans="12:25" x14ac:dyDescent="0.25">
      <c r="L298" s="10">
        <v>297</v>
      </c>
      <c r="M298" s="4">
        <v>39014</v>
      </c>
      <c r="N298" s="11">
        <v>297</v>
      </c>
      <c r="O298" s="4">
        <v>39379</v>
      </c>
      <c r="P298" s="11">
        <v>297</v>
      </c>
      <c r="Q298" s="4">
        <v>39744</v>
      </c>
      <c r="R298" s="11">
        <v>297</v>
      </c>
      <c r="S298" s="4">
        <v>40110</v>
      </c>
      <c r="T298" s="11">
        <v>297</v>
      </c>
      <c r="U298" s="4">
        <v>40475</v>
      </c>
      <c r="V298" s="11">
        <v>297</v>
      </c>
      <c r="W298" s="4">
        <v>40840</v>
      </c>
      <c r="X298" s="12">
        <v>297</v>
      </c>
      <c r="Y298" s="4">
        <v>41205</v>
      </c>
    </row>
    <row r="299" spans="12:25" x14ac:dyDescent="0.25">
      <c r="L299" s="10">
        <v>298</v>
      </c>
      <c r="M299" s="4">
        <v>39015</v>
      </c>
      <c r="N299" s="11">
        <v>298</v>
      </c>
      <c r="O299" s="4">
        <v>39380</v>
      </c>
      <c r="P299" s="11">
        <v>298</v>
      </c>
      <c r="Q299" s="4">
        <v>39745</v>
      </c>
      <c r="R299" s="11">
        <v>298</v>
      </c>
      <c r="S299" s="4">
        <v>40111</v>
      </c>
      <c r="T299" s="11">
        <v>298</v>
      </c>
      <c r="U299" s="4">
        <v>40476</v>
      </c>
      <c r="V299" s="11">
        <v>298</v>
      </c>
      <c r="W299" s="4">
        <v>40841</v>
      </c>
      <c r="X299" s="12">
        <v>298</v>
      </c>
      <c r="Y299" s="4">
        <v>41206</v>
      </c>
    </row>
    <row r="300" spans="12:25" x14ac:dyDescent="0.25">
      <c r="L300" s="10">
        <v>299</v>
      </c>
      <c r="M300" s="4">
        <v>39016</v>
      </c>
      <c r="N300" s="11">
        <v>299</v>
      </c>
      <c r="O300" s="4">
        <v>39381</v>
      </c>
      <c r="P300" s="11">
        <v>299</v>
      </c>
      <c r="Q300" s="4">
        <v>39746</v>
      </c>
      <c r="R300" s="11">
        <v>299</v>
      </c>
      <c r="S300" s="4">
        <v>40112</v>
      </c>
      <c r="T300" s="11">
        <v>299</v>
      </c>
      <c r="U300" s="4">
        <v>40477</v>
      </c>
      <c r="V300" s="11">
        <v>299</v>
      </c>
      <c r="W300" s="4">
        <v>40842</v>
      </c>
      <c r="X300" s="12">
        <v>299</v>
      </c>
      <c r="Y300" s="4">
        <v>41207</v>
      </c>
    </row>
    <row r="301" spans="12:25" x14ac:dyDescent="0.25">
      <c r="L301" s="10">
        <v>300</v>
      </c>
      <c r="M301" s="4">
        <v>39017</v>
      </c>
      <c r="N301" s="11">
        <v>300</v>
      </c>
      <c r="O301" s="4">
        <v>39382</v>
      </c>
      <c r="P301" s="11">
        <v>300</v>
      </c>
      <c r="Q301" s="4">
        <v>39747</v>
      </c>
      <c r="R301" s="11">
        <v>300</v>
      </c>
      <c r="S301" s="4">
        <v>40113</v>
      </c>
      <c r="T301" s="11">
        <v>300</v>
      </c>
      <c r="U301" s="4">
        <v>40478</v>
      </c>
      <c r="V301" s="11">
        <v>300</v>
      </c>
      <c r="W301" s="4">
        <v>40843</v>
      </c>
      <c r="X301" s="12">
        <v>300</v>
      </c>
      <c r="Y301" s="4">
        <v>41208</v>
      </c>
    </row>
    <row r="302" spans="12:25" x14ac:dyDescent="0.25">
      <c r="L302" s="10">
        <v>301</v>
      </c>
      <c r="M302" s="4">
        <v>39018</v>
      </c>
      <c r="N302" s="11">
        <v>301</v>
      </c>
      <c r="O302" s="4">
        <v>39383</v>
      </c>
      <c r="P302" s="11">
        <v>301</v>
      </c>
      <c r="Q302" s="4">
        <v>39748</v>
      </c>
      <c r="R302" s="11">
        <v>301</v>
      </c>
      <c r="S302" s="4">
        <v>40114</v>
      </c>
      <c r="T302" s="11">
        <v>301</v>
      </c>
      <c r="U302" s="4">
        <v>40479</v>
      </c>
      <c r="V302" s="11">
        <v>301</v>
      </c>
      <c r="W302" s="4">
        <v>40844</v>
      </c>
      <c r="X302" s="12">
        <v>301</v>
      </c>
      <c r="Y302" s="4">
        <v>41209</v>
      </c>
    </row>
    <row r="303" spans="12:25" x14ac:dyDescent="0.25">
      <c r="L303" s="10">
        <v>302</v>
      </c>
      <c r="M303" s="4">
        <v>39019</v>
      </c>
      <c r="N303" s="11">
        <v>302</v>
      </c>
      <c r="O303" s="4">
        <v>39384</v>
      </c>
      <c r="P303" s="11">
        <v>302</v>
      </c>
      <c r="Q303" s="4">
        <v>39749</v>
      </c>
      <c r="R303" s="11">
        <v>302</v>
      </c>
      <c r="S303" s="4">
        <v>40115</v>
      </c>
      <c r="T303" s="11">
        <v>302</v>
      </c>
      <c r="U303" s="4">
        <v>40480</v>
      </c>
      <c r="V303" s="11">
        <v>302</v>
      </c>
      <c r="W303" s="4">
        <v>40845</v>
      </c>
      <c r="X303" s="12">
        <v>302</v>
      </c>
      <c r="Y303" s="4">
        <v>41210</v>
      </c>
    </row>
    <row r="304" spans="12:25" x14ac:dyDescent="0.25">
      <c r="L304" s="10">
        <v>303</v>
      </c>
      <c r="M304" s="4">
        <v>39020</v>
      </c>
      <c r="N304" s="11">
        <v>303</v>
      </c>
      <c r="O304" s="4">
        <v>39385</v>
      </c>
      <c r="P304" s="11">
        <v>303</v>
      </c>
      <c r="Q304" s="4">
        <v>39750</v>
      </c>
      <c r="R304" s="11">
        <v>303</v>
      </c>
      <c r="S304" s="4">
        <v>40116</v>
      </c>
      <c r="T304" s="11">
        <v>303</v>
      </c>
      <c r="U304" s="4">
        <v>40481</v>
      </c>
      <c r="V304" s="11">
        <v>303</v>
      </c>
      <c r="W304" s="4">
        <v>40846</v>
      </c>
      <c r="X304" s="12">
        <v>303</v>
      </c>
      <c r="Y304" s="4">
        <v>41211</v>
      </c>
    </row>
    <row r="305" spans="12:25" x14ac:dyDescent="0.25">
      <c r="L305" s="10">
        <v>304</v>
      </c>
      <c r="M305" s="4">
        <v>39021</v>
      </c>
      <c r="N305" s="11">
        <v>304</v>
      </c>
      <c r="O305" s="4">
        <v>39386</v>
      </c>
      <c r="P305" s="11">
        <v>304</v>
      </c>
      <c r="Q305" s="4">
        <v>39751</v>
      </c>
      <c r="R305" s="11">
        <v>304</v>
      </c>
      <c r="S305" s="4">
        <v>40117</v>
      </c>
      <c r="T305" s="11">
        <v>304</v>
      </c>
      <c r="U305" s="4">
        <v>40482</v>
      </c>
      <c r="V305" s="11">
        <v>304</v>
      </c>
      <c r="W305" s="4">
        <v>40847</v>
      </c>
      <c r="X305" s="12">
        <v>304</v>
      </c>
      <c r="Y305" s="4">
        <v>41212</v>
      </c>
    </row>
    <row r="306" spans="12:25" x14ac:dyDescent="0.25">
      <c r="L306" s="10">
        <v>305</v>
      </c>
      <c r="M306" s="4">
        <v>39022</v>
      </c>
      <c r="N306" s="11">
        <v>305</v>
      </c>
      <c r="O306" s="4">
        <v>39387</v>
      </c>
      <c r="P306" s="11">
        <v>305</v>
      </c>
      <c r="Q306" s="4">
        <v>39752</v>
      </c>
      <c r="R306" s="11">
        <v>305</v>
      </c>
      <c r="S306" s="4">
        <v>40118</v>
      </c>
      <c r="T306" s="11">
        <v>305</v>
      </c>
      <c r="U306" s="4">
        <v>40483</v>
      </c>
      <c r="V306" s="11">
        <v>305</v>
      </c>
      <c r="W306" s="4">
        <v>40848</v>
      </c>
      <c r="X306" s="12">
        <v>305</v>
      </c>
      <c r="Y306" s="4">
        <v>41213</v>
      </c>
    </row>
    <row r="307" spans="12:25" x14ac:dyDescent="0.25">
      <c r="L307" s="10">
        <v>306</v>
      </c>
      <c r="M307" s="4">
        <v>39023</v>
      </c>
      <c r="N307" s="11">
        <v>306</v>
      </c>
      <c r="O307" s="4">
        <v>39388</v>
      </c>
      <c r="P307" s="11">
        <v>306</v>
      </c>
      <c r="Q307" s="4">
        <v>39753</v>
      </c>
      <c r="R307" s="11">
        <v>306</v>
      </c>
      <c r="S307" s="4">
        <v>40119</v>
      </c>
      <c r="T307" s="11">
        <v>306</v>
      </c>
      <c r="U307" s="4">
        <v>40484</v>
      </c>
      <c r="V307" s="11">
        <v>306</v>
      </c>
      <c r="W307" s="4">
        <v>40849</v>
      </c>
      <c r="X307" s="12">
        <v>306</v>
      </c>
      <c r="Y307" s="4">
        <v>41214</v>
      </c>
    </row>
    <row r="308" spans="12:25" x14ac:dyDescent="0.25">
      <c r="L308" s="10">
        <v>307</v>
      </c>
      <c r="M308" s="4">
        <v>39024</v>
      </c>
      <c r="N308" s="11">
        <v>307</v>
      </c>
      <c r="O308" s="4">
        <v>39389</v>
      </c>
      <c r="P308" s="11">
        <v>307</v>
      </c>
      <c r="Q308" s="4">
        <v>39754</v>
      </c>
      <c r="R308" s="11">
        <v>307</v>
      </c>
      <c r="S308" s="4">
        <v>40120</v>
      </c>
      <c r="T308" s="11">
        <v>307</v>
      </c>
      <c r="U308" s="4">
        <v>40485</v>
      </c>
      <c r="V308" s="11">
        <v>307</v>
      </c>
      <c r="W308" s="4">
        <v>40850</v>
      </c>
      <c r="X308" s="12">
        <v>307</v>
      </c>
      <c r="Y308" s="4">
        <v>41215</v>
      </c>
    </row>
    <row r="309" spans="12:25" x14ac:dyDescent="0.25">
      <c r="L309" s="10">
        <v>308</v>
      </c>
      <c r="M309" s="4">
        <v>39025</v>
      </c>
      <c r="N309" s="11">
        <v>308</v>
      </c>
      <c r="O309" s="4">
        <v>39390</v>
      </c>
      <c r="P309" s="11">
        <v>308</v>
      </c>
      <c r="Q309" s="4">
        <v>39755</v>
      </c>
      <c r="R309" s="11">
        <v>308</v>
      </c>
      <c r="S309" s="4">
        <v>40121</v>
      </c>
      <c r="T309" s="11">
        <v>308</v>
      </c>
      <c r="U309" s="4">
        <v>40486</v>
      </c>
      <c r="V309" s="11">
        <v>308</v>
      </c>
      <c r="W309" s="4">
        <v>40851</v>
      </c>
      <c r="X309" s="12">
        <v>308</v>
      </c>
      <c r="Y309" s="4">
        <v>41216</v>
      </c>
    </row>
    <row r="310" spans="12:25" x14ac:dyDescent="0.25">
      <c r="L310" s="10">
        <v>309</v>
      </c>
      <c r="M310" s="4">
        <v>39026</v>
      </c>
      <c r="N310" s="11">
        <v>309</v>
      </c>
      <c r="O310" s="4">
        <v>39391</v>
      </c>
      <c r="P310" s="11">
        <v>309</v>
      </c>
      <c r="Q310" s="4">
        <v>39756</v>
      </c>
      <c r="R310" s="11">
        <v>309</v>
      </c>
      <c r="S310" s="4">
        <v>40122</v>
      </c>
      <c r="T310" s="11">
        <v>309</v>
      </c>
      <c r="U310" s="4">
        <v>40487</v>
      </c>
      <c r="V310" s="11">
        <v>309</v>
      </c>
      <c r="W310" s="4">
        <v>40852</v>
      </c>
      <c r="X310" s="12">
        <v>309</v>
      </c>
      <c r="Y310" s="4">
        <v>41217</v>
      </c>
    </row>
    <row r="311" spans="12:25" x14ac:dyDescent="0.25">
      <c r="L311" s="10">
        <v>310</v>
      </c>
      <c r="M311" s="4">
        <v>39027</v>
      </c>
      <c r="N311" s="11">
        <v>310</v>
      </c>
      <c r="O311" s="4">
        <v>39392</v>
      </c>
      <c r="P311" s="11">
        <v>310</v>
      </c>
      <c r="Q311" s="4">
        <v>39757</v>
      </c>
      <c r="R311" s="11">
        <v>310</v>
      </c>
      <c r="S311" s="4">
        <v>40123</v>
      </c>
      <c r="T311" s="11">
        <v>310</v>
      </c>
      <c r="U311" s="4">
        <v>40488</v>
      </c>
      <c r="V311" s="11">
        <v>310</v>
      </c>
      <c r="W311" s="4">
        <v>40853</v>
      </c>
      <c r="X311" s="12">
        <v>310</v>
      </c>
      <c r="Y311" s="4">
        <v>41218</v>
      </c>
    </row>
    <row r="312" spans="12:25" x14ac:dyDescent="0.25">
      <c r="L312" s="10">
        <v>311</v>
      </c>
      <c r="M312" s="4">
        <v>39028</v>
      </c>
      <c r="N312" s="11">
        <v>311</v>
      </c>
      <c r="O312" s="4">
        <v>39393</v>
      </c>
      <c r="P312" s="11">
        <v>311</v>
      </c>
      <c r="Q312" s="4">
        <v>39758</v>
      </c>
      <c r="R312" s="11">
        <v>311</v>
      </c>
      <c r="S312" s="4">
        <v>40124</v>
      </c>
      <c r="T312" s="11">
        <v>311</v>
      </c>
      <c r="U312" s="4">
        <v>40489</v>
      </c>
      <c r="V312" s="11">
        <v>311</v>
      </c>
      <c r="W312" s="4">
        <v>40854</v>
      </c>
      <c r="X312" s="12">
        <v>311</v>
      </c>
      <c r="Y312" s="4">
        <v>41219</v>
      </c>
    </row>
    <row r="313" spans="12:25" x14ac:dyDescent="0.25">
      <c r="L313" s="10">
        <v>312</v>
      </c>
      <c r="M313" s="4">
        <v>39029</v>
      </c>
      <c r="N313" s="11">
        <v>312</v>
      </c>
      <c r="O313" s="4">
        <v>39394</v>
      </c>
      <c r="P313" s="11">
        <v>312</v>
      </c>
      <c r="Q313" s="4">
        <v>39759</v>
      </c>
      <c r="R313" s="11">
        <v>312</v>
      </c>
      <c r="S313" s="4">
        <v>40125</v>
      </c>
      <c r="T313" s="11">
        <v>312</v>
      </c>
      <c r="U313" s="4">
        <v>40490</v>
      </c>
      <c r="V313" s="11">
        <v>312</v>
      </c>
      <c r="W313" s="4">
        <v>40855</v>
      </c>
      <c r="X313" s="12">
        <v>312</v>
      </c>
      <c r="Y313" s="4">
        <v>41220</v>
      </c>
    </row>
    <row r="314" spans="12:25" x14ac:dyDescent="0.25">
      <c r="L314" s="10">
        <v>313</v>
      </c>
      <c r="M314" s="4">
        <v>39030</v>
      </c>
      <c r="N314" s="11">
        <v>313</v>
      </c>
      <c r="O314" s="4">
        <v>39395</v>
      </c>
      <c r="P314" s="11">
        <v>313</v>
      </c>
      <c r="Q314" s="4">
        <v>39760</v>
      </c>
      <c r="R314" s="11">
        <v>313</v>
      </c>
      <c r="S314" s="4">
        <v>40126</v>
      </c>
      <c r="T314" s="11">
        <v>313</v>
      </c>
      <c r="U314" s="4">
        <v>40491</v>
      </c>
      <c r="V314" s="11">
        <v>313</v>
      </c>
      <c r="W314" s="4">
        <v>40856</v>
      </c>
      <c r="X314" s="12">
        <v>313</v>
      </c>
      <c r="Y314" s="4">
        <v>41221</v>
      </c>
    </row>
    <row r="315" spans="12:25" x14ac:dyDescent="0.25">
      <c r="L315" s="10">
        <v>314</v>
      </c>
      <c r="M315" s="4">
        <v>39031</v>
      </c>
      <c r="N315" s="11">
        <v>314</v>
      </c>
      <c r="O315" s="4">
        <v>39396</v>
      </c>
      <c r="P315" s="11">
        <v>314</v>
      </c>
      <c r="Q315" s="4">
        <v>39761</v>
      </c>
      <c r="R315" s="11">
        <v>314</v>
      </c>
      <c r="S315" s="4">
        <v>40127</v>
      </c>
      <c r="T315" s="11">
        <v>314</v>
      </c>
      <c r="U315" s="4">
        <v>40492</v>
      </c>
      <c r="V315" s="11">
        <v>314</v>
      </c>
      <c r="W315" s="4">
        <v>40857</v>
      </c>
      <c r="X315" s="12">
        <v>314</v>
      </c>
      <c r="Y315" s="4">
        <v>41222</v>
      </c>
    </row>
    <row r="316" spans="12:25" x14ac:dyDescent="0.25">
      <c r="L316" s="10">
        <v>315</v>
      </c>
      <c r="M316" s="4">
        <v>39032</v>
      </c>
      <c r="N316" s="11">
        <v>315</v>
      </c>
      <c r="O316" s="4">
        <v>39397</v>
      </c>
      <c r="P316" s="11">
        <v>315</v>
      </c>
      <c r="Q316" s="4">
        <v>39762</v>
      </c>
      <c r="R316" s="11">
        <v>315</v>
      </c>
      <c r="S316" s="4">
        <v>40128</v>
      </c>
      <c r="T316" s="11">
        <v>315</v>
      </c>
      <c r="U316" s="4">
        <v>40493</v>
      </c>
      <c r="V316" s="11">
        <v>315</v>
      </c>
      <c r="W316" s="4">
        <v>40858</v>
      </c>
      <c r="X316" s="12">
        <v>315</v>
      </c>
      <c r="Y316" s="4">
        <v>41223</v>
      </c>
    </row>
    <row r="317" spans="12:25" x14ac:dyDescent="0.25">
      <c r="L317" s="10">
        <v>316</v>
      </c>
      <c r="M317" s="4">
        <v>39033</v>
      </c>
      <c r="N317" s="11">
        <v>316</v>
      </c>
      <c r="O317" s="4">
        <v>39398</v>
      </c>
      <c r="P317" s="11">
        <v>316</v>
      </c>
      <c r="Q317" s="4">
        <v>39763</v>
      </c>
      <c r="R317" s="11">
        <v>316</v>
      </c>
      <c r="S317" s="4">
        <v>40129</v>
      </c>
      <c r="T317" s="11">
        <v>316</v>
      </c>
      <c r="U317" s="4">
        <v>40494</v>
      </c>
      <c r="V317" s="11">
        <v>316</v>
      </c>
      <c r="W317" s="4">
        <v>40859</v>
      </c>
      <c r="X317" s="12">
        <v>316</v>
      </c>
      <c r="Y317" s="4">
        <v>41224</v>
      </c>
    </row>
    <row r="318" spans="12:25" x14ac:dyDescent="0.25">
      <c r="L318" s="10">
        <v>317</v>
      </c>
      <c r="M318" s="4">
        <v>39034</v>
      </c>
      <c r="N318" s="11">
        <v>317</v>
      </c>
      <c r="O318" s="4">
        <v>39399</v>
      </c>
      <c r="P318" s="11">
        <v>317</v>
      </c>
      <c r="Q318" s="4">
        <v>39764</v>
      </c>
      <c r="R318" s="11">
        <v>317</v>
      </c>
      <c r="S318" s="4">
        <v>40130</v>
      </c>
      <c r="T318" s="11">
        <v>317</v>
      </c>
      <c r="U318" s="4">
        <v>40495</v>
      </c>
      <c r="V318" s="11">
        <v>317</v>
      </c>
      <c r="W318" s="4">
        <v>40860</v>
      </c>
      <c r="X318" s="12">
        <v>317</v>
      </c>
      <c r="Y318" s="4">
        <v>41225</v>
      </c>
    </row>
    <row r="319" spans="12:25" x14ac:dyDescent="0.25">
      <c r="L319" s="10">
        <v>318</v>
      </c>
      <c r="M319" s="4">
        <v>39035</v>
      </c>
      <c r="N319" s="11">
        <v>318</v>
      </c>
      <c r="O319" s="4">
        <v>39400</v>
      </c>
      <c r="P319" s="11">
        <v>318</v>
      </c>
      <c r="Q319" s="4">
        <v>39765</v>
      </c>
      <c r="R319" s="11">
        <v>318</v>
      </c>
      <c r="S319" s="4">
        <v>40131</v>
      </c>
      <c r="T319" s="11">
        <v>318</v>
      </c>
      <c r="U319" s="4">
        <v>40496</v>
      </c>
      <c r="V319" s="11">
        <v>318</v>
      </c>
      <c r="W319" s="4">
        <v>40861</v>
      </c>
      <c r="X319" s="12">
        <v>318</v>
      </c>
      <c r="Y319" s="4">
        <v>41226</v>
      </c>
    </row>
    <row r="320" spans="12:25" x14ac:dyDescent="0.25">
      <c r="L320" s="10">
        <v>319</v>
      </c>
      <c r="M320" s="4">
        <v>39036</v>
      </c>
      <c r="N320" s="11">
        <v>319</v>
      </c>
      <c r="O320" s="4">
        <v>39401</v>
      </c>
      <c r="P320" s="11">
        <v>319</v>
      </c>
      <c r="Q320" s="4">
        <v>39766</v>
      </c>
      <c r="R320" s="11">
        <v>319</v>
      </c>
      <c r="S320" s="4">
        <v>40132</v>
      </c>
      <c r="T320" s="11">
        <v>319</v>
      </c>
      <c r="U320" s="4">
        <v>40497</v>
      </c>
      <c r="V320" s="11">
        <v>319</v>
      </c>
      <c r="W320" s="4">
        <v>40862</v>
      </c>
      <c r="X320" s="12">
        <v>319</v>
      </c>
      <c r="Y320" s="4">
        <v>41227</v>
      </c>
    </row>
    <row r="321" spans="12:25" x14ac:dyDescent="0.25">
      <c r="L321" s="10">
        <v>320</v>
      </c>
      <c r="M321" s="4">
        <v>39037</v>
      </c>
      <c r="N321" s="11">
        <v>320</v>
      </c>
      <c r="O321" s="4">
        <v>39402</v>
      </c>
      <c r="P321" s="11">
        <v>320</v>
      </c>
      <c r="Q321" s="4">
        <v>39767</v>
      </c>
      <c r="R321" s="11">
        <v>320</v>
      </c>
      <c r="S321" s="4">
        <v>40133</v>
      </c>
      <c r="T321" s="11">
        <v>320</v>
      </c>
      <c r="U321" s="4">
        <v>40498</v>
      </c>
      <c r="V321" s="11">
        <v>320</v>
      </c>
      <c r="W321" s="4">
        <v>40863</v>
      </c>
      <c r="X321" s="12">
        <v>320</v>
      </c>
      <c r="Y321" s="4">
        <v>41228</v>
      </c>
    </row>
    <row r="322" spans="12:25" x14ac:dyDescent="0.25">
      <c r="L322" s="10">
        <v>321</v>
      </c>
      <c r="M322" s="4">
        <v>39038</v>
      </c>
      <c r="N322" s="11">
        <v>321</v>
      </c>
      <c r="O322" s="4">
        <v>39403</v>
      </c>
      <c r="P322" s="11">
        <v>321</v>
      </c>
      <c r="Q322" s="4">
        <v>39768</v>
      </c>
      <c r="R322" s="11">
        <v>321</v>
      </c>
      <c r="S322" s="4">
        <v>40134</v>
      </c>
      <c r="T322" s="11">
        <v>321</v>
      </c>
      <c r="U322" s="4">
        <v>40499</v>
      </c>
      <c r="V322" s="11">
        <v>321</v>
      </c>
      <c r="W322" s="4">
        <v>40864</v>
      </c>
      <c r="X322" s="12">
        <v>321</v>
      </c>
      <c r="Y322" s="4">
        <v>41229</v>
      </c>
    </row>
    <row r="323" spans="12:25" x14ac:dyDescent="0.25">
      <c r="L323" s="10">
        <v>322</v>
      </c>
      <c r="M323" s="4">
        <v>39039</v>
      </c>
      <c r="N323" s="11">
        <v>322</v>
      </c>
      <c r="O323" s="4">
        <v>39404</v>
      </c>
      <c r="P323" s="11">
        <v>322</v>
      </c>
      <c r="Q323" s="4">
        <v>39769</v>
      </c>
      <c r="R323" s="11">
        <v>322</v>
      </c>
      <c r="S323" s="4">
        <v>40135</v>
      </c>
      <c r="T323" s="11">
        <v>322</v>
      </c>
      <c r="U323" s="4">
        <v>40500</v>
      </c>
      <c r="V323" s="11">
        <v>322</v>
      </c>
      <c r="W323" s="4">
        <v>40865</v>
      </c>
      <c r="X323" s="12">
        <v>322</v>
      </c>
      <c r="Y323" s="4">
        <v>41230</v>
      </c>
    </row>
    <row r="324" spans="12:25" x14ac:dyDescent="0.25">
      <c r="L324" s="10">
        <v>323</v>
      </c>
      <c r="M324" s="4">
        <v>39040</v>
      </c>
      <c r="N324" s="11">
        <v>323</v>
      </c>
      <c r="O324" s="4">
        <v>39405</v>
      </c>
      <c r="P324" s="11">
        <v>323</v>
      </c>
      <c r="Q324" s="4">
        <v>39770</v>
      </c>
      <c r="R324" s="11">
        <v>323</v>
      </c>
      <c r="S324" s="4">
        <v>40136</v>
      </c>
      <c r="T324" s="11">
        <v>323</v>
      </c>
      <c r="U324" s="4">
        <v>40501</v>
      </c>
      <c r="V324" s="11">
        <v>323</v>
      </c>
      <c r="W324" s="4">
        <v>40866</v>
      </c>
      <c r="X324" s="12">
        <v>323</v>
      </c>
      <c r="Y324" s="4">
        <v>41231</v>
      </c>
    </row>
    <row r="325" spans="12:25" x14ac:dyDescent="0.25">
      <c r="L325" s="10">
        <v>324</v>
      </c>
      <c r="M325" s="4">
        <v>39041</v>
      </c>
      <c r="N325" s="11">
        <v>324</v>
      </c>
      <c r="O325" s="4">
        <v>39406</v>
      </c>
      <c r="P325" s="11">
        <v>324</v>
      </c>
      <c r="Q325" s="4">
        <v>39771</v>
      </c>
      <c r="R325" s="11">
        <v>324</v>
      </c>
      <c r="S325" s="4">
        <v>40137</v>
      </c>
      <c r="T325" s="11">
        <v>324</v>
      </c>
      <c r="U325" s="4">
        <v>40502</v>
      </c>
      <c r="V325" s="11">
        <v>324</v>
      </c>
      <c r="W325" s="4">
        <v>40867</v>
      </c>
      <c r="X325" s="12">
        <v>324</v>
      </c>
      <c r="Y325" s="4">
        <v>41232</v>
      </c>
    </row>
    <row r="326" spans="12:25" x14ac:dyDescent="0.25">
      <c r="L326" s="10">
        <v>325</v>
      </c>
      <c r="M326" s="4">
        <v>39042</v>
      </c>
      <c r="N326" s="11">
        <v>325</v>
      </c>
      <c r="O326" s="4">
        <v>39407</v>
      </c>
      <c r="P326" s="11">
        <v>325</v>
      </c>
      <c r="Q326" s="4">
        <v>39772</v>
      </c>
      <c r="R326" s="11">
        <v>325</v>
      </c>
      <c r="S326" s="4">
        <v>40138</v>
      </c>
      <c r="T326" s="11">
        <v>325</v>
      </c>
      <c r="U326" s="4">
        <v>40503</v>
      </c>
      <c r="V326" s="11">
        <v>325</v>
      </c>
      <c r="W326" s="4">
        <v>40868</v>
      </c>
      <c r="X326" s="12">
        <v>325</v>
      </c>
      <c r="Y326" s="4">
        <v>41233</v>
      </c>
    </row>
    <row r="327" spans="12:25" x14ac:dyDescent="0.25">
      <c r="L327" s="10">
        <v>326</v>
      </c>
      <c r="M327" s="4">
        <v>39043</v>
      </c>
      <c r="N327" s="11">
        <v>326</v>
      </c>
      <c r="O327" s="4">
        <v>39408</v>
      </c>
      <c r="P327" s="11">
        <v>326</v>
      </c>
      <c r="Q327" s="4">
        <v>39773</v>
      </c>
      <c r="R327" s="11">
        <v>326</v>
      </c>
      <c r="S327" s="4">
        <v>40139</v>
      </c>
      <c r="T327" s="11">
        <v>326</v>
      </c>
      <c r="U327" s="4">
        <v>40504</v>
      </c>
      <c r="V327" s="11">
        <v>326</v>
      </c>
      <c r="W327" s="4">
        <v>40869</v>
      </c>
      <c r="X327" s="12">
        <v>326</v>
      </c>
      <c r="Y327" s="4">
        <v>41234</v>
      </c>
    </row>
    <row r="328" spans="12:25" x14ac:dyDescent="0.25">
      <c r="L328" s="10">
        <v>327</v>
      </c>
      <c r="M328" s="4">
        <v>39044</v>
      </c>
      <c r="N328" s="11">
        <v>327</v>
      </c>
      <c r="O328" s="4">
        <v>39409</v>
      </c>
      <c r="P328" s="11">
        <v>327</v>
      </c>
      <c r="Q328" s="4">
        <v>39774</v>
      </c>
      <c r="R328" s="11">
        <v>327</v>
      </c>
      <c r="S328" s="4">
        <v>40140</v>
      </c>
      <c r="T328" s="11">
        <v>327</v>
      </c>
      <c r="U328" s="4">
        <v>40505</v>
      </c>
      <c r="V328" s="11">
        <v>327</v>
      </c>
      <c r="W328" s="4">
        <v>40870</v>
      </c>
      <c r="X328" s="12">
        <v>327</v>
      </c>
      <c r="Y328" s="4">
        <v>41235</v>
      </c>
    </row>
    <row r="329" spans="12:25" x14ac:dyDescent="0.25">
      <c r="L329" s="10">
        <v>328</v>
      </c>
      <c r="M329" s="4">
        <v>39045</v>
      </c>
      <c r="N329" s="11">
        <v>328</v>
      </c>
      <c r="O329" s="4">
        <v>39410</v>
      </c>
      <c r="P329" s="11">
        <v>328</v>
      </c>
      <c r="Q329" s="4">
        <v>39775</v>
      </c>
      <c r="R329" s="11">
        <v>328</v>
      </c>
      <c r="S329" s="4">
        <v>40141</v>
      </c>
      <c r="T329" s="11">
        <v>328</v>
      </c>
      <c r="U329" s="4">
        <v>40506</v>
      </c>
      <c r="V329" s="11">
        <v>328</v>
      </c>
      <c r="W329" s="4">
        <v>40871</v>
      </c>
      <c r="X329" s="12">
        <v>328</v>
      </c>
      <c r="Y329" s="4">
        <v>41236</v>
      </c>
    </row>
    <row r="330" spans="12:25" x14ac:dyDescent="0.25">
      <c r="L330" s="10">
        <v>329</v>
      </c>
      <c r="M330" s="4">
        <v>39046</v>
      </c>
      <c r="N330" s="11">
        <v>329</v>
      </c>
      <c r="O330" s="4">
        <v>39411</v>
      </c>
      <c r="P330" s="11">
        <v>329</v>
      </c>
      <c r="Q330" s="4">
        <v>39776</v>
      </c>
      <c r="R330" s="11">
        <v>329</v>
      </c>
      <c r="S330" s="4">
        <v>40142</v>
      </c>
      <c r="T330" s="11">
        <v>329</v>
      </c>
      <c r="U330" s="4">
        <v>40507</v>
      </c>
      <c r="V330" s="11">
        <v>329</v>
      </c>
      <c r="W330" s="4">
        <v>40872</v>
      </c>
      <c r="X330" s="12">
        <v>329</v>
      </c>
      <c r="Y330" s="4">
        <v>41237</v>
      </c>
    </row>
    <row r="331" spans="12:25" x14ac:dyDescent="0.25">
      <c r="L331" s="10">
        <v>330</v>
      </c>
      <c r="M331" s="4">
        <v>39047</v>
      </c>
      <c r="N331" s="11">
        <v>330</v>
      </c>
      <c r="O331" s="4">
        <v>39412</v>
      </c>
      <c r="P331" s="11">
        <v>330</v>
      </c>
      <c r="Q331" s="4">
        <v>39777</v>
      </c>
      <c r="R331" s="11">
        <v>330</v>
      </c>
      <c r="S331" s="4">
        <v>40143</v>
      </c>
      <c r="T331" s="11">
        <v>330</v>
      </c>
      <c r="U331" s="4">
        <v>40508</v>
      </c>
      <c r="V331" s="11">
        <v>330</v>
      </c>
      <c r="W331" s="4">
        <v>40873</v>
      </c>
      <c r="X331" s="12">
        <v>330</v>
      </c>
      <c r="Y331" s="4">
        <v>41238</v>
      </c>
    </row>
    <row r="332" spans="12:25" x14ac:dyDescent="0.25">
      <c r="L332" s="10">
        <v>331</v>
      </c>
      <c r="M332" s="4">
        <v>39048</v>
      </c>
      <c r="N332" s="11">
        <v>331</v>
      </c>
      <c r="O332" s="4">
        <v>39413</v>
      </c>
      <c r="P332" s="11">
        <v>331</v>
      </c>
      <c r="Q332" s="4">
        <v>39778</v>
      </c>
      <c r="R332" s="11">
        <v>331</v>
      </c>
      <c r="S332" s="4">
        <v>40144</v>
      </c>
      <c r="T332" s="11">
        <v>331</v>
      </c>
      <c r="U332" s="4">
        <v>40509</v>
      </c>
      <c r="V332" s="11">
        <v>331</v>
      </c>
      <c r="W332" s="4">
        <v>40874</v>
      </c>
      <c r="X332" s="12">
        <v>331</v>
      </c>
      <c r="Y332" s="4">
        <v>41239</v>
      </c>
    </row>
    <row r="333" spans="12:25" x14ac:dyDescent="0.25">
      <c r="L333" s="10">
        <v>332</v>
      </c>
      <c r="M333" s="4">
        <v>39049</v>
      </c>
      <c r="N333" s="11">
        <v>332</v>
      </c>
      <c r="O333" s="4">
        <v>39414</v>
      </c>
      <c r="P333" s="11">
        <v>332</v>
      </c>
      <c r="Q333" s="4">
        <v>39779</v>
      </c>
      <c r="R333" s="11">
        <v>332</v>
      </c>
      <c r="S333" s="4">
        <v>40145</v>
      </c>
      <c r="T333" s="11">
        <v>332</v>
      </c>
      <c r="U333" s="4">
        <v>40510</v>
      </c>
      <c r="V333" s="11">
        <v>332</v>
      </c>
      <c r="W333" s="4">
        <v>40875</v>
      </c>
      <c r="X333" s="12">
        <v>332</v>
      </c>
      <c r="Y333" s="4">
        <v>41240</v>
      </c>
    </row>
    <row r="334" spans="12:25" x14ac:dyDescent="0.25">
      <c r="L334" s="10">
        <v>333</v>
      </c>
      <c r="M334" s="4">
        <v>39050</v>
      </c>
      <c r="N334" s="11">
        <v>333</v>
      </c>
      <c r="O334" s="4">
        <v>39415</v>
      </c>
      <c r="P334" s="11">
        <v>333</v>
      </c>
      <c r="Q334" s="4">
        <v>39780</v>
      </c>
      <c r="R334" s="11">
        <v>333</v>
      </c>
      <c r="S334" s="4">
        <v>40146</v>
      </c>
      <c r="T334" s="11">
        <v>333</v>
      </c>
      <c r="U334" s="4">
        <v>40511</v>
      </c>
      <c r="V334" s="11">
        <v>333</v>
      </c>
      <c r="W334" s="4">
        <v>40876</v>
      </c>
      <c r="X334" s="12">
        <v>333</v>
      </c>
      <c r="Y334" s="4">
        <v>41241</v>
      </c>
    </row>
    <row r="335" spans="12:25" x14ac:dyDescent="0.25">
      <c r="L335" s="10">
        <v>334</v>
      </c>
      <c r="M335" s="4">
        <v>39051</v>
      </c>
      <c r="N335" s="11">
        <v>334</v>
      </c>
      <c r="O335" s="4">
        <v>39416</v>
      </c>
      <c r="P335" s="11">
        <v>334</v>
      </c>
      <c r="Q335" s="4">
        <v>39781</v>
      </c>
      <c r="R335" s="11">
        <v>334</v>
      </c>
      <c r="S335" s="4">
        <v>40147</v>
      </c>
      <c r="T335" s="11">
        <v>334</v>
      </c>
      <c r="U335" s="4">
        <v>40512</v>
      </c>
      <c r="V335" s="11">
        <v>334</v>
      </c>
      <c r="W335" s="4">
        <v>40877</v>
      </c>
      <c r="X335" s="12">
        <v>334</v>
      </c>
      <c r="Y335" s="4">
        <v>41242</v>
      </c>
    </row>
    <row r="336" spans="12:25" x14ac:dyDescent="0.25">
      <c r="L336" s="10">
        <v>335</v>
      </c>
      <c r="M336" s="4">
        <v>39052</v>
      </c>
      <c r="N336" s="11">
        <v>335</v>
      </c>
      <c r="O336" s="4">
        <v>39417</v>
      </c>
      <c r="P336" s="11">
        <v>335</v>
      </c>
      <c r="Q336" s="4">
        <v>39782</v>
      </c>
      <c r="R336" s="11">
        <v>335</v>
      </c>
      <c r="S336" s="4">
        <v>40148</v>
      </c>
      <c r="T336" s="11">
        <v>335</v>
      </c>
      <c r="U336" s="4">
        <v>40513</v>
      </c>
      <c r="V336" s="11">
        <v>335</v>
      </c>
      <c r="W336" s="4">
        <v>40878</v>
      </c>
      <c r="X336" s="12">
        <v>335</v>
      </c>
      <c r="Y336" s="4">
        <v>41243</v>
      </c>
    </row>
    <row r="337" spans="12:25" x14ac:dyDescent="0.25">
      <c r="L337" s="10">
        <v>336</v>
      </c>
      <c r="M337" s="4">
        <v>39053</v>
      </c>
      <c r="N337" s="11">
        <v>336</v>
      </c>
      <c r="O337" s="4">
        <v>39418</v>
      </c>
      <c r="P337" s="11">
        <v>336</v>
      </c>
      <c r="Q337" s="4">
        <v>39783</v>
      </c>
      <c r="R337" s="11">
        <v>336</v>
      </c>
      <c r="S337" s="4">
        <v>40149</v>
      </c>
      <c r="T337" s="11">
        <v>336</v>
      </c>
      <c r="U337" s="4">
        <v>40514</v>
      </c>
      <c r="V337" s="11">
        <v>336</v>
      </c>
      <c r="W337" s="4">
        <v>40879</v>
      </c>
      <c r="X337" s="12">
        <v>336</v>
      </c>
      <c r="Y337" s="4">
        <v>41244</v>
      </c>
    </row>
    <row r="338" spans="12:25" x14ac:dyDescent="0.25">
      <c r="L338" s="10">
        <v>337</v>
      </c>
      <c r="M338" s="4">
        <v>39054</v>
      </c>
      <c r="N338" s="11">
        <v>337</v>
      </c>
      <c r="O338" s="4">
        <v>39419</v>
      </c>
      <c r="P338" s="11">
        <v>337</v>
      </c>
      <c r="Q338" s="4">
        <v>39784</v>
      </c>
      <c r="R338" s="11">
        <v>337</v>
      </c>
      <c r="S338" s="4">
        <v>40150</v>
      </c>
      <c r="T338" s="11">
        <v>337</v>
      </c>
      <c r="U338" s="4">
        <v>40515</v>
      </c>
      <c r="V338" s="11">
        <v>337</v>
      </c>
      <c r="W338" s="4">
        <v>40880</v>
      </c>
      <c r="X338" s="12">
        <v>337</v>
      </c>
      <c r="Y338" s="4">
        <v>41245</v>
      </c>
    </row>
    <row r="339" spans="12:25" x14ac:dyDescent="0.25">
      <c r="L339" s="10">
        <v>338</v>
      </c>
      <c r="M339" s="4">
        <v>39055</v>
      </c>
      <c r="N339" s="11">
        <v>338</v>
      </c>
      <c r="O339" s="4">
        <v>39420</v>
      </c>
      <c r="P339" s="11">
        <v>338</v>
      </c>
      <c r="Q339" s="4">
        <v>39785</v>
      </c>
      <c r="R339" s="11">
        <v>338</v>
      </c>
      <c r="S339" s="4">
        <v>40151</v>
      </c>
      <c r="T339" s="11">
        <v>338</v>
      </c>
      <c r="U339" s="4">
        <v>40516</v>
      </c>
      <c r="V339" s="11">
        <v>338</v>
      </c>
      <c r="W339" s="4">
        <v>40881</v>
      </c>
      <c r="X339" s="12">
        <v>338</v>
      </c>
      <c r="Y339" s="4">
        <v>41246</v>
      </c>
    </row>
    <row r="340" spans="12:25" x14ac:dyDescent="0.25">
      <c r="L340" s="10">
        <v>339</v>
      </c>
      <c r="M340" s="4">
        <v>39056</v>
      </c>
      <c r="N340" s="11">
        <v>339</v>
      </c>
      <c r="O340" s="4">
        <v>39421</v>
      </c>
      <c r="P340" s="11">
        <v>339</v>
      </c>
      <c r="Q340" s="4">
        <v>39786</v>
      </c>
      <c r="R340" s="11">
        <v>339</v>
      </c>
      <c r="S340" s="4">
        <v>40152</v>
      </c>
      <c r="T340" s="11">
        <v>339</v>
      </c>
      <c r="U340" s="4">
        <v>40517</v>
      </c>
      <c r="V340" s="11">
        <v>339</v>
      </c>
      <c r="W340" s="4">
        <v>40882</v>
      </c>
      <c r="X340" s="12">
        <v>339</v>
      </c>
      <c r="Y340" s="4">
        <v>41247</v>
      </c>
    </row>
    <row r="341" spans="12:25" x14ac:dyDescent="0.25">
      <c r="L341" s="10">
        <v>340</v>
      </c>
      <c r="M341" s="4">
        <v>39057</v>
      </c>
      <c r="N341" s="11">
        <v>340</v>
      </c>
      <c r="O341" s="4">
        <v>39422</v>
      </c>
      <c r="P341" s="11">
        <v>340</v>
      </c>
      <c r="Q341" s="4">
        <v>39787</v>
      </c>
      <c r="R341" s="11">
        <v>340</v>
      </c>
      <c r="S341" s="4">
        <v>40153</v>
      </c>
      <c r="T341" s="11">
        <v>340</v>
      </c>
      <c r="U341" s="4">
        <v>40518</v>
      </c>
      <c r="V341" s="11">
        <v>340</v>
      </c>
      <c r="W341" s="4">
        <v>40883</v>
      </c>
      <c r="X341" s="12">
        <v>340</v>
      </c>
      <c r="Y341" s="4">
        <v>41248</v>
      </c>
    </row>
    <row r="342" spans="12:25" x14ac:dyDescent="0.25">
      <c r="L342" s="10">
        <v>341</v>
      </c>
      <c r="M342" s="4">
        <v>39058</v>
      </c>
      <c r="N342" s="11">
        <v>341</v>
      </c>
      <c r="O342" s="4">
        <v>39423</v>
      </c>
      <c r="P342" s="11">
        <v>341</v>
      </c>
      <c r="Q342" s="4">
        <v>39788</v>
      </c>
      <c r="R342" s="11">
        <v>341</v>
      </c>
      <c r="S342" s="4">
        <v>40154</v>
      </c>
      <c r="T342" s="11">
        <v>341</v>
      </c>
      <c r="U342" s="4">
        <v>40519</v>
      </c>
      <c r="V342" s="11">
        <v>341</v>
      </c>
      <c r="W342" s="4">
        <v>40884</v>
      </c>
      <c r="X342" s="12">
        <v>341</v>
      </c>
      <c r="Y342" s="4">
        <v>41249</v>
      </c>
    </row>
    <row r="343" spans="12:25" x14ac:dyDescent="0.25">
      <c r="L343" s="10">
        <v>342</v>
      </c>
      <c r="M343" s="4">
        <v>39059</v>
      </c>
      <c r="N343" s="11">
        <v>342</v>
      </c>
      <c r="O343" s="4">
        <v>39424</v>
      </c>
      <c r="P343" s="11">
        <v>342</v>
      </c>
      <c r="Q343" s="4">
        <v>39789</v>
      </c>
      <c r="R343" s="11">
        <v>342</v>
      </c>
      <c r="S343" s="4">
        <v>40155</v>
      </c>
      <c r="T343" s="11">
        <v>342</v>
      </c>
      <c r="U343" s="4">
        <v>40520</v>
      </c>
      <c r="V343" s="11">
        <v>342</v>
      </c>
      <c r="W343" s="4">
        <v>40885</v>
      </c>
      <c r="X343" s="12">
        <v>342</v>
      </c>
      <c r="Y343" s="4">
        <v>41250</v>
      </c>
    </row>
    <row r="344" spans="12:25" x14ac:dyDescent="0.25">
      <c r="L344" s="10">
        <v>343</v>
      </c>
      <c r="M344" s="4">
        <v>39060</v>
      </c>
      <c r="N344" s="11">
        <v>343</v>
      </c>
      <c r="O344" s="4">
        <v>39425</v>
      </c>
      <c r="P344" s="11">
        <v>343</v>
      </c>
      <c r="Q344" s="4">
        <v>39790</v>
      </c>
      <c r="R344" s="11">
        <v>343</v>
      </c>
      <c r="S344" s="4">
        <v>40156</v>
      </c>
      <c r="T344" s="11">
        <v>343</v>
      </c>
      <c r="U344" s="4">
        <v>40521</v>
      </c>
      <c r="V344" s="11">
        <v>343</v>
      </c>
      <c r="W344" s="4">
        <v>40886</v>
      </c>
      <c r="X344" s="12">
        <v>343</v>
      </c>
      <c r="Y344" s="4">
        <v>41251</v>
      </c>
    </row>
    <row r="345" spans="12:25" x14ac:dyDescent="0.25">
      <c r="L345" s="10">
        <v>344</v>
      </c>
      <c r="M345" s="4">
        <v>39061</v>
      </c>
      <c r="N345" s="11">
        <v>344</v>
      </c>
      <c r="O345" s="4">
        <v>39426</v>
      </c>
      <c r="P345" s="11">
        <v>344</v>
      </c>
      <c r="Q345" s="4">
        <v>39791</v>
      </c>
      <c r="R345" s="11">
        <v>344</v>
      </c>
      <c r="S345" s="4">
        <v>40157</v>
      </c>
      <c r="T345" s="11">
        <v>344</v>
      </c>
      <c r="U345" s="4">
        <v>40522</v>
      </c>
      <c r="V345" s="11">
        <v>344</v>
      </c>
      <c r="W345" s="4">
        <v>40887</v>
      </c>
      <c r="X345" s="12">
        <v>344</v>
      </c>
      <c r="Y345" s="4">
        <v>41252</v>
      </c>
    </row>
    <row r="346" spans="12:25" x14ac:dyDescent="0.25">
      <c r="L346" s="10">
        <v>345</v>
      </c>
      <c r="M346" s="4">
        <v>39062</v>
      </c>
      <c r="N346" s="11">
        <v>345</v>
      </c>
      <c r="O346" s="4">
        <v>39427</v>
      </c>
      <c r="P346" s="11">
        <v>345</v>
      </c>
      <c r="Q346" s="4">
        <v>39792</v>
      </c>
      <c r="R346" s="11">
        <v>345</v>
      </c>
      <c r="S346" s="4">
        <v>40158</v>
      </c>
      <c r="T346" s="11">
        <v>345</v>
      </c>
      <c r="U346" s="4">
        <v>40523</v>
      </c>
      <c r="V346" s="11">
        <v>345</v>
      </c>
      <c r="W346" s="4">
        <v>40888</v>
      </c>
      <c r="X346" s="12">
        <v>345</v>
      </c>
      <c r="Y346" s="4">
        <v>41253</v>
      </c>
    </row>
    <row r="347" spans="12:25" x14ac:dyDescent="0.25">
      <c r="L347" s="10">
        <v>346</v>
      </c>
      <c r="M347" s="4">
        <v>39063</v>
      </c>
      <c r="N347" s="11">
        <v>346</v>
      </c>
      <c r="O347" s="4">
        <v>39428</v>
      </c>
      <c r="P347" s="11">
        <v>346</v>
      </c>
      <c r="Q347" s="4">
        <v>39793</v>
      </c>
      <c r="R347" s="11">
        <v>346</v>
      </c>
      <c r="S347" s="4">
        <v>40159</v>
      </c>
      <c r="T347" s="11">
        <v>346</v>
      </c>
      <c r="U347" s="4">
        <v>40524</v>
      </c>
      <c r="V347" s="11">
        <v>346</v>
      </c>
      <c r="W347" s="4">
        <v>40889</v>
      </c>
      <c r="X347" s="12">
        <v>346</v>
      </c>
      <c r="Y347" s="4">
        <v>41254</v>
      </c>
    </row>
    <row r="348" spans="12:25" x14ac:dyDescent="0.25">
      <c r="L348" s="10">
        <v>347</v>
      </c>
      <c r="M348" s="4">
        <v>39064</v>
      </c>
      <c r="N348" s="11">
        <v>347</v>
      </c>
      <c r="O348" s="4">
        <v>39429</v>
      </c>
      <c r="P348" s="11">
        <v>347</v>
      </c>
      <c r="Q348" s="4">
        <v>39794</v>
      </c>
      <c r="R348" s="11">
        <v>347</v>
      </c>
      <c r="S348" s="4">
        <v>40160</v>
      </c>
      <c r="T348" s="11">
        <v>347</v>
      </c>
      <c r="U348" s="4">
        <v>40525</v>
      </c>
      <c r="V348" s="11">
        <v>347</v>
      </c>
      <c r="W348" s="4">
        <v>40890</v>
      </c>
      <c r="X348" s="12">
        <v>347</v>
      </c>
      <c r="Y348" s="4">
        <v>41255</v>
      </c>
    </row>
    <row r="349" spans="12:25" x14ac:dyDescent="0.25">
      <c r="L349" s="10">
        <v>348</v>
      </c>
      <c r="M349" s="4">
        <v>39065</v>
      </c>
      <c r="N349" s="11">
        <v>348</v>
      </c>
      <c r="O349" s="4">
        <v>39430</v>
      </c>
      <c r="P349" s="11">
        <v>348</v>
      </c>
      <c r="Q349" s="4">
        <v>39795</v>
      </c>
      <c r="R349" s="11">
        <v>348</v>
      </c>
      <c r="S349" s="4">
        <v>40161</v>
      </c>
      <c r="T349" s="11">
        <v>348</v>
      </c>
      <c r="U349" s="4">
        <v>40526</v>
      </c>
      <c r="V349" s="11">
        <v>348</v>
      </c>
      <c r="W349" s="4">
        <v>40891</v>
      </c>
      <c r="X349" s="12">
        <v>348</v>
      </c>
      <c r="Y349" s="4">
        <v>41256</v>
      </c>
    </row>
    <row r="350" spans="12:25" x14ac:dyDescent="0.25">
      <c r="L350" s="10">
        <v>349</v>
      </c>
      <c r="M350" s="4">
        <v>39066</v>
      </c>
      <c r="N350" s="11">
        <v>349</v>
      </c>
      <c r="O350" s="4">
        <v>39431</v>
      </c>
      <c r="P350" s="11">
        <v>349</v>
      </c>
      <c r="Q350" s="4">
        <v>39796</v>
      </c>
      <c r="R350" s="11">
        <v>349</v>
      </c>
      <c r="S350" s="4">
        <v>40162</v>
      </c>
      <c r="T350" s="11">
        <v>349</v>
      </c>
      <c r="U350" s="4">
        <v>40527</v>
      </c>
      <c r="V350" s="11">
        <v>349</v>
      </c>
      <c r="W350" s="4">
        <v>40892</v>
      </c>
      <c r="X350" s="12">
        <v>349</v>
      </c>
      <c r="Y350" s="4">
        <v>41257</v>
      </c>
    </row>
    <row r="351" spans="12:25" x14ac:dyDescent="0.25">
      <c r="L351" s="10">
        <v>350</v>
      </c>
      <c r="M351" s="4">
        <v>39067</v>
      </c>
      <c r="N351" s="11">
        <v>350</v>
      </c>
      <c r="O351" s="4">
        <v>39432</v>
      </c>
      <c r="P351" s="11">
        <v>350</v>
      </c>
      <c r="Q351" s="4">
        <v>39797</v>
      </c>
      <c r="R351" s="11">
        <v>350</v>
      </c>
      <c r="S351" s="4">
        <v>40163</v>
      </c>
      <c r="T351" s="11">
        <v>350</v>
      </c>
      <c r="U351" s="4">
        <v>40528</v>
      </c>
      <c r="V351" s="11">
        <v>350</v>
      </c>
      <c r="W351" s="4">
        <v>40893</v>
      </c>
      <c r="X351" s="12">
        <v>350</v>
      </c>
      <c r="Y351" s="4">
        <v>41258</v>
      </c>
    </row>
    <row r="352" spans="12:25" x14ac:dyDescent="0.25">
      <c r="L352" s="10">
        <v>351</v>
      </c>
      <c r="M352" s="4">
        <v>39068</v>
      </c>
      <c r="N352" s="11">
        <v>351</v>
      </c>
      <c r="O352" s="4">
        <v>39433</v>
      </c>
      <c r="P352" s="11">
        <v>351</v>
      </c>
      <c r="Q352" s="4">
        <v>39798</v>
      </c>
      <c r="R352" s="11">
        <v>351</v>
      </c>
      <c r="S352" s="4">
        <v>40164</v>
      </c>
      <c r="T352" s="11">
        <v>351</v>
      </c>
      <c r="U352" s="4">
        <v>40529</v>
      </c>
      <c r="V352" s="11">
        <v>351</v>
      </c>
      <c r="W352" s="4">
        <v>40894</v>
      </c>
      <c r="X352" s="12">
        <v>351</v>
      </c>
      <c r="Y352" s="4">
        <v>41259</v>
      </c>
    </row>
    <row r="353" spans="12:25" x14ac:dyDescent="0.25">
      <c r="L353" s="10">
        <v>352</v>
      </c>
      <c r="M353" s="4">
        <v>39069</v>
      </c>
      <c r="N353" s="11">
        <v>352</v>
      </c>
      <c r="O353" s="4">
        <v>39434</v>
      </c>
      <c r="P353" s="11">
        <v>352</v>
      </c>
      <c r="Q353" s="4">
        <v>39799</v>
      </c>
      <c r="R353" s="11">
        <v>352</v>
      </c>
      <c r="S353" s="4">
        <v>40165</v>
      </c>
      <c r="T353" s="11">
        <v>352</v>
      </c>
      <c r="U353" s="4">
        <v>40530</v>
      </c>
      <c r="V353" s="11">
        <v>352</v>
      </c>
      <c r="W353" s="4">
        <v>40895</v>
      </c>
      <c r="X353" s="12">
        <v>352</v>
      </c>
      <c r="Y353" s="4">
        <v>41260</v>
      </c>
    </row>
    <row r="354" spans="12:25" x14ac:dyDescent="0.25">
      <c r="L354" s="10">
        <v>353</v>
      </c>
      <c r="M354" s="4">
        <v>39070</v>
      </c>
      <c r="N354" s="11">
        <v>353</v>
      </c>
      <c r="O354" s="4">
        <v>39435</v>
      </c>
      <c r="P354" s="11">
        <v>353</v>
      </c>
      <c r="Q354" s="4">
        <v>39800</v>
      </c>
      <c r="R354" s="11">
        <v>353</v>
      </c>
      <c r="S354" s="4">
        <v>40166</v>
      </c>
      <c r="T354" s="11">
        <v>353</v>
      </c>
      <c r="U354" s="4">
        <v>40531</v>
      </c>
      <c r="V354" s="11">
        <v>353</v>
      </c>
      <c r="W354" s="4">
        <v>40896</v>
      </c>
      <c r="X354" s="12">
        <v>353</v>
      </c>
      <c r="Y354" s="4">
        <v>41261</v>
      </c>
    </row>
    <row r="355" spans="12:25" x14ac:dyDescent="0.25">
      <c r="L355" s="10">
        <v>354</v>
      </c>
      <c r="M355" s="4">
        <v>39071</v>
      </c>
      <c r="N355" s="11">
        <v>354</v>
      </c>
      <c r="O355" s="4">
        <v>39436</v>
      </c>
      <c r="P355" s="11">
        <v>354</v>
      </c>
      <c r="Q355" s="4">
        <v>39801</v>
      </c>
      <c r="R355" s="11">
        <v>354</v>
      </c>
      <c r="S355" s="4">
        <v>40167</v>
      </c>
      <c r="T355" s="11">
        <v>354</v>
      </c>
      <c r="U355" s="4">
        <v>40532</v>
      </c>
      <c r="V355" s="11">
        <v>354</v>
      </c>
      <c r="W355" s="4">
        <v>40897</v>
      </c>
      <c r="X355" s="12">
        <v>354</v>
      </c>
      <c r="Y355" s="4">
        <v>41262</v>
      </c>
    </row>
    <row r="356" spans="12:25" x14ac:dyDescent="0.25">
      <c r="L356" s="10">
        <v>355</v>
      </c>
      <c r="M356" s="4">
        <v>39072</v>
      </c>
      <c r="N356" s="11">
        <v>355</v>
      </c>
      <c r="O356" s="4">
        <v>39437</v>
      </c>
      <c r="P356" s="11">
        <v>355</v>
      </c>
      <c r="Q356" s="4">
        <v>39802</v>
      </c>
      <c r="R356" s="11">
        <v>355</v>
      </c>
      <c r="S356" s="4">
        <v>40168</v>
      </c>
      <c r="T356" s="11">
        <v>355</v>
      </c>
      <c r="U356" s="4">
        <v>40533</v>
      </c>
      <c r="V356" s="11">
        <v>355</v>
      </c>
      <c r="W356" s="4">
        <v>40898</v>
      </c>
      <c r="X356" s="12">
        <v>355</v>
      </c>
      <c r="Y356" s="4">
        <v>41263</v>
      </c>
    </row>
    <row r="357" spans="12:25" x14ac:dyDescent="0.25">
      <c r="L357" s="10">
        <v>356</v>
      </c>
      <c r="M357" s="4">
        <v>39073</v>
      </c>
      <c r="N357" s="11">
        <v>356</v>
      </c>
      <c r="O357" s="4">
        <v>39438</v>
      </c>
      <c r="P357" s="11">
        <v>356</v>
      </c>
      <c r="Q357" s="4">
        <v>39803</v>
      </c>
      <c r="R357" s="11">
        <v>356</v>
      </c>
      <c r="S357" s="4">
        <v>40169</v>
      </c>
      <c r="T357" s="11">
        <v>356</v>
      </c>
      <c r="U357" s="4">
        <v>40534</v>
      </c>
      <c r="V357" s="11">
        <v>356</v>
      </c>
      <c r="W357" s="4">
        <v>40899</v>
      </c>
      <c r="X357" s="12">
        <v>356</v>
      </c>
      <c r="Y357" s="4">
        <v>41264</v>
      </c>
    </row>
    <row r="358" spans="12:25" x14ac:dyDescent="0.25">
      <c r="L358" s="10">
        <v>357</v>
      </c>
      <c r="M358" s="4">
        <v>39074</v>
      </c>
      <c r="N358" s="11">
        <v>357</v>
      </c>
      <c r="O358" s="4">
        <v>39439</v>
      </c>
      <c r="P358" s="11">
        <v>357</v>
      </c>
      <c r="Q358" s="4">
        <v>39804</v>
      </c>
      <c r="R358" s="11">
        <v>357</v>
      </c>
      <c r="S358" s="4">
        <v>40170</v>
      </c>
      <c r="T358" s="11">
        <v>357</v>
      </c>
      <c r="U358" s="4">
        <v>40535</v>
      </c>
      <c r="V358" s="11">
        <v>357</v>
      </c>
      <c r="W358" s="4">
        <v>40900</v>
      </c>
      <c r="X358" s="12">
        <v>357</v>
      </c>
      <c r="Y358" s="4">
        <v>41265</v>
      </c>
    </row>
    <row r="359" spans="12:25" x14ac:dyDescent="0.25">
      <c r="L359" s="10">
        <v>358</v>
      </c>
      <c r="M359" s="4">
        <v>39075</v>
      </c>
      <c r="N359" s="11">
        <v>358</v>
      </c>
      <c r="O359" s="4">
        <v>39440</v>
      </c>
      <c r="P359" s="11">
        <v>358</v>
      </c>
      <c r="Q359" s="4">
        <v>39805</v>
      </c>
      <c r="R359" s="11">
        <v>358</v>
      </c>
      <c r="S359" s="4">
        <v>40171</v>
      </c>
      <c r="T359" s="11">
        <v>358</v>
      </c>
      <c r="U359" s="4">
        <v>40536</v>
      </c>
      <c r="V359" s="11">
        <v>358</v>
      </c>
      <c r="W359" s="4">
        <v>40901</v>
      </c>
      <c r="X359" s="12">
        <v>358</v>
      </c>
      <c r="Y359" s="4">
        <v>41266</v>
      </c>
    </row>
    <row r="360" spans="12:25" x14ac:dyDescent="0.25">
      <c r="L360" s="10">
        <v>359</v>
      </c>
      <c r="M360" s="4">
        <v>39076</v>
      </c>
      <c r="N360" s="11">
        <v>359</v>
      </c>
      <c r="O360" s="4">
        <v>39441</v>
      </c>
      <c r="P360" s="11">
        <v>359</v>
      </c>
      <c r="Q360" s="4">
        <v>39806</v>
      </c>
      <c r="R360" s="11">
        <v>359</v>
      </c>
      <c r="S360" s="4">
        <v>40172</v>
      </c>
      <c r="T360" s="11">
        <v>359</v>
      </c>
      <c r="U360" s="4">
        <v>40537</v>
      </c>
      <c r="V360" s="11">
        <v>359</v>
      </c>
      <c r="W360" s="4">
        <v>40902</v>
      </c>
      <c r="X360" s="12">
        <v>359</v>
      </c>
      <c r="Y360" s="4">
        <v>41267</v>
      </c>
    </row>
    <row r="361" spans="12:25" x14ac:dyDescent="0.25">
      <c r="L361" s="10">
        <v>360</v>
      </c>
      <c r="M361" s="4">
        <v>39077</v>
      </c>
      <c r="N361" s="11">
        <v>360</v>
      </c>
      <c r="O361" s="4">
        <v>39442</v>
      </c>
      <c r="P361" s="11">
        <v>360</v>
      </c>
      <c r="Q361" s="4">
        <v>39807</v>
      </c>
      <c r="R361" s="11">
        <v>360</v>
      </c>
      <c r="S361" s="4">
        <v>40173</v>
      </c>
      <c r="T361" s="11">
        <v>360</v>
      </c>
      <c r="U361" s="4">
        <v>40538</v>
      </c>
      <c r="V361" s="11">
        <v>360</v>
      </c>
      <c r="W361" s="4">
        <v>40903</v>
      </c>
      <c r="X361" s="12">
        <v>360</v>
      </c>
      <c r="Y361" s="4">
        <v>41268</v>
      </c>
    </row>
    <row r="362" spans="12:25" x14ac:dyDescent="0.25">
      <c r="L362" s="10">
        <v>361</v>
      </c>
      <c r="M362" s="4">
        <v>39078</v>
      </c>
      <c r="N362" s="11">
        <v>361</v>
      </c>
      <c r="O362" s="4">
        <v>39443</v>
      </c>
      <c r="P362" s="11">
        <v>361</v>
      </c>
      <c r="Q362" s="4">
        <v>39808</v>
      </c>
      <c r="R362" s="11">
        <v>361</v>
      </c>
      <c r="S362" s="4">
        <v>40174</v>
      </c>
      <c r="T362" s="11">
        <v>361</v>
      </c>
      <c r="U362" s="4">
        <v>40539</v>
      </c>
      <c r="V362" s="11">
        <v>361</v>
      </c>
      <c r="W362" s="4">
        <v>40904</v>
      </c>
      <c r="X362" s="12">
        <v>361</v>
      </c>
      <c r="Y362" s="4">
        <v>41269</v>
      </c>
    </row>
    <row r="363" spans="12:25" x14ac:dyDescent="0.25">
      <c r="L363" s="10">
        <v>362</v>
      </c>
      <c r="M363" s="4">
        <v>39079</v>
      </c>
      <c r="N363" s="11">
        <v>362</v>
      </c>
      <c r="O363" s="4">
        <v>39444</v>
      </c>
      <c r="P363" s="11">
        <v>362</v>
      </c>
      <c r="Q363" s="4">
        <v>39809</v>
      </c>
      <c r="R363" s="11">
        <v>362</v>
      </c>
      <c r="S363" s="4">
        <v>40175</v>
      </c>
      <c r="T363" s="11">
        <v>362</v>
      </c>
      <c r="U363" s="4">
        <v>40540</v>
      </c>
      <c r="V363" s="11">
        <v>362</v>
      </c>
      <c r="W363" s="4">
        <v>40905</v>
      </c>
      <c r="X363" s="12">
        <v>362</v>
      </c>
      <c r="Y363" s="4">
        <v>41270</v>
      </c>
    </row>
    <row r="364" spans="12:25" x14ac:dyDescent="0.25">
      <c r="L364" s="10">
        <v>363</v>
      </c>
      <c r="M364" s="4">
        <v>39080</v>
      </c>
      <c r="N364" s="11">
        <v>363</v>
      </c>
      <c r="O364" s="4">
        <v>39445</v>
      </c>
      <c r="P364" s="11">
        <v>363</v>
      </c>
      <c r="Q364" s="4">
        <v>39810</v>
      </c>
      <c r="R364" s="11">
        <v>363</v>
      </c>
      <c r="S364" s="4">
        <v>40176</v>
      </c>
      <c r="T364" s="11">
        <v>363</v>
      </c>
      <c r="U364" s="4">
        <v>40541</v>
      </c>
      <c r="V364" s="11">
        <v>363</v>
      </c>
      <c r="W364" s="4">
        <v>40906</v>
      </c>
      <c r="X364" s="12">
        <v>363</v>
      </c>
      <c r="Y364" s="4">
        <v>41271</v>
      </c>
    </row>
    <row r="365" spans="12:25" x14ac:dyDescent="0.25">
      <c r="L365" s="10">
        <v>364</v>
      </c>
      <c r="M365" s="4">
        <v>39081</v>
      </c>
      <c r="N365" s="11">
        <v>364</v>
      </c>
      <c r="O365" s="4">
        <v>39446</v>
      </c>
      <c r="P365" s="11">
        <v>364</v>
      </c>
      <c r="Q365" s="4">
        <v>39811</v>
      </c>
      <c r="R365" s="11">
        <v>364</v>
      </c>
      <c r="S365" s="4">
        <v>40177</v>
      </c>
      <c r="T365" s="11">
        <v>364</v>
      </c>
      <c r="U365" s="4">
        <v>40542</v>
      </c>
      <c r="V365" s="11">
        <v>364</v>
      </c>
      <c r="W365" s="4">
        <v>40907</v>
      </c>
      <c r="X365" s="12">
        <v>364</v>
      </c>
      <c r="Y365" s="4">
        <v>41272</v>
      </c>
    </row>
    <row r="366" spans="12:25" x14ac:dyDescent="0.25">
      <c r="L366" s="10">
        <v>365</v>
      </c>
      <c r="M366" s="4">
        <v>39082</v>
      </c>
      <c r="N366" s="11">
        <v>365</v>
      </c>
      <c r="O366" s="4">
        <v>39447</v>
      </c>
      <c r="P366" s="11">
        <v>365</v>
      </c>
      <c r="Q366" s="4">
        <v>39812</v>
      </c>
      <c r="R366" s="11">
        <v>365</v>
      </c>
      <c r="S366" s="4">
        <v>40178</v>
      </c>
      <c r="T366" s="11">
        <v>365</v>
      </c>
      <c r="U366" s="4">
        <v>40543</v>
      </c>
      <c r="V366" s="11">
        <v>365</v>
      </c>
      <c r="W366" s="4">
        <v>40908</v>
      </c>
      <c r="X366" s="12">
        <v>365</v>
      </c>
      <c r="Y366" s="4">
        <v>41273</v>
      </c>
    </row>
    <row r="367" spans="12:25" ht="15.75" thickBot="1" x14ac:dyDescent="0.3">
      <c r="L367" s="13"/>
      <c r="M367" s="14"/>
      <c r="N367" s="15"/>
      <c r="O367" s="14"/>
      <c r="P367" s="15">
        <v>366</v>
      </c>
      <c r="Q367" s="16">
        <v>39813</v>
      </c>
      <c r="R367" s="15"/>
      <c r="S367" s="14"/>
      <c r="T367" s="15"/>
      <c r="U367" s="14"/>
      <c r="V367" s="15"/>
      <c r="W367" s="14"/>
      <c r="X367" s="17">
        <v>366</v>
      </c>
      <c r="Y367" s="4">
        <v>41274</v>
      </c>
    </row>
  </sheetData>
  <sortState ref="C2:C8"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</vt:i4>
      </vt:variant>
    </vt:vector>
  </HeadingPairs>
  <TitlesOfParts>
    <vt:vector size="21" baseType="lpstr">
      <vt:lpstr>Welcome</vt:lpstr>
      <vt:lpstr>Data</vt:lpstr>
      <vt:lpstr>Occasion</vt:lpstr>
      <vt:lpstr>Records</vt:lpstr>
      <vt:lpstr>Occ_Prep</vt:lpstr>
      <vt:lpstr>Rec_Prep</vt:lpstr>
      <vt:lpstr>Lists</vt:lpstr>
      <vt:lpstr>Camp</vt:lpstr>
      <vt:lpstr>Date2013</vt:lpstr>
      <vt:lpstr>Jul_06</vt:lpstr>
      <vt:lpstr>Jul_07</vt:lpstr>
      <vt:lpstr>Jul_08</vt:lpstr>
      <vt:lpstr>Jul_09</vt:lpstr>
      <vt:lpstr>Jul_10</vt:lpstr>
      <vt:lpstr>Jul_11</vt:lpstr>
      <vt:lpstr>Jul_12</vt:lpstr>
      <vt:lpstr>Observers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burdGIS</cp:lastModifiedBy>
  <dcterms:created xsi:type="dcterms:W3CDTF">2013-04-12T01:09:21Z</dcterms:created>
  <dcterms:modified xsi:type="dcterms:W3CDTF">2015-06-28T20:22:12Z</dcterms:modified>
</cp:coreProperties>
</file>