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45" windowWidth="15480" windowHeight="4305"/>
  </bookViews>
  <sheets>
    <sheet name="Welcome" sheetId="5" r:id="rId1"/>
    <sheet name="Data" sheetId="1" r:id="rId2"/>
    <sheet name="Records" sheetId="3" r:id="rId3"/>
    <sheet name="Rec_Prep" sheetId="2" r:id="rId4"/>
    <sheet name="Lists" sheetId="4" r:id="rId5"/>
  </sheets>
  <definedNames>
    <definedName name="_xlnm._FilterDatabase" localSheetId="1" hidden="1">Data!$O$1:$O$2</definedName>
    <definedName name="_xlnm._FilterDatabase" localSheetId="3" hidden="1">Rec_Prep!$C$1:$C$1</definedName>
    <definedName name="Camp">Lists!$C$3:$C$9</definedName>
    <definedName name="Camp2">#REF!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Observers">Lists!$F$3:$F$90</definedName>
    <definedName name="Sex">Lists!$I$3:$I$5</definedName>
    <definedName name="Sight">Lists!$J$3:$J$12</definedName>
    <definedName name="Site">Lists!$E$3:$E$144</definedName>
    <definedName name="Species">Lists!$H$4:$H$33</definedName>
    <definedName name="Transect">Lists!$D$3:$D$31</definedName>
  </definedNames>
  <calcPr calcId="145621"/>
</workbook>
</file>

<file path=xl/calcChain.xml><?xml version="1.0" encoding="utf-8"?>
<calcChain xmlns="http://schemas.openxmlformats.org/spreadsheetml/2006/main">
  <c r="P2" i="3" l="1"/>
  <c r="Q2" i="3"/>
  <c r="R2" i="3"/>
  <c r="O2" i="3"/>
  <c r="B2" i="3" l="1"/>
  <c r="A2" i="3" s="1"/>
  <c r="C2" i="3"/>
  <c r="D2" i="3"/>
  <c r="E2" i="3"/>
  <c r="F2" i="3"/>
  <c r="G2" i="3" l="1"/>
  <c r="H2" i="3"/>
  <c r="I2" i="3"/>
  <c r="K2" i="3" l="1"/>
  <c r="J2" i="3"/>
  <c r="M2" i="1" l="1"/>
  <c r="N2" i="1" l="1"/>
  <c r="P2" i="1" s="1"/>
  <c r="O2" i="1" l="1"/>
  <c r="L2" i="3" s="1"/>
  <c r="M2" i="3" l="1"/>
</calcChain>
</file>

<file path=xl/sharedStrings.xml><?xml version="1.0" encoding="utf-8"?>
<sst xmlns="http://schemas.openxmlformats.org/spreadsheetml/2006/main" count="419" uniqueCount="367">
  <si>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</si>
  <si>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</si>
  <si>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</si>
  <si>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</si>
  <si>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</si>
  <si>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</si>
  <si>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</si>
  <si>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</si>
  <si>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</si>
  <si>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</si>
  <si>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</si>
  <si>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</si>
  <si>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</si>
  <si>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</si>
  <si>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</si>
  <si>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</si>
  <si>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</si>
  <si>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</si>
  <si>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</si>
  <si>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</si>
  <si>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</si>
  <si>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</si>
  <si>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</si>
  <si>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</si>
  <si>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</si>
  <si>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</si>
  <si>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</si>
  <si>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</si>
  <si>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</si>
  <si>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</si>
  <si>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</si>
  <si>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</si>
  <si>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</si>
  <si>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</si>
  <si>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</si>
  <si>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</si>
  <si>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</si>
  <si>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</si>
  <si>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</si>
  <si>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</si>
  <si>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</si>
  <si>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</si>
  <si>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</si>
  <si>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</si>
  <si>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</si>
  <si>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</si>
  <si>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</si>
  <si>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</si>
  <si>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</si>
  <si>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</si>
  <si>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</si>
  <si>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</si>
  <si>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</si>
  <si>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</si>
  <si>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</si>
  <si>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</si>
  <si>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</si>
  <si>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</si>
  <si>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</si>
  <si>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</si>
  <si>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</si>
  <si>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</si>
  <si>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</si>
  <si>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</si>
  <si>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</si>
  <si>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</si>
  <si>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</si>
  <si>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</si>
  <si>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</si>
  <si>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</si>
  <si>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</si>
  <si>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</si>
  <si>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</si>
  <si>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</si>
  <si>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</si>
  <si>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</si>
  <si>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</si>
  <si>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</si>
  <si>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</si>
  <si>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</si>
  <si>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</si>
  <si>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</si>
  <si>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</si>
  <si>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</si>
  <si>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</si>
  <si>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</si>
  <si>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</si>
  <si>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</si>
  <si>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</si>
  <si>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</si>
  <si>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</si>
  <si>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</si>
  <si>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</si>
  <si>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</si>
  <si>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</si>
  <si>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</si>
  <si>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</si>
  <si>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</si>
  <si>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</si>
  <si>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</si>
  <si>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</si>
  <si>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</si>
  <si>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</si>
  <si>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</si>
  <si>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</si>
  <si>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</si>
  <si>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</si>
  <si>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</si>
  <si>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</si>
  <si>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</si>
  <si>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</si>
  <si>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</si>
  <si>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</si>
  <si>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</si>
  <si>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</si>
  <si>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</si>
  <si>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</si>
  <si>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</si>
  <si>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</si>
  <si>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</si>
  <si>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</si>
  <si>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</si>
  <si>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</si>
  <si>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</si>
  <si>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</si>
  <si>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</si>
  <si>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</si>
  <si>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</si>
  <si>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</si>
  <si>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</si>
  <si>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</si>
  <si>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</si>
  <si>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</si>
  <si>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</si>
  <si>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</si>
  <si>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</si>
  <si>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</si>
  <si>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</si>
  <si>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</si>
  <si>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</si>
  <si>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</si>
  <si>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</si>
  <si>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</si>
  <si>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</si>
  <si>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</si>
  <si>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</si>
  <si>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</si>
  <si>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</si>
  <si>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</si>
  <si>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</si>
  <si>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</si>
  <si>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</si>
  <si>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</si>
  <si>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</si>
  <si>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</si>
  <si>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</si>
  <si>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</si>
  <si>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</si>
  <si>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</si>
  <si>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</si>
  <si>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</si>
  <si>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</si>
  <si>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</si>
  <si>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</si>
  <si>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</si>
  <si>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</si>
  <si>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</si>
  <si>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</si>
  <si>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</si>
  <si>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</si>
  <si>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</si>
  <si>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</si>
  <si>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</si>
  <si>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</si>
  <si>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</si>
  <si>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</si>
  <si>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</si>
  <si>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</si>
  <si>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</si>
  <si>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</si>
  <si>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</si>
  <si>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</si>
  <si>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</si>
  <si>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</si>
  <si>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</si>
  <si>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</si>
  <si>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</si>
  <si>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</si>
  <si>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</si>
  <si>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</si>
  <si>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</si>
  <si>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</si>
  <si>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</si>
  <si>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</si>
  <si>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</si>
  <si>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</si>
  <si>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</si>
  <si>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</si>
  <si>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</si>
  <si>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</si>
  <si>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</si>
  <si>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</si>
  <si>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</si>
  <si>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</si>
  <si>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</si>
  <si>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</si>
  <si>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</si>
  <si>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</si>
  <si>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</si>
  <si>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</si>
  <si>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</si>
  <si>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</si>
  <si>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</si>
  <si>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</si>
  <si>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</si>
  <si>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</si>
  <si>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</si>
  <si>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</si>
  <si>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Neil Reid</t>
  </si>
  <si>
    <t>Rueven Yosef</t>
  </si>
  <si>
    <t>Dr. Kirsten Bohn</t>
  </si>
  <si>
    <t>Genifer Lara</t>
  </si>
  <si>
    <t>Olvin Oyuela</t>
  </si>
  <si>
    <t>Claire Dowding</t>
  </si>
  <si>
    <t>Kiri Jones</t>
  </si>
  <si>
    <t>Natalie Whitehead</t>
  </si>
  <si>
    <t>Wendy Edmond</t>
  </si>
  <si>
    <t>Samantha Smith</t>
  </si>
  <si>
    <t>Thomas Creedy</t>
  </si>
  <si>
    <t>Ken McCravy</t>
  </si>
  <si>
    <t>Stuart Longhorn</t>
  </si>
  <si>
    <t>Brittany Damron</t>
  </si>
  <si>
    <t>Michelle D'souza</t>
  </si>
  <si>
    <t xml:space="preserve">Ivany Argueta </t>
  </si>
  <si>
    <t xml:space="preserve">Josie Slade </t>
  </si>
  <si>
    <t>Joeseph Van Dyke</t>
  </si>
  <si>
    <t>Fabiola Rodriguez</t>
  </si>
  <si>
    <t>Lynn Schofield</t>
  </si>
  <si>
    <t>Yohay Wasserlauf</t>
  </si>
  <si>
    <t>Dr Ruth Cox</t>
  </si>
  <si>
    <t>Holly Black</t>
  </si>
  <si>
    <t>Marcella Chelli Nuzzo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</si>
  <si>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</si>
  <si>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</si>
  <si>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</si>
  <si>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</si>
  <si>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</si>
  <si>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</si>
  <si>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</si>
  <si>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Stephen Burrows</t>
  </si>
  <si>
    <t>Jessica Thomas</t>
  </si>
  <si>
    <t>Jacqualyn Eales</t>
  </si>
  <si>
    <t>Daniel Kelly</t>
  </si>
  <si>
    <t>Anke Dietzsch</t>
  </si>
  <si>
    <t>Sven Batke</t>
  </si>
  <si>
    <t xml:space="preserve">Nick </t>
  </si>
  <si>
    <t>Brandon Peoples</t>
  </si>
  <si>
    <t>ESAC to Appoint</t>
  </si>
  <si>
    <t>Martijn Van Roie</t>
  </si>
  <si>
    <t>Gareth Bruce</t>
  </si>
  <si>
    <t>Emily Mau</t>
  </si>
  <si>
    <t>Anna Lavery</t>
  </si>
  <si>
    <t>James Allen</t>
  </si>
  <si>
    <t>Olivia Maes</t>
  </si>
  <si>
    <t>Isabel Jones</t>
  </si>
  <si>
    <t>David Kilner</t>
  </si>
  <si>
    <t>Michael Wright</t>
  </si>
  <si>
    <t>Shaun Waters</t>
  </si>
  <si>
    <t>Bat Team</t>
  </si>
  <si>
    <t>Invert Team</t>
  </si>
  <si>
    <t>Bird Team</t>
  </si>
  <si>
    <t>Large Mammal Team</t>
  </si>
  <si>
    <t>Herp Team</t>
  </si>
  <si>
    <t>Epiphyte Team</t>
  </si>
  <si>
    <t>Fish Team</t>
  </si>
  <si>
    <t>Bromeliad Team</t>
  </si>
  <si>
    <t>Forest Sturcture Team</t>
  </si>
  <si>
    <t>Visitng Academics</t>
  </si>
  <si>
    <t>Botany Team</t>
  </si>
  <si>
    <t>DNA Team</t>
  </si>
  <si>
    <t>Small Mammal Team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</si>
  <si>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</si>
  <si>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</si>
  <si>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</si>
  <si>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</si>
  <si>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</si>
  <si>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</si>
  <si>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</si>
  <si>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</si>
  <si>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</si>
  <si>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</si>
  <si>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</si>
  <si>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</si>
  <si>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</si>
  <si>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</si>
  <si>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</si>
  <si>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</si>
  <si>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Sighting Type</t>
  </si>
  <si>
    <t>Sight Type</t>
  </si>
  <si>
    <t>Vocalisation</t>
  </si>
  <si>
    <t>Time
(hh:mm)</t>
  </si>
  <si>
    <t>Year_LaOP</t>
  </si>
  <si>
    <t>Day_LaOP</t>
  </si>
  <si>
    <t>Time_LaOP</t>
  </si>
  <si>
    <t>Camp_LaOP</t>
  </si>
  <si>
    <t>Transect_LaOP</t>
  </si>
  <si>
    <t>Observer_LaOP</t>
  </si>
  <si>
    <t>NoObs_LaOP</t>
  </si>
  <si>
    <t>Rain_LaOP</t>
  </si>
  <si>
    <t>Wind_LaOP</t>
  </si>
  <si>
    <t>DistTrans_LaOP</t>
  </si>
  <si>
    <t>PerpTrans_LaOP</t>
  </si>
  <si>
    <t>Genus_LaOP</t>
  </si>
  <si>
    <t>Species_LaOP</t>
  </si>
  <si>
    <t>NoIndvs_LaOP</t>
  </si>
  <si>
    <t>SightType_LaOP</t>
  </si>
  <si>
    <t>CoordN_LaOP</t>
  </si>
  <si>
    <t>CoordE_LaOP</t>
  </si>
  <si>
    <t>Notes_LaOP</t>
  </si>
  <si>
    <t>Mazama  americana</t>
  </si>
  <si>
    <t>Nasua  narica</t>
  </si>
  <si>
    <t>Tapirus  bairdii</t>
  </si>
  <si>
    <t>Tayassu pecari</t>
  </si>
  <si>
    <t>Unknown sp.</t>
  </si>
  <si>
    <t>Please do not attempt to fix or change anything yourself.</t>
  </si>
  <si>
    <t>Welcome to the Large Mammal Opportunistic mini-database.  This database is designed to receive data</t>
  </si>
  <si>
    <t xml:space="preserve">Operation Wallacea, Large Mammal Opportunistic Mini-Database </t>
  </si>
  <si>
    <t>Scott Schilds</t>
  </si>
  <si>
    <t>Panthera onca</t>
  </si>
  <si>
    <t>BC-5-1. Start time 08:30, End time 09:44. Montana Lope Sendero Pizote.</t>
  </si>
  <si>
    <t>BC-5-2</t>
  </si>
  <si>
    <t>BC-5-3</t>
  </si>
  <si>
    <t>BC-5-4 Mother and baby</t>
  </si>
  <si>
    <t xml:space="preserve">BC-6-1 Start time08:46, End time 11:35 </t>
  </si>
  <si>
    <t xml:space="preserve">Record data must be entered for each sighting (there is no option for number of individuals).  </t>
  </si>
  <si>
    <t>Honduras, 2014</t>
  </si>
  <si>
    <t>species</t>
  </si>
  <si>
    <t>Agouti paca</t>
  </si>
  <si>
    <t>Alouatta palliata</t>
  </si>
  <si>
    <t>Ateles geoffroyi</t>
  </si>
  <si>
    <t>Bassariscus sumichrasti</t>
  </si>
  <si>
    <t>Cebus capucinus</t>
  </si>
  <si>
    <t>Dasyprocta punctata</t>
  </si>
  <si>
    <t>Dasypus novemcinctus</t>
  </si>
  <si>
    <t>Dicotyles pecari</t>
  </si>
  <si>
    <t>Didelphis virginiana</t>
  </si>
  <si>
    <t>Eira barbara</t>
  </si>
  <si>
    <t>Herpailurus yaguarondi</t>
  </si>
  <si>
    <t>Hunting platform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</si>
  <si>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</si>
  <si>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</si>
  <si>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</si>
  <si>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</si>
  <si>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</si>
  <si>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</si>
  <si>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</si>
  <si>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</si>
  <si>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</si>
  <si>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</si>
  <si>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</si>
  <si>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</si>
  <si>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</si>
  <si>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</si>
  <si>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</si>
  <si>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Tayassu pecari/ Pecari tajacu</t>
  </si>
  <si>
    <t>Tayassu tajacu</t>
  </si>
  <si>
    <t>Urocyon cinereoargenteus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</si>
</sst>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1" fillId="0" borderId="0"/>
  </cellStyleXfs>
  <cellXfs count="81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vertical="top" wrapText="1"/>
    </xf>
    <xf numFmtId="0" fontId="5" fillId="0" borderId="0" xfId="0" applyFont="1" applyFill="1" applyAlignment="1">
      <alignment wrapText="1"/>
    </xf>
    <xf numFmtId="0" fontId="3" fillId="0" borderId="0" xfId="0" applyFont="1" applyBorder="1"/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Alignment="1">
      <alignment wrapText="1"/>
    </xf>
    <xf numFmtId="0" fontId="8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2" fillId="0" borderId="0" xfId="0" applyFont="1" applyFill="1" applyBorder="1"/>
    <xf numFmtId="1" fontId="0" fillId="0" borderId="0" xfId="0" applyNumberFormat="1" applyAlignment="1">
      <alignment wrapText="1"/>
    </xf>
    <xf numFmtId="49" fontId="0" fillId="0" borderId="0" xfId="0" applyNumberFormat="1" applyAlignment="1"/>
    <xf numFmtId="1" fontId="0" fillId="0" borderId="0" xfId="0" applyNumberFormat="1"/>
    <xf numFmtId="0" fontId="9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0" borderId="0" xfId="0" applyAlignment="1"/>
    <xf numFmtId="164" fontId="0" fillId="3" borderId="0" xfId="0" applyNumberFormat="1" applyFill="1" applyAlignment="1" applyProtection="1">
      <alignment horizontal="center" vertical="center"/>
    </xf>
    <xf numFmtId="165" fontId="0" fillId="3" borderId="0" xfId="0" applyNumberFormat="1" applyFill="1" applyAlignment="1" applyProtection="1">
      <alignment horizontal="center" vertical="center"/>
    </xf>
    <xf numFmtId="49" fontId="0" fillId="3" borderId="0" xfId="0" applyNumberFormat="1" applyFill="1" applyAlignment="1" applyProtection="1">
      <alignment horizontal="center" vertical="center"/>
    </xf>
    <xf numFmtId="1" fontId="0" fillId="3" borderId="0" xfId="0" applyNumberFormat="1" applyFill="1" applyAlignment="1" applyProtection="1">
      <alignment horizontal="center" vertical="center"/>
    </xf>
    <xf numFmtId="49" fontId="0" fillId="2" borderId="0" xfId="0" applyNumberFormat="1" applyFill="1" applyAlignment="1" applyProtection="1">
      <alignment horizontal="center" vertical="center"/>
    </xf>
    <xf numFmtId="49" fontId="0" fillId="2" borderId="0" xfId="0" applyNumberFormat="1" applyFon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0" fontId="12" fillId="6" borderId="12" xfId="1" applyFont="1" applyFill="1" applyBorder="1" applyAlignment="1">
      <alignment horizontal="center"/>
    </xf>
    <xf numFmtId="0" fontId="12" fillId="0" borderId="13" xfId="1" applyFont="1" applyFill="1" applyBorder="1" applyAlignment="1">
      <alignment wrapText="1"/>
    </xf>
    <xf numFmtId="49" fontId="0" fillId="2" borderId="0" xfId="0" applyNumberFormat="1" applyFon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28575</xdr:rowOff>
    </xdr:from>
    <xdr:to>
      <xdr:col>15</xdr:col>
      <xdr:colOff>57150</xdr:colOff>
      <xdr:row>22</xdr:row>
      <xdr:rowOff>152400</xdr:rowOff>
    </xdr:to>
    <xdr:sp macro="" textlink="">
      <xdr:nvSpPr>
        <xdr:cNvPr id="7" name="Rounded Rectangle 6"/>
        <xdr:cNvSpPr/>
      </xdr:nvSpPr>
      <xdr:spPr>
        <a:xfrm>
          <a:off x="342900" y="219075"/>
          <a:ext cx="8858250" cy="42767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P30"/>
  <sheetViews>
    <sheetView tabSelected="1" topLeftCell="A2" workbookViewId="0"/>
  </sheetViews>
  <sheetFormatPr defaultRowHeight="15" x14ac:dyDescent="0.25"/>
  <cols>
    <col min="1" max="16384" width="9.140625" style="41"/>
  </cols>
  <sheetData>
    <row r="3" spans="4:4" ht="21" x14ac:dyDescent="0.35">
      <c r="D3" s="39" t="s">
        <v>326</v>
      </c>
    </row>
    <row r="4" spans="4:4" ht="21" x14ac:dyDescent="0.35">
      <c r="D4" s="39" t="s">
        <v>335</v>
      </c>
    </row>
    <row r="5" spans="4:4" x14ac:dyDescent="0.25">
      <c r="D5" s="40" t="s">
        <v>325</v>
      </c>
    </row>
    <row r="6" spans="4:4" x14ac:dyDescent="0.25">
      <c r="D6" s="40" t="s">
        <v>281</v>
      </c>
    </row>
    <row r="7" spans="4:4" x14ac:dyDescent="0.25">
      <c r="D7" s="40"/>
    </row>
    <row r="8" spans="4:4" x14ac:dyDescent="0.25">
      <c r="D8" s="40" t="s">
        <v>285</v>
      </c>
    </row>
    <row r="9" spans="4:4" x14ac:dyDescent="0.25">
      <c r="D9" s="40"/>
    </row>
    <row r="10" spans="4:4" x14ac:dyDescent="0.25">
      <c r="D10" s="40" t="s">
        <v>282</v>
      </c>
    </row>
    <row r="11" spans="4:4" x14ac:dyDescent="0.25">
      <c r="D11" s="40"/>
    </row>
    <row r="12" spans="4:4" x14ac:dyDescent="0.25">
      <c r="D12" s="40" t="s">
        <v>283</v>
      </c>
    </row>
    <row r="13" spans="4:4" x14ac:dyDescent="0.25">
      <c r="D13" s="40" t="s">
        <v>284</v>
      </c>
    </row>
    <row r="14" spans="4:4" x14ac:dyDescent="0.25">
      <c r="D14" s="40"/>
    </row>
    <row r="15" spans="4:4" x14ac:dyDescent="0.25">
      <c r="D15" s="40" t="s">
        <v>334</v>
      </c>
    </row>
    <row r="16" spans="4:4" x14ac:dyDescent="0.25">
      <c r="D16" s="40"/>
    </row>
    <row r="17" spans="1:16" x14ac:dyDescent="0.25">
      <c r="D17" s="40" t="s">
        <v>286</v>
      </c>
    </row>
    <row r="18" spans="1:16" x14ac:dyDescent="0.25">
      <c r="D18" s="41" t="s">
        <v>324</v>
      </c>
    </row>
    <row r="25" spans="1:16" x14ac:dyDescent="0.25">
      <c r="A25" s="65" t="s">
        <v>11</v>
      </c>
      <c r="B25" s="66" t="s">
        <v>300</v>
      </c>
      <c r="C25" s="67" t="s">
        <v>0</v>
      </c>
      <c r="D25" s="67" t="s">
        <v>1</v>
      </c>
      <c r="E25" s="67" t="s">
        <v>2</v>
      </c>
      <c r="F25" s="68" t="s">
        <v>3</v>
      </c>
      <c r="G25" s="68" t="s">
        <v>7</v>
      </c>
      <c r="H25" s="68" t="s">
        <v>8</v>
      </c>
      <c r="I25" s="69" t="s">
        <v>217</v>
      </c>
      <c r="J25" s="69" t="s">
        <v>287</v>
      </c>
      <c r="K25" s="70" t="s">
        <v>4</v>
      </c>
      <c r="L25" s="69" t="s">
        <v>12</v>
      </c>
      <c r="M25" s="71" t="s">
        <v>297</v>
      </c>
      <c r="N25" s="71" t="s">
        <v>9</v>
      </c>
      <c r="O25" s="71" t="s">
        <v>10</v>
      </c>
      <c r="P25" s="69" t="s">
        <v>6</v>
      </c>
    </row>
    <row r="26" spans="1:16" x14ac:dyDescent="0.25">
      <c r="A26" s="72">
        <v>41441</v>
      </c>
      <c r="B26" s="73">
        <v>0.37152777777777773</v>
      </c>
      <c r="C26" s="53" t="s">
        <v>27</v>
      </c>
      <c r="D26" s="53"/>
      <c r="E26" s="53" t="s">
        <v>239</v>
      </c>
      <c r="F26" s="74">
        <v>7</v>
      </c>
      <c r="G26" s="74">
        <v>0</v>
      </c>
      <c r="H26" s="74">
        <v>0</v>
      </c>
      <c r="I26" s="74"/>
      <c r="J26" s="74"/>
      <c r="K26" s="54" t="s">
        <v>322</v>
      </c>
      <c r="L26" s="53"/>
      <c r="M26" s="74" t="s">
        <v>289</v>
      </c>
      <c r="N26" s="74">
        <v>1713576.0369109113</v>
      </c>
      <c r="O26" s="74">
        <v>369530.49236574385</v>
      </c>
      <c r="P26" s="53" t="s">
        <v>329</v>
      </c>
    </row>
    <row r="27" spans="1:16" x14ac:dyDescent="0.25">
      <c r="A27" s="75">
        <v>41441</v>
      </c>
      <c r="B27" s="73">
        <v>0.38194444444444442</v>
      </c>
      <c r="C27" s="53" t="s">
        <v>27</v>
      </c>
      <c r="D27" s="53"/>
      <c r="E27" s="53" t="s">
        <v>239</v>
      </c>
      <c r="F27" s="74">
        <v>7</v>
      </c>
      <c r="G27" s="74">
        <v>0</v>
      </c>
      <c r="H27" s="74">
        <v>0</v>
      </c>
      <c r="I27" s="74"/>
      <c r="J27" s="74"/>
      <c r="K27" s="53" t="s">
        <v>319</v>
      </c>
      <c r="L27" s="53"/>
      <c r="M27" s="74" t="s">
        <v>289</v>
      </c>
      <c r="N27" s="74">
        <v>1713687.2592667202</v>
      </c>
      <c r="O27" s="53">
        <v>369427.81362906308</v>
      </c>
      <c r="P27" s="54" t="s">
        <v>330</v>
      </c>
    </row>
    <row r="28" spans="1:16" x14ac:dyDescent="0.25">
      <c r="A28" s="75">
        <v>41441</v>
      </c>
      <c r="B28" s="73">
        <v>0.38263888888888892</v>
      </c>
      <c r="C28" s="53" t="s">
        <v>27</v>
      </c>
      <c r="D28" s="53"/>
      <c r="E28" s="53" t="s">
        <v>239</v>
      </c>
      <c r="F28" s="74">
        <v>7</v>
      </c>
      <c r="G28" s="74">
        <v>0</v>
      </c>
      <c r="H28" s="74">
        <v>0</v>
      </c>
      <c r="I28" s="74"/>
      <c r="J28" s="74"/>
      <c r="K28" s="53" t="s">
        <v>320</v>
      </c>
      <c r="L28" s="53"/>
      <c r="M28" s="74" t="s">
        <v>294</v>
      </c>
      <c r="N28" s="74">
        <v>1713705.4053980864</v>
      </c>
      <c r="O28" s="53">
        <v>369406.88425626233</v>
      </c>
      <c r="P28" s="54" t="s">
        <v>331</v>
      </c>
    </row>
    <row r="29" spans="1:16" x14ac:dyDescent="0.25">
      <c r="A29" s="75">
        <v>41441</v>
      </c>
      <c r="B29" s="73">
        <v>0.38819444444444445</v>
      </c>
      <c r="C29" s="53" t="s">
        <v>27</v>
      </c>
      <c r="D29" s="53"/>
      <c r="E29" s="53" t="s">
        <v>239</v>
      </c>
      <c r="F29" s="74">
        <v>7</v>
      </c>
      <c r="G29" s="74">
        <v>0</v>
      </c>
      <c r="H29" s="74">
        <v>0</v>
      </c>
      <c r="I29" s="74"/>
      <c r="J29" s="74"/>
      <c r="K29" s="53" t="s">
        <v>319</v>
      </c>
      <c r="L29" s="53"/>
      <c r="M29" s="74" t="s">
        <v>289</v>
      </c>
      <c r="N29" s="74">
        <v>1713706.054650296</v>
      </c>
      <c r="O29" s="53">
        <v>369370.95571521332</v>
      </c>
      <c r="P29" s="54" t="s">
        <v>332</v>
      </c>
    </row>
    <row r="30" spans="1:16" x14ac:dyDescent="0.25">
      <c r="A30" s="75">
        <v>41443</v>
      </c>
      <c r="B30" s="73">
        <v>0.41041666666666665</v>
      </c>
      <c r="C30" s="53" t="s">
        <v>27</v>
      </c>
      <c r="D30" s="53"/>
      <c r="E30" s="53" t="s">
        <v>327</v>
      </c>
      <c r="F30" s="74">
        <v>5</v>
      </c>
      <c r="G30" s="74">
        <v>1</v>
      </c>
      <c r="H30" s="74">
        <v>0</v>
      </c>
      <c r="I30" s="74"/>
      <c r="J30" s="74"/>
      <c r="K30" s="53" t="s">
        <v>321</v>
      </c>
      <c r="L30" s="53"/>
      <c r="M30" s="74" t="s">
        <v>291</v>
      </c>
      <c r="N30" s="74">
        <v>1714426.5114133323</v>
      </c>
      <c r="O30" s="53">
        <v>368923.62579805177</v>
      </c>
      <c r="P30" s="54" t="s">
        <v>333</v>
      </c>
    </row>
  </sheetData>
  <dataValidations count="13">
    <dataValidation showInputMessage="1" showErrorMessage="1" sqref="M25"/>
    <dataValidation type="list" showInputMessage="1" showErrorMessage="1" sqref="M26:M30">
      <formula1>Sight</formula1>
    </dataValidation>
    <dataValidation type="list" showInputMessage="1" showErrorMessage="1" sqref="C26:C30">
      <formula1>Camp</formula1>
    </dataValidation>
    <dataValidation type="list" showInputMessage="1" showErrorMessage="1" sqref="D26:D30">
      <formula1>Transect</formula1>
    </dataValidation>
    <dataValidation type="whole" allowBlank="1" showInputMessage="1" showErrorMessage="1" sqref="I26:I30">
      <formula1>0</formula1>
      <formula2>4000</formula2>
    </dataValidation>
    <dataValidation type="list" showInputMessage="1" showErrorMessage="1" sqref="E26:E30">
      <formula1>Observers</formula1>
    </dataValidation>
    <dataValidation type="whole" allowBlank="1" showInputMessage="1" showErrorMessage="1" sqref="F26:F30">
      <formula1>0</formula1>
      <formula2>30</formula2>
    </dataValidation>
    <dataValidation type="whole" allowBlank="1" showInputMessage="1" showErrorMessage="1" sqref="G26:G30">
      <formula1>0</formula1>
      <formula2>1</formula2>
    </dataValidation>
    <dataValidation type="time" showInputMessage="1" showErrorMessage="1" errorTitle="Time Input" error="Time must be input as 24hr format: 00:00 e.g. 3:17om would be 15:17" sqref="B26:B30">
      <formula1>0</formula1>
      <formula2>0.999305555555556</formula2>
    </dataValidation>
    <dataValidation type="whole" showInputMessage="1" showErrorMessage="1" sqref="H26:H30">
      <formula1>0</formula1>
      <formula2>1</formula2>
    </dataValidation>
    <dataValidation type="list" showInputMessage="1" showErrorMessage="1" sqref="A26:A30">
      <formula1>Date2013</formula1>
    </dataValidation>
    <dataValidation type="whole" allowBlank="1" showInputMessage="1" showErrorMessage="1" sqref="J25:J30">
      <formula1>0</formula1>
      <formula2>200</formula2>
    </dataValidation>
    <dataValidation type="list" allowBlank="1" showInputMessage="1" showErrorMessage="1" sqref="K26:K30">
      <formula1>Species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/>
  </sheetViews>
  <sheetFormatPr defaultRowHeight="15" x14ac:dyDescent="0.25"/>
  <cols>
    <col min="1" max="1" width="13.7109375" style="49" customWidth="1"/>
    <col min="2" max="2" width="11.42578125" style="50" bestFit="1" customWidth="1"/>
    <col min="3" max="3" width="16.85546875" style="51" customWidth="1"/>
    <col min="4" max="4" width="14.5703125" style="51" bestFit="1" customWidth="1"/>
    <col min="5" max="5" width="15.28515625" style="51" bestFit="1" customWidth="1"/>
    <col min="6" max="6" width="13.140625" style="52" bestFit="1" customWidth="1"/>
    <col min="7" max="7" width="10.85546875" style="52" bestFit="1" customWidth="1"/>
    <col min="8" max="8" width="11.7109375" style="52" bestFit="1" customWidth="1"/>
    <col min="9" max="9" width="15.28515625" style="52" bestFit="1" customWidth="1"/>
    <col min="10" max="10" width="15.28515625" style="52" customWidth="1"/>
    <col min="11" max="11" width="16.7109375" style="51" bestFit="1" customWidth="1"/>
    <col min="12" max="12" width="16.7109375" style="51" customWidth="1"/>
    <col min="13" max="14" width="16.7109375" style="55" customWidth="1"/>
    <col min="15" max="16" width="16.7109375" style="60" customWidth="1"/>
    <col min="17" max="17" width="13.85546875" style="52" bestFit="1" customWidth="1"/>
    <col min="18" max="18" width="13.42578125" style="52" bestFit="1" customWidth="1"/>
    <col min="19" max="19" width="12.28515625" style="51" bestFit="1" customWidth="1"/>
    <col min="20" max="20" width="66.140625" style="48" customWidth="1"/>
    <col min="21" max="16384" width="9.140625" style="48"/>
  </cols>
  <sheetData>
    <row r="1" spans="1:20" s="47" customFormat="1" ht="45" x14ac:dyDescent="0.25">
      <c r="A1" s="42" t="s">
        <v>11</v>
      </c>
      <c r="B1" s="43" t="s">
        <v>300</v>
      </c>
      <c r="C1" s="44" t="s">
        <v>0</v>
      </c>
      <c r="D1" s="44" t="s">
        <v>1</v>
      </c>
      <c r="E1" s="44" t="s">
        <v>2</v>
      </c>
      <c r="F1" s="45" t="s">
        <v>3</v>
      </c>
      <c r="G1" s="45" t="s">
        <v>7</v>
      </c>
      <c r="H1" s="45" t="s">
        <v>8</v>
      </c>
      <c r="I1" s="46" t="s">
        <v>217</v>
      </c>
      <c r="J1" s="46" t="s">
        <v>287</v>
      </c>
      <c r="K1" s="78" t="s">
        <v>4</v>
      </c>
      <c r="L1" s="46" t="s">
        <v>12</v>
      </c>
      <c r="M1" s="79" t="s">
        <v>14</v>
      </c>
      <c r="N1" s="79" t="s">
        <v>15</v>
      </c>
      <c r="O1" s="80" t="s">
        <v>16</v>
      </c>
      <c r="P1" s="80" t="s">
        <v>17</v>
      </c>
      <c r="Q1" s="56" t="s">
        <v>297</v>
      </c>
      <c r="R1" s="56" t="s">
        <v>9</v>
      </c>
      <c r="S1" s="56" t="s">
        <v>10</v>
      </c>
      <c r="T1" s="46" t="s">
        <v>6</v>
      </c>
    </row>
    <row r="2" spans="1:20" s="54" customFormat="1" x14ac:dyDescent="0.25">
      <c r="A2" s="72"/>
      <c r="B2" s="73"/>
      <c r="C2" s="53"/>
      <c r="D2" s="53"/>
      <c r="E2" s="53"/>
      <c r="F2" s="74"/>
      <c r="G2" s="74"/>
      <c r="H2" s="74"/>
      <c r="I2" s="74"/>
      <c r="J2" s="74"/>
      <c r="L2" s="53"/>
      <c r="M2" s="54" t="str">
        <f>IF(ISBLANK(Data!K2),CONCATENATE(Data!K2,Data!L2),Data!K2)</f>
        <v/>
      </c>
      <c r="N2" s="54" t="str">
        <f>IF(AND(ISBLANK(K2),ISBLANK(L2)),"",IF(K2="Unknown","",FIND(" ",M2)))</f>
        <v/>
      </c>
      <c r="O2" s="59" t="str">
        <f>IF(AND(ISBLANK(K2),ISBLANK(L2)),"",IF(K2="Unknown",K2,MID(M2,1,N2)))</f>
        <v/>
      </c>
      <c r="P2" s="59" t="str">
        <f>IF(AND(ISBLANK(K2),ISBLANK(L2))," ",IF(K2="Unknown","sp.",MID(M2,N2+1,99)))</f>
        <v xml:space="preserve"> </v>
      </c>
      <c r="Q2" s="74"/>
      <c r="R2" s="74"/>
      <c r="S2" s="74"/>
      <c r="T2" s="53"/>
    </row>
  </sheetData>
  <dataValidations count="12">
    <dataValidation showInputMessage="1" showErrorMessage="1" sqref="Q1 E1:E1048576"/>
    <dataValidation type="list" showInputMessage="1" showErrorMessage="1" sqref="C2:C1048576">
      <formula1>Camp</formula1>
    </dataValidation>
    <dataValidation type="list" showInputMessage="1" showErrorMessage="1" sqref="D2:D1048576">
      <formula1>Transect</formula1>
    </dataValidation>
    <dataValidation type="whole" allowBlank="1" showInputMessage="1" showErrorMessage="1" sqref="I2:I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G2:G1048576">
      <formula1>0</formula1>
      <formula2>1</formula2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Q2:Q1048576">
      <formula1>Sight</formula1>
    </dataValidation>
    <dataValidation type="whole" allowBlank="1" showInputMessage="1" showErrorMessage="1" sqref="J1:J1048576">
      <formula1>0</formula1>
      <formula2>200</formula2>
    </dataValidation>
    <dataValidation type="list" allowBlank="1" showInputMessage="1" showErrorMessage="1" sqref="K2:K1048576">
      <formula1>Species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"/>
  <sheetViews>
    <sheetView workbookViewId="0"/>
  </sheetViews>
  <sheetFormatPr defaultRowHeight="15" x14ac:dyDescent="0.25"/>
  <cols>
    <col min="1" max="1" width="15.28515625" style="36" bestFit="1" customWidth="1"/>
    <col min="2" max="2" width="13.7109375" style="49" customWidth="1"/>
    <col min="3" max="3" width="11.42578125" style="50" bestFit="1" customWidth="1"/>
    <col min="4" max="4" width="16.85546875" style="51" customWidth="1"/>
    <col min="5" max="5" width="14.5703125" style="51" bestFit="1" customWidth="1"/>
    <col min="6" max="6" width="15.28515625" style="51" bestFit="1" customWidth="1"/>
    <col min="7" max="7" width="13.140625" style="52" bestFit="1" customWidth="1"/>
    <col min="8" max="8" width="10.85546875" style="52" bestFit="1" customWidth="1"/>
    <col min="9" max="9" width="11.7109375" style="52" bestFit="1" customWidth="1"/>
    <col min="10" max="10" width="15.28515625" style="52" bestFit="1" customWidth="1"/>
    <col min="11" max="11" width="15.28515625" style="52" customWidth="1"/>
    <col min="12" max="12" width="12" style="37" bestFit="1" customWidth="1"/>
    <col min="13" max="13" width="13.42578125" style="37" bestFit="1" customWidth="1"/>
    <col min="14" max="14" width="13.85546875" style="64" bestFit="1" customWidth="1"/>
    <col min="15" max="15" width="13.85546875" style="52" bestFit="1" customWidth="1"/>
    <col min="16" max="16" width="13.42578125" style="52" bestFit="1" customWidth="1"/>
    <col min="17" max="17" width="12.28515625" style="51" bestFit="1" customWidth="1"/>
    <col min="18" max="18" width="9.140625" style="48"/>
  </cols>
  <sheetData>
    <row r="1" spans="1:18" ht="30" x14ac:dyDescent="0.25">
      <c r="A1" s="61" t="s">
        <v>301</v>
      </c>
      <c r="B1" s="42" t="s">
        <v>302</v>
      </c>
      <c r="C1" s="43" t="s">
        <v>303</v>
      </c>
      <c r="D1" s="44" t="s">
        <v>304</v>
      </c>
      <c r="E1" s="44" t="s">
        <v>305</v>
      </c>
      <c r="F1" s="44" t="s">
        <v>306</v>
      </c>
      <c r="G1" s="45" t="s">
        <v>307</v>
      </c>
      <c r="H1" s="45" t="s">
        <v>308</v>
      </c>
      <c r="I1" s="45" t="s">
        <v>309</v>
      </c>
      <c r="J1" s="46" t="s">
        <v>310</v>
      </c>
      <c r="K1" s="46" t="s">
        <v>311</v>
      </c>
      <c r="L1" s="63" t="s">
        <v>312</v>
      </c>
      <c r="M1" s="63" t="s">
        <v>313</v>
      </c>
      <c r="N1" s="62" t="s">
        <v>314</v>
      </c>
      <c r="O1" s="56" t="s">
        <v>315</v>
      </c>
      <c r="P1" s="56" t="s">
        <v>316</v>
      </c>
      <c r="Q1" s="56" t="s">
        <v>317</v>
      </c>
      <c r="R1" s="46" t="s">
        <v>318</v>
      </c>
    </row>
    <row r="2" spans="1:18" x14ac:dyDescent="0.25">
      <c r="A2" s="38" t="str">
        <f>IF(B2="","",YEAR(B2))</f>
        <v/>
      </c>
      <c r="B2" s="57" t="str">
        <f>IF(ISBLANK(Data!A2),"",Data!A2)</f>
        <v/>
      </c>
      <c r="C2" s="50" t="str">
        <f>IF(ISBLANK(Data!B2),"",Data!B2)</f>
        <v/>
      </c>
      <c r="D2" s="51" t="str">
        <f>IF(ISBLANK(Data!C2),"",Data!C2)</f>
        <v/>
      </c>
      <c r="E2" s="51" t="str">
        <f>IF(ISBLANK(Data!D2),"",Data!D2)</f>
        <v/>
      </c>
      <c r="F2" s="51" t="str">
        <f>IF(ISBLANK(Data!E2),"",Data!E2)</f>
        <v/>
      </c>
      <c r="G2" s="52" t="str">
        <f>IF(ISBLANK(Data!F2),"",Data!F2)</f>
        <v/>
      </c>
      <c r="H2" s="52" t="str">
        <f>IF(ISBLANK(Data!G2),"",Data!G2)</f>
        <v/>
      </c>
      <c r="I2" s="52" t="str">
        <f>IF(ISBLANK(Data!H2),"",Data!H2)</f>
        <v/>
      </c>
      <c r="J2" s="52" t="str">
        <f>IF(ISBLANK(Data!I2),"",Data!I2)</f>
        <v/>
      </c>
      <c r="K2" s="52" t="str">
        <f>IF(ISBLANK(Data!J2),"",Data!J2)</f>
        <v/>
      </c>
      <c r="L2" s="37" t="str">
        <f>IF(ISBLANK(Data!O2),"",Data!O2)</f>
        <v/>
      </c>
      <c r="M2" s="37" t="str">
        <f>IF(ISBLANK(Data!P2),"",Data!P2)</f>
        <v xml:space="preserve"> </v>
      </c>
      <c r="N2" s="37"/>
      <c r="O2" s="52" t="str">
        <f>IF(ISBLANK(Data!Q2),"",Data!Q2)</f>
        <v/>
      </c>
      <c r="P2" s="52" t="str">
        <f>IF(ISBLANK(Data!R2),"",Data!R2)</f>
        <v/>
      </c>
      <c r="Q2" s="52" t="str">
        <f>IF(ISBLANK(Data!S2),"",Data!S2)</f>
        <v/>
      </c>
      <c r="R2" s="52" t="str">
        <f>IF(ISBLANK(Data!T2),"",Data!T2)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"/>
  <sheetViews>
    <sheetView topLeftCell="C1" workbookViewId="0"/>
  </sheetViews>
  <sheetFormatPr defaultRowHeight="15" x14ac:dyDescent="0.25"/>
  <cols>
    <col min="1" max="1" width="15.28515625" style="36" bestFit="1" customWidth="1"/>
    <col min="2" max="2" width="13.7109375" style="49" customWidth="1"/>
    <col min="3" max="3" width="11.42578125" style="50" bestFit="1" customWidth="1"/>
    <col min="4" max="4" width="16.85546875" style="51" customWidth="1"/>
    <col min="5" max="5" width="14.5703125" style="51" bestFit="1" customWidth="1"/>
    <col min="6" max="6" width="15.28515625" style="51" bestFit="1" customWidth="1"/>
    <col min="7" max="7" width="13.140625" style="52" bestFit="1" customWidth="1"/>
    <col min="8" max="8" width="10.85546875" style="52" bestFit="1" customWidth="1"/>
    <col min="9" max="9" width="11.7109375" style="52" bestFit="1" customWidth="1"/>
    <col min="10" max="10" width="15.28515625" style="52" bestFit="1" customWidth="1"/>
    <col min="11" max="11" width="15.28515625" style="52" customWidth="1"/>
    <col min="12" max="12" width="12" style="37" bestFit="1" customWidth="1"/>
    <col min="13" max="13" width="13.42578125" style="37" bestFit="1" customWidth="1"/>
    <col min="14" max="14" width="13.85546875" style="64" bestFit="1" customWidth="1"/>
    <col min="15" max="15" width="13.85546875" style="52" bestFit="1" customWidth="1"/>
    <col min="16" max="16" width="13.42578125" style="52" bestFit="1" customWidth="1"/>
    <col min="17" max="17" width="12.28515625" style="51" bestFit="1" customWidth="1"/>
    <col min="18" max="18" width="9.140625" style="48"/>
  </cols>
  <sheetData>
    <row r="1" spans="1:18" ht="30" x14ac:dyDescent="0.25">
      <c r="A1" s="61" t="s">
        <v>301</v>
      </c>
      <c r="B1" s="42" t="s">
        <v>302</v>
      </c>
      <c r="C1" s="43" t="s">
        <v>303</v>
      </c>
      <c r="D1" s="44" t="s">
        <v>304</v>
      </c>
      <c r="E1" s="44" t="s">
        <v>305</v>
      </c>
      <c r="F1" s="44" t="s">
        <v>306</v>
      </c>
      <c r="G1" s="45" t="s">
        <v>307</v>
      </c>
      <c r="H1" s="45" t="s">
        <v>308</v>
      </c>
      <c r="I1" s="45" t="s">
        <v>309</v>
      </c>
      <c r="J1" s="46" t="s">
        <v>310</v>
      </c>
      <c r="K1" s="46" t="s">
        <v>311</v>
      </c>
      <c r="L1" s="63" t="s">
        <v>312</v>
      </c>
      <c r="M1" s="63" t="s">
        <v>313</v>
      </c>
      <c r="N1" s="62" t="s">
        <v>314</v>
      </c>
      <c r="O1" s="56" t="s">
        <v>315</v>
      </c>
      <c r="P1" s="56" t="s">
        <v>316</v>
      </c>
      <c r="Q1" s="56" t="s">
        <v>317</v>
      </c>
      <c r="R1" s="46" t="s">
        <v>318</v>
      </c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25.140625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30" x14ac:dyDescent="0.25">
      <c r="A2" s="1" t="s">
        <v>20</v>
      </c>
      <c r="B2" s="1" t="s">
        <v>18</v>
      </c>
      <c r="C2" s="1" t="s">
        <v>13</v>
      </c>
      <c r="D2" s="1" t="s">
        <v>1</v>
      </c>
      <c r="E2" s="1" t="s">
        <v>187</v>
      </c>
      <c r="F2" s="1" t="s">
        <v>2</v>
      </c>
      <c r="G2" s="1" t="s">
        <v>19</v>
      </c>
      <c r="H2" s="76" t="s">
        <v>336</v>
      </c>
      <c r="I2" s="1" t="s">
        <v>5</v>
      </c>
      <c r="J2" s="1" t="s">
        <v>298</v>
      </c>
      <c r="L2" s="6" t="s">
        <v>31</v>
      </c>
      <c r="M2" s="7" t="s">
        <v>38</v>
      </c>
      <c r="N2" s="8" t="s">
        <v>32</v>
      </c>
      <c r="O2" s="7" t="s">
        <v>39</v>
      </c>
      <c r="P2" s="8" t="s">
        <v>33</v>
      </c>
      <c r="Q2" s="7" t="s">
        <v>40</v>
      </c>
      <c r="R2" s="8" t="s">
        <v>34</v>
      </c>
      <c r="S2" s="7" t="s">
        <v>41</v>
      </c>
      <c r="T2" s="8" t="s">
        <v>35</v>
      </c>
      <c r="U2" s="7" t="s">
        <v>42</v>
      </c>
      <c r="V2" s="8" t="s">
        <v>36</v>
      </c>
      <c r="W2" s="7" t="s">
        <v>43</v>
      </c>
      <c r="X2" s="9" t="s">
        <v>37</v>
      </c>
      <c r="Y2" s="3" t="s">
        <v>44</v>
      </c>
    </row>
    <row r="3" spans="1:25" x14ac:dyDescent="0.25">
      <c r="A3">
        <v>159</v>
      </c>
      <c r="B3" s="2">
        <v>41798</v>
      </c>
      <c r="C3" t="s">
        <v>27</v>
      </c>
      <c r="D3" t="s">
        <v>188</v>
      </c>
      <c r="E3" t="s">
        <v>45</v>
      </c>
      <c r="F3" s="34" t="s">
        <v>268</v>
      </c>
      <c r="G3">
        <v>0</v>
      </c>
      <c r="H3" s="77" t="s">
        <v>323</v>
      </c>
      <c r="I3" t="s">
        <v>29</v>
      </c>
      <c r="J3" s="58" t="s">
        <v>290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x14ac:dyDescent="0.25">
      <c r="A4">
        <v>160</v>
      </c>
      <c r="B4" s="2">
        <v>41799</v>
      </c>
      <c r="C4" t="s">
        <v>21</v>
      </c>
      <c r="D4" t="s">
        <v>189</v>
      </c>
      <c r="E4" t="s">
        <v>46</v>
      </c>
      <c r="F4" s="34"/>
      <c r="G4">
        <v>1</v>
      </c>
      <c r="H4" s="77" t="s">
        <v>337</v>
      </c>
      <c r="I4" t="s">
        <v>28</v>
      </c>
      <c r="J4" s="58" t="s">
        <v>295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x14ac:dyDescent="0.25">
      <c r="A5">
        <v>161</v>
      </c>
      <c r="B5" s="2">
        <v>41800</v>
      </c>
      <c r="C5" t="s">
        <v>26</v>
      </c>
      <c r="D5" t="s">
        <v>190</v>
      </c>
      <c r="E5" t="s">
        <v>47</v>
      </c>
      <c r="F5" s="19" t="s">
        <v>220</v>
      </c>
      <c r="H5" s="77" t="s">
        <v>338</v>
      </c>
      <c r="I5" t="s">
        <v>30</v>
      </c>
      <c r="J5" s="58" t="s">
        <v>292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x14ac:dyDescent="0.25">
      <c r="A6">
        <v>162</v>
      </c>
      <c r="B6" s="2">
        <v>41801</v>
      </c>
      <c r="C6" t="s">
        <v>25</v>
      </c>
      <c r="D6" t="s">
        <v>191</v>
      </c>
      <c r="E6" t="s">
        <v>48</v>
      </c>
      <c r="F6" s="18" t="s">
        <v>221</v>
      </c>
      <c r="H6" s="77" t="s">
        <v>339</v>
      </c>
      <c r="J6" s="58" t="s">
        <v>294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x14ac:dyDescent="0.25">
      <c r="A7">
        <v>163</v>
      </c>
      <c r="B7" s="2">
        <v>41802</v>
      </c>
      <c r="C7" t="s">
        <v>24</v>
      </c>
      <c r="D7" t="s">
        <v>192</v>
      </c>
      <c r="E7" t="s">
        <v>49</v>
      </c>
      <c r="F7" s="19" t="s">
        <v>222</v>
      </c>
      <c r="H7" s="77" t="s">
        <v>340</v>
      </c>
      <c r="J7" s="58" t="s">
        <v>291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x14ac:dyDescent="0.25">
      <c r="A8">
        <v>164</v>
      </c>
      <c r="B8" s="2">
        <v>41803</v>
      </c>
      <c r="C8" t="s">
        <v>22</v>
      </c>
      <c r="D8" t="s">
        <v>193</v>
      </c>
      <c r="E8" t="s">
        <v>50</v>
      </c>
      <c r="F8" s="18" t="s">
        <v>223</v>
      </c>
      <c r="H8" s="77" t="s">
        <v>341</v>
      </c>
      <c r="J8" s="58" t="s">
        <v>296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x14ac:dyDescent="0.25">
      <c r="A9">
        <v>165</v>
      </c>
      <c r="B9" s="2">
        <v>41804</v>
      </c>
      <c r="C9" t="s">
        <v>23</v>
      </c>
      <c r="D9" t="s">
        <v>194</v>
      </c>
      <c r="E9" t="s">
        <v>51</v>
      </c>
      <c r="F9" s="20" t="s">
        <v>224</v>
      </c>
      <c r="H9" s="77" t="s">
        <v>342</v>
      </c>
      <c r="J9" s="58" t="s">
        <v>288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x14ac:dyDescent="0.25">
      <c r="A10">
        <v>166</v>
      </c>
      <c r="B10" s="2">
        <v>41805</v>
      </c>
      <c r="D10" t="s">
        <v>195</v>
      </c>
      <c r="E10" t="s">
        <v>52</v>
      </c>
      <c r="F10" s="19" t="s">
        <v>225</v>
      </c>
      <c r="H10" s="77" t="s">
        <v>343</v>
      </c>
      <c r="J10" s="58" t="s">
        <v>289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x14ac:dyDescent="0.25">
      <c r="A11">
        <v>167</v>
      </c>
      <c r="B11" s="2">
        <v>41806</v>
      </c>
      <c r="D11" t="s">
        <v>196</v>
      </c>
      <c r="E11" t="s">
        <v>53</v>
      </c>
      <c r="F11" s="19" t="s">
        <v>226</v>
      </c>
      <c r="H11" s="77" t="s">
        <v>344</v>
      </c>
      <c r="J11" s="58" t="s">
        <v>293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x14ac:dyDescent="0.25">
      <c r="A12">
        <v>168</v>
      </c>
      <c r="B12" s="2">
        <v>41807</v>
      </c>
      <c r="D12" t="s">
        <v>197</v>
      </c>
      <c r="E12" t="s">
        <v>54</v>
      </c>
      <c r="F12" s="19" t="s">
        <v>227</v>
      </c>
      <c r="H12" s="77" t="s">
        <v>345</v>
      </c>
      <c r="J12" s="58" t="s">
        <v>299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x14ac:dyDescent="0.25">
      <c r="A13">
        <v>169</v>
      </c>
      <c r="B13" s="2">
        <v>41808</v>
      </c>
      <c r="D13" t="s">
        <v>198</v>
      </c>
      <c r="E13" t="s">
        <v>55</v>
      </c>
      <c r="F13" s="19"/>
      <c r="H13" s="77" t="s">
        <v>346</v>
      </c>
      <c r="J13" s="58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x14ac:dyDescent="0.25">
      <c r="A14">
        <v>170</v>
      </c>
      <c r="B14" s="2">
        <v>41809</v>
      </c>
      <c r="D14" t="s">
        <v>199</v>
      </c>
      <c r="E14" t="s">
        <v>56</v>
      </c>
      <c r="F14" s="33" t="s">
        <v>269</v>
      </c>
      <c r="H14" s="77" t="s">
        <v>347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x14ac:dyDescent="0.25">
      <c r="A15">
        <v>171</v>
      </c>
      <c r="B15" s="2">
        <v>41810</v>
      </c>
      <c r="D15" t="s">
        <v>200</v>
      </c>
      <c r="E15" t="s">
        <v>57</v>
      </c>
      <c r="F15" s="33"/>
      <c r="H15" s="77" t="s">
        <v>348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x14ac:dyDescent="0.25">
      <c r="A16">
        <v>172</v>
      </c>
      <c r="B16" s="2">
        <v>41811</v>
      </c>
      <c r="D16" t="s">
        <v>201</v>
      </c>
      <c r="E16" t="s">
        <v>58</v>
      </c>
      <c r="F16" s="19" t="s">
        <v>228</v>
      </c>
      <c r="H16" s="77" t="s">
        <v>349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x14ac:dyDescent="0.25">
      <c r="A17">
        <v>173</v>
      </c>
      <c r="B17" s="2">
        <v>41812</v>
      </c>
      <c r="D17" t="s">
        <v>202</v>
      </c>
      <c r="E17" t="s">
        <v>59</v>
      </c>
      <c r="F17" s="19" t="s">
        <v>229</v>
      </c>
      <c r="H17" s="77" t="s">
        <v>350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x14ac:dyDescent="0.25">
      <c r="A18">
        <v>174</v>
      </c>
      <c r="B18" s="2">
        <v>41813</v>
      </c>
      <c r="D18" t="s">
        <v>203</v>
      </c>
      <c r="E18" t="s">
        <v>60</v>
      </c>
      <c r="F18" s="19" t="s">
        <v>230</v>
      </c>
      <c r="H18" s="77" t="s">
        <v>351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x14ac:dyDescent="0.25">
      <c r="A19">
        <v>175</v>
      </c>
      <c r="B19" s="2">
        <v>41814</v>
      </c>
      <c r="D19" t="s">
        <v>204</v>
      </c>
      <c r="E19" t="s">
        <v>61</v>
      </c>
      <c r="F19" s="19" t="s">
        <v>231</v>
      </c>
      <c r="H19" s="77" t="s">
        <v>352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x14ac:dyDescent="0.25">
      <c r="A20">
        <v>176</v>
      </c>
      <c r="B20" s="2">
        <v>41815</v>
      </c>
      <c r="D20" t="s">
        <v>205</v>
      </c>
      <c r="E20" t="s">
        <v>62</v>
      </c>
      <c r="F20" s="19" t="s">
        <v>232</v>
      </c>
      <c r="H20" s="77" t="s">
        <v>353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x14ac:dyDescent="0.25">
      <c r="A21">
        <v>177</v>
      </c>
      <c r="B21" s="2">
        <v>41816</v>
      </c>
      <c r="D21" t="s">
        <v>206</v>
      </c>
      <c r="E21" t="s">
        <v>63</v>
      </c>
      <c r="F21" s="24" t="s">
        <v>233</v>
      </c>
      <c r="H21" s="77" t="s">
        <v>354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x14ac:dyDescent="0.25">
      <c r="A22">
        <v>178</v>
      </c>
      <c r="B22" s="2">
        <v>41817</v>
      </c>
      <c r="D22" t="s">
        <v>207</v>
      </c>
      <c r="E22" t="s">
        <v>64</v>
      </c>
      <c r="F22" s="21" t="s">
        <v>234</v>
      </c>
      <c r="H22" s="77" t="s">
        <v>355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x14ac:dyDescent="0.25">
      <c r="A23">
        <v>179</v>
      </c>
      <c r="B23" s="2">
        <v>41818</v>
      </c>
      <c r="D23" t="s">
        <v>208</v>
      </c>
      <c r="E23" t="s">
        <v>65</v>
      </c>
      <c r="F23" s="19" t="s">
        <v>235</v>
      </c>
      <c r="H23" s="77" t="s">
        <v>328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x14ac:dyDescent="0.25">
      <c r="A24">
        <v>180</v>
      </c>
      <c r="B24" s="2">
        <v>41819</v>
      </c>
      <c r="D24" t="s">
        <v>209</v>
      </c>
      <c r="E24" t="s">
        <v>66</v>
      </c>
      <c r="F24" s="19"/>
      <c r="H24" s="77" t="s">
        <v>356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x14ac:dyDescent="0.25">
      <c r="A25">
        <v>181</v>
      </c>
      <c r="B25" s="2">
        <v>41820</v>
      </c>
      <c r="D25" t="s">
        <v>210</v>
      </c>
      <c r="E25" t="s">
        <v>67</v>
      </c>
      <c r="F25" s="30" t="s">
        <v>270</v>
      </c>
      <c r="H25" s="77" t="s">
        <v>357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x14ac:dyDescent="0.25">
      <c r="A26">
        <v>182</v>
      </c>
      <c r="B26" s="2">
        <v>41821</v>
      </c>
      <c r="D26" t="s">
        <v>211</v>
      </c>
      <c r="E26" t="s">
        <v>68</v>
      </c>
      <c r="F26" s="25"/>
      <c r="H26" s="77" t="s">
        <v>358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x14ac:dyDescent="0.25">
      <c r="A27">
        <v>183</v>
      </c>
      <c r="B27" s="2">
        <v>41822</v>
      </c>
      <c r="D27" t="s">
        <v>212</v>
      </c>
      <c r="E27" t="s">
        <v>69</v>
      </c>
      <c r="F27" s="19" t="s">
        <v>236</v>
      </c>
      <c r="H27" s="77" t="s">
        <v>359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x14ac:dyDescent="0.25">
      <c r="A28">
        <v>184</v>
      </c>
      <c r="B28" s="2">
        <v>41823</v>
      </c>
      <c r="D28" t="s">
        <v>213</v>
      </c>
      <c r="E28" t="s">
        <v>70</v>
      </c>
      <c r="F28" s="19" t="s">
        <v>237</v>
      </c>
      <c r="H28" s="77" t="s">
        <v>360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x14ac:dyDescent="0.25">
      <c r="A29">
        <v>185</v>
      </c>
      <c r="B29" s="2">
        <v>41824</v>
      </c>
      <c r="D29" t="s">
        <v>214</v>
      </c>
      <c r="E29" t="s">
        <v>71</v>
      </c>
      <c r="F29" s="26" t="s">
        <v>238</v>
      </c>
      <c r="H29" s="77" t="s">
        <v>361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x14ac:dyDescent="0.25">
      <c r="A30">
        <v>186</v>
      </c>
      <c r="B30" s="2">
        <v>41825</v>
      </c>
      <c r="D30" t="s">
        <v>215</v>
      </c>
      <c r="E30" t="s">
        <v>72</v>
      </c>
      <c r="F30" s="22" t="s">
        <v>219</v>
      </c>
      <c r="H30" s="77" t="s">
        <v>362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x14ac:dyDescent="0.25">
      <c r="A31">
        <v>187</v>
      </c>
      <c r="B31" s="2">
        <v>41826</v>
      </c>
      <c r="D31" t="s">
        <v>216</v>
      </c>
      <c r="E31" t="s">
        <v>73</v>
      </c>
      <c r="F31" s="22"/>
      <c r="H31" s="77" t="s">
        <v>363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x14ac:dyDescent="0.25">
      <c r="A32">
        <v>188</v>
      </c>
      <c r="B32" s="2">
        <v>41827</v>
      </c>
      <c r="E32" t="s">
        <v>74</v>
      </c>
      <c r="F32" s="34" t="s">
        <v>271</v>
      </c>
      <c r="H32" s="77" t="s">
        <v>322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ht="30" x14ac:dyDescent="0.25">
      <c r="A33">
        <v>189</v>
      </c>
      <c r="B33" s="2">
        <v>41828</v>
      </c>
      <c r="E33" t="s">
        <v>75</v>
      </c>
      <c r="F33" s="23"/>
      <c r="H33" s="77" t="s">
        <v>364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x14ac:dyDescent="0.25">
      <c r="A34">
        <v>190</v>
      </c>
      <c r="B34" s="2">
        <v>41829</v>
      </c>
      <c r="E34" t="s">
        <v>76</v>
      </c>
      <c r="F34" s="19" t="s">
        <v>239</v>
      </c>
      <c r="H34" s="77" t="s">
        <v>365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x14ac:dyDescent="0.25">
      <c r="A35">
        <v>191</v>
      </c>
      <c r="B35" s="2">
        <v>41830</v>
      </c>
      <c r="E35" t="s">
        <v>77</v>
      </c>
      <c r="F35" s="19" t="s">
        <v>240</v>
      </c>
      <c r="H35" s="77" t="s">
        <v>366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x14ac:dyDescent="0.25">
      <c r="A36">
        <v>192</v>
      </c>
      <c r="B36" s="2">
        <v>41831</v>
      </c>
      <c r="E36" t="s">
        <v>78</v>
      </c>
      <c r="F36" s="19"/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x14ac:dyDescent="0.25">
      <c r="A37">
        <v>193</v>
      </c>
      <c r="B37" s="2">
        <v>41832</v>
      </c>
      <c r="E37" t="s">
        <v>79</v>
      </c>
      <c r="F37" s="30" t="s">
        <v>280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x14ac:dyDescent="0.25">
      <c r="A38">
        <v>194</v>
      </c>
      <c r="B38" s="2">
        <v>41833</v>
      </c>
      <c r="E38" t="s">
        <v>80</v>
      </c>
      <c r="F38" s="19"/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x14ac:dyDescent="0.25">
      <c r="A39">
        <v>195</v>
      </c>
      <c r="B39" s="2">
        <v>41834</v>
      </c>
      <c r="E39" t="s">
        <v>81</v>
      </c>
      <c r="F39" s="19" t="s">
        <v>218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x14ac:dyDescent="0.25">
      <c r="A40">
        <v>196</v>
      </c>
      <c r="B40" s="2">
        <v>41835</v>
      </c>
      <c r="E40" t="s">
        <v>82</v>
      </c>
      <c r="F40" s="19" t="s">
        <v>241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x14ac:dyDescent="0.25">
      <c r="A41">
        <v>197</v>
      </c>
      <c r="B41" s="2">
        <v>41836</v>
      </c>
      <c r="E41" t="s">
        <v>83</v>
      </c>
      <c r="F41" s="19"/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x14ac:dyDescent="0.25">
      <c r="A42">
        <v>198</v>
      </c>
      <c r="B42" s="2">
        <v>41837</v>
      </c>
      <c r="E42" t="s">
        <v>84</v>
      </c>
      <c r="F42" s="30" t="s">
        <v>272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x14ac:dyDescent="0.25">
      <c r="A43">
        <v>199</v>
      </c>
      <c r="B43" s="2">
        <v>41838</v>
      </c>
      <c r="E43" t="s">
        <v>85</v>
      </c>
      <c r="F43" s="19"/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x14ac:dyDescent="0.25">
      <c r="A44">
        <v>200</v>
      </c>
      <c r="B44" s="2">
        <v>41839</v>
      </c>
      <c r="E44" t="s">
        <v>86</v>
      </c>
      <c r="F44" s="19" t="s">
        <v>242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x14ac:dyDescent="0.25">
      <c r="A45">
        <v>201</v>
      </c>
      <c r="B45" s="2">
        <v>41840</v>
      </c>
      <c r="E45" t="s">
        <v>87</v>
      </c>
      <c r="F45" s="19" t="s">
        <v>243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x14ac:dyDescent="0.25">
      <c r="A46">
        <v>202</v>
      </c>
      <c r="B46" s="2">
        <v>41841</v>
      </c>
      <c r="E46" t="s">
        <v>88</v>
      </c>
      <c r="F46" s="19" t="s">
        <v>244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x14ac:dyDescent="0.25">
      <c r="A47">
        <v>203</v>
      </c>
      <c r="B47" s="2">
        <v>41842</v>
      </c>
      <c r="E47" t="s">
        <v>89</v>
      </c>
      <c r="F47" s="19" t="s">
        <v>245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x14ac:dyDescent="0.25">
      <c r="A48">
        <v>204</v>
      </c>
      <c r="B48" s="2">
        <v>41843</v>
      </c>
      <c r="E48" t="s">
        <v>90</v>
      </c>
      <c r="F48" s="19" t="s">
        <v>246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x14ac:dyDescent="0.25">
      <c r="A49">
        <v>205</v>
      </c>
      <c r="B49" s="2">
        <v>41844</v>
      </c>
      <c r="E49" t="s">
        <v>91</v>
      </c>
      <c r="F49" s="19" t="s">
        <v>247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x14ac:dyDescent="0.25">
      <c r="A50">
        <v>206</v>
      </c>
      <c r="B50" s="2">
        <v>41845</v>
      </c>
      <c r="E50" t="s">
        <v>92</v>
      </c>
      <c r="F50" s="19" t="s">
        <v>248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x14ac:dyDescent="0.25">
      <c r="A51">
        <v>207</v>
      </c>
      <c r="B51" s="2">
        <v>41846</v>
      </c>
      <c r="E51" t="s">
        <v>93</v>
      </c>
      <c r="F51" s="19"/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x14ac:dyDescent="0.25">
      <c r="A52">
        <v>208</v>
      </c>
      <c r="B52" s="2">
        <v>41847</v>
      </c>
      <c r="E52" t="s">
        <v>94</v>
      </c>
      <c r="F52" s="30" t="s">
        <v>279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x14ac:dyDescent="0.25">
      <c r="A53">
        <v>209</v>
      </c>
      <c r="B53" s="2">
        <v>41848</v>
      </c>
      <c r="E53" t="s">
        <v>95</v>
      </c>
      <c r="F53" s="19"/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x14ac:dyDescent="0.25">
      <c r="A54">
        <v>210</v>
      </c>
      <c r="B54" s="2">
        <v>41849</v>
      </c>
      <c r="E54" t="s">
        <v>96</v>
      </c>
      <c r="F54" s="19" t="s">
        <v>249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x14ac:dyDescent="0.25">
      <c r="A55">
        <v>211</v>
      </c>
      <c r="B55" s="2">
        <v>41850</v>
      </c>
      <c r="E55" t="s">
        <v>97</v>
      </c>
      <c r="F55" s="27" t="s">
        <v>250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x14ac:dyDescent="0.25">
      <c r="A56">
        <v>212</v>
      </c>
      <c r="B56" s="2">
        <v>41851</v>
      </c>
      <c r="E56" t="s">
        <v>98</v>
      </c>
      <c r="F56" s="20" t="s">
        <v>251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x14ac:dyDescent="0.25">
      <c r="A57">
        <v>213</v>
      </c>
      <c r="B57" s="2">
        <v>41852</v>
      </c>
      <c r="E57" t="s">
        <v>99</v>
      </c>
      <c r="F57" s="20"/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x14ac:dyDescent="0.25">
      <c r="A58">
        <v>214</v>
      </c>
      <c r="B58" s="2">
        <v>41853</v>
      </c>
      <c r="E58" t="s">
        <v>100</v>
      </c>
      <c r="F58" s="33" t="s">
        <v>278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x14ac:dyDescent="0.25">
      <c r="A59">
        <v>215</v>
      </c>
      <c r="B59" s="2">
        <v>41854</v>
      </c>
      <c r="E59" t="s">
        <v>101</v>
      </c>
      <c r="F59" s="33"/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x14ac:dyDescent="0.25">
      <c r="A60">
        <v>216</v>
      </c>
      <c r="B60" s="2">
        <v>41855</v>
      </c>
      <c r="E60" t="s">
        <v>102</v>
      </c>
      <c r="F60" s="21" t="s">
        <v>252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x14ac:dyDescent="0.25">
      <c r="A61">
        <v>217</v>
      </c>
      <c r="B61" s="2">
        <v>41856</v>
      </c>
      <c r="E61" t="s">
        <v>103</v>
      </c>
      <c r="F61" s="21" t="s">
        <v>253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x14ac:dyDescent="0.25">
      <c r="A62">
        <v>218</v>
      </c>
      <c r="B62" s="2">
        <v>41857</v>
      </c>
      <c r="E62" t="s">
        <v>104</v>
      </c>
      <c r="F62" s="21"/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x14ac:dyDescent="0.25">
      <c r="A63">
        <v>219</v>
      </c>
      <c r="B63" s="2">
        <v>41858</v>
      </c>
      <c r="E63" t="s">
        <v>105</v>
      </c>
      <c r="F63" s="33" t="s">
        <v>273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x14ac:dyDescent="0.25">
      <c r="A64">
        <v>220</v>
      </c>
      <c r="B64" s="2">
        <v>41859</v>
      </c>
      <c r="E64" t="s">
        <v>106</v>
      </c>
      <c r="F64" s="33"/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x14ac:dyDescent="0.25">
      <c r="A65">
        <v>221</v>
      </c>
      <c r="B65" s="2">
        <v>41860</v>
      </c>
      <c r="E65" t="s">
        <v>107</v>
      </c>
      <c r="F65" s="19" t="s">
        <v>254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x14ac:dyDescent="0.25">
      <c r="A66">
        <v>222</v>
      </c>
      <c r="B66" s="2">
        <v>41861</v>
      </c>
      <c r="E66" t="s">
        <v>108</v>
      </c>
      <c r="F66" s="19" t="s">
        <v>255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x14ac:dyDescent="0.25">
      <c r="A67">
        <v>223</v>
      </c>
      <c r="B67" s="2">
        <v>41862</v>
      </c>
      <c r="E67" t="s">
        <v>109</v>
      </c>
      <c r="F67" s="19"/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x14ac:dyDescent="0.25">
      <c r="A68">
        <v>224</v>
      </c>
      <c r="B68" s="2">
        <v>41863</v>
      </c>
      <c r="E68" t="s">
        <v>110</v>
      </c>
      <c r="F68" s="30" t="s">
        <v>274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x14ac:dyDescent="0.25">
      <c r="A69">
        <v>225</v>
      </c>
      <c r="B69" s="2">
        <v>41864</v>
      </c>
      <c r="E69" t="s">
        <v>111</v>
      </c>
      <c r="F69" s="30"/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x14ac:dyDescent="0.25">
      <c r="A70">
        <v>226</v>
      </c>
      <c r="B70" s="2">
        <v>41865</v>
      </c>
      <c r="E70" t="s">
        <v>112</v>
      </c>
      <c r="F70" s="19" t="s">
        <v>256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x14ac:dyDescent="0.25">
      <c r="A71">
        <v>227</v>
      </c>
      <c r="B71" s="2">
        <v>41866</v>
      </c>
      <c r="E71" t="s">
        <v>113</v>
      </c>
      <c r="F71" s="19" t="s">
        <v>257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x14ac:dyDescent="0.25">
      <c r="A72">
        <v>228</v>
      </c>
      <c r="B72" s="2">
        <v>41867</v>
      </c>
      <c r="E72" t="s">
        <v>114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x14ac:dyDescent="0.25">
      <c r="A73">
        <v>229</v>
      </c>
      <c r="B73" s="2">
        <v>41868</v>
      </c>
      <c r="E73" t="s">
        <v>115</v>
      </c>
      <c r="F73" s="30" t="s">
        <v>275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x14ac:dyDescent="0.25">
      <c r="A74">
        <v>230</v>
      </c>
      <c r="B74" s="2">
        <v>41869</v>
      </c>
      <c r="E74" t="s">
        <v>116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x14ac:dyDescent="0.25">
      <c r="E75" t="s">
        <v>117</v>
      </c>
      <c r="F75" s="19" t="s">
        <v>258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x14ac:dyDescent="0.25">
      <c r="E76" t="s">
        <v>118</v>
      </c>
      <c r="F76" s="19"/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x14ac:dyDescent="0.25">
      <c r="E77" t="s">
        <v>119</v>
      </c>
      <c r="F77" s="30" t="s">
        <v>276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x14ac:dyDescent="0.25">
      <c r="E78" t="s">
        <v>120</v>
      </c>
      <c r="F78" s="19"/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x14ac:dyDescent="0.25">
      <c r="E79" t="s">
        <v>121</v>
      </c>
      <c r="F79" s="19" t="s">
        <v>259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x14ac:dyDescent="0.25">
      <c r="E80" t="s">
        <v>122</v>
      </c>
      <c r="F80" s="18" t="s">
        <v>260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x14ac:dyDescent="0.25">
      <c r="E81" t="s">
        <v>123</v>
      </c>
      <c r="F81" s="28" t="s">
        <v>261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124</v>
      </c>
      <c r="F82" s="29" t="s">
        <v>262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125</v>
      </c>
      <c r="F83" s="19" t="s">
        <v>263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126</v>
      </c>
      <c r="F84" s="19" t="s">
        <v>264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127</v>
      </c>
      <c r="F85" s="19"/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128</v>
      </c>
      <c r="F86" s="35" t="s">
        <v>277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129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130</v>
      </c>
      <c r="F88" s="31" t="s">
        <v>265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131</v>
      </c>
      <c r="F89" s="31" t="s">
        <v>266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132</v>
      </c>
      <c r="F90" s="32" t="s">
        <v>267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133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134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135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136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137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138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139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140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141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142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143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144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145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146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147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148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149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150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151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152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153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154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155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156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157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158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159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160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161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162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163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164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165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166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167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168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169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170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171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172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173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174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175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176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177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178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179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180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181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182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183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184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185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186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Welcome</vt:lpstr>
      <vt:lpstr>Data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2014-06-13T17:56:40Z</dcterms:modified>
</cp:coreProperties>
</file>