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0245" windowHeight="8760" activeTab="4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r:id="rId7"/>
    <sheet name="ChangeLog" sheetId="12" state="hidden" r:id="rId8"/>
  </sheets>
  <definedNames>
    <definedName name="_xlnm._FilterDatabase" localSheetId="1" hidden="1">Data!$A$1:$Z$2</definedName>
    <definedName name="_xlnm._FilterDatabase" localSheetId="3" hidden="1">Occ_Prep!$A$1:$M$1</definedName>
    <definedName name="_xlnm._FilterDatabase" localSheetId="5" hidden="1">Rec_Prep!$A$1:$A$1</definedName>
    <definedName name="Age">Lists!$I$2:$I$3</definedName>
    <definedName name="Camp">Lists!$B$2:$B$8</definedName>
    <definedName name="Date2013">Lists!$A$2:$A$73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Moon">Lists!$AD$2:$AD$3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Lists!$D$2:$D$143</definedName>
    <definedName name="Species">Lists!$G$2:$G$66</definedName>
    <definedName name="Transect">Lists!$C$2:$C$30</definedName>
  </definedNames>
  <calcPr calcId="145621"/>
</workbook>
</file>

<file path=xl/calcChain.xml><?xml version="1.0" encoding="utf-8"?>
<calcChain xmlns="http://schemas.openxmlformats.org/spreadsheetml/2006/main">
  <c r="N2" i="6" l="1"/>
  <c r="B3" i="6"/>
  <c r="D3" i="6"/>
  <c r="E3" i="6"/>
  <c r="F3" i="6"/>
  <c r="G3" i="6"/>
  <c r="H3" i="6"/>
  <c r="I3" i="6"/>
  <c r="J3" i="6"/>
  <c r="K3" i="6"/>
  <c r="L3" i="6"/>
  <c r="M3" i="6"/>
  <c r="N3" i="6"/>
  <c r="C3" i="6"/>
  <c r="K3" i="3" l="1"/>
  <c r="J3" i="3"/>
  <c r="I3" i="3"/>
  <c r="H3" i="3"/>
  <c r="G3" i="3"/>
  <c r="F3" i="3"/>
  <c r="E3" i="3"/>
  <c r="B3" i="3"/>
  <c r="A3" i="6" l="1"/>
  <c r="E2" i="3" l="1"/>
  <c r="F2" i="3"/>
  <c r="G2" i="3"/>
  <c r="H2" i="3"/>
  <c r="I2" i="3"/>
  <c r="J2" i="3"/>
  <c r="K2" i="3"/>
  <c r="B2" i="3"/>
  <c r="D3" i="3"/>
  <c r="S2" i="1"/>
  <c r="R2" i="1"/>
  <c r="Q2" i="1"/>
  <c r="P2" i="1"/>
  <c r="C3" i="3" l="1"/>
  <c r="D2" i="6" l="1"/>
  <c r="E2" i="6"/>
  <c r="F2" i="6"/>
  <c r="G2" i="6"/>
  <c r="H2" i="6"/>
  <c r="I2" i="6"/>
  <c r="J2" i="6"/>
  <c r="K2" i="6"/>
  <c r="L2" i="6"/>
  <c r="M2" i="6"/>
  <c r="C2" i="3"/>
  <c r="D2" i="3"/>
  <c r="C2" i="6"/>
  <c r="B2" i="6" l="1"/>
</calcChain>
</file>

<file path=xl/sharedStrings.xml><?xml version="1.0" encoding="utf-8"?>
<sst xmlns="http://schemas.openxmlformats.org/spreadsheetml/2006/main" count="474" uniqueCount="388">
  <si>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</si>
  <si>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</si>
  <si>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</si>
  <si>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</si>
  <si>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</si>
  <si>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</si>
  <si>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</si>
  <si>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</si>
  <si>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</si>
  <si>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</si>
  <si>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</si>
  <si>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</si>
  <si>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</si>
  <si>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</si>
  <si>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</si>
  <si>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</si>
  <si>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</si>
  <si>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</si>
  <si>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</si>
  <si>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</si>
  <si>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</si>
  <si>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</si>
  <si>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</si>
  <si>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</si>
  <si>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</si>
  <si>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</si>
  <si>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</si>
  <si>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</si>
  <si>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</si>
  <si>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</si>
  <si>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</si>
  <si>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</si>
  <si>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</si>
  <si>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</si>
  <si>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</si>
  <si>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</si>
  <si>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</si>
  <si>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</si>
  <si>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</si>
  <si>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</si>
  <si>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</si>
  <si>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</si>
  <si>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</si>
  <si>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</si>
  <si>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</si>
  <si>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</si>
  <si>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</si>
  <si>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</si>
  <si>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</si>
  <si>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</si>
  <si>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</si>
  <si>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</si>
  <si>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</si>
  <si>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</si>
  <si>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</si>
  <si>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</si>
  <si>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</si>
  <si>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</si>
  <si>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</si>
  <si>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</si>
  <si>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</si>
  <si>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</si>
  <si>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</si>
  <si>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</si>
  <si>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</si>
  <si>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</si>
  <si>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</si>
  <si>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</si>
  <si>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</si>
  <si>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</si>
  <si>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</si>
  <si>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</si>
  <si>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</si>
  <si>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</si>
  <si>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</si>
  <si>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</si>
  <si>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</si>
  <si>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</si>
  <si>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</si>
  <si>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</si>
  <si>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</si>
  <si>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</si>
  <si>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</si>
  <si>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</si>
  <si>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</si>
  <si>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</si>
  <si>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</si>
  <si>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</si>
  <si>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</si>
  <si>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</si>
  <si>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</si>
  <si>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</si>
  <si>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</si>
  <si>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</si>
  <si>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</si>
  <si>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</si>
  <si>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</si>
  <si>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</si>
  <si>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</si>
  <si>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</si>
  <si>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</si>
  <si>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</si>
  <si>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</si>
  <si>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</si>
  <si>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</si>
  <si>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</si>
  <si>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</si>
  <si>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</si>
  <si>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</si>
  <si>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</si>
  <si>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</si>
  <si>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</si>
  <si>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</si>
  <si>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</si>
  <si>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</si>
  <si>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</si>
  <si>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</si>
  <si>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</si>
  <si>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</si>
  <si>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</si>
  <si>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</si>
  <si>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</si>
  <si>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</si>
  <si>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</si>
  <si>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</si>
  <si>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</si>
  <si>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</si>
  <si>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</si>
  <si>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</si>
  <si>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</si>
  <si>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</si>
  <si>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</si>
  <si>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</si>
  <si>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</si>
  <si>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</si>
  <si>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</si>
  <si>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</si>
  <si>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</si>
  <si>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</si>
  <si>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</si>
  <si>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</si>
  <si>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</si>
  <si>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</si>
  <si>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</si>
  <si>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</si>
  <si>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</si>
  <si>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</si>
  <si>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</si>
  <si>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</si>
  <si>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</si>
  <si>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</si>
  <si>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</si>
  <si>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</si>
  <si>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</si>
  <si>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</si>
  <si>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</si>
  <si>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</si>
  <si>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</si>
  <si>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</si>
  <si>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</si>
  <si>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</si>
  <si>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</si>
  <si>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</si>
  <si>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</si>
  <si>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</si>
  <si>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</si>
  <si>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</si>
  <si>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</si>
  <si>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</si>
  <si>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</si>
  <si>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</si>
  <si>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</si>
  <si>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</si>
  <si>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</si>
  <si>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</si>
  <si>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</si>
  <si>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</si>
  <si>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</si>
  <si>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</si>
  <si>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</si>
  <si>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</si>
  <si>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</si>
  <si>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</si>
  <si>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</si>
  <si>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</si>
  <si>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</si>
  <si>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</si>
  <si>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</si>
  <si>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</si>
  <si>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</si>
  <si>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</si>
  <si>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</si>
  <si>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</si>
  <si>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</si>
  <si>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</si>
  <si>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</si>
  <si>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</si>
  <si>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</si>
  <si>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</si>
  <si>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</si>
  <si>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</si>
  <si>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</si>
  <si>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</si>
  <si>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</si>
  <si>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</si>
  <si>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</si>
  <si>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</si>
  <si>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</si>
  <si>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</si>
  <si>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</si>
  <si>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</si>
  <si>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</si>
  <si>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</si>
  <si>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</si>
  <si>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</si>
  <si>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</si>
  <si>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</si>
  <si>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</si>
  <si>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</si>
  <si>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</si>
  <si>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</si>
  <si>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</si>
  <si>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</si>
  <si>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</si>
  <si>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</si>
  <si>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</si>
  <si>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</si>
  <si>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</si>
  <si>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</si>
  <si>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</si>
  <si>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</si>
  <si>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</si>
  <si>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</si>
  <si>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</si>
  <si>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</si>
  <si>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</si>
  <si>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</si>
  <si>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</si>
  <si>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</si>
  <si>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</si>
  <si>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</si>
  <si>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</si>
  <si>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</si>
  <si>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</si>
  <si>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</si>
  <si>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</si>
  <si>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</si>
  <si>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</si>
  <si>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</si>
  <si>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</si>
  <si>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</si>
  <si>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</si>
  <si>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</si>
  <si>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</si>
  <si>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</si>
  <si>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</si>
  <si>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</si>
  <si>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</si>
  <si>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</si>
  <si>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</si>
  <si>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</si>
  <si>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</si>
  <si>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</si>
  <si>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Carollia subrufa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</si>
  <si>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</si>
  <si>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</si>
  <si>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</si>
  <si>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</si>
  <si>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</si>
  <si>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</si>
  <si>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</si>
  <si>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</si>
  <si>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</si>
  <si>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</si>
  <si>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</si>
  <si>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</si>
  <si>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</si>
  <si>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</si>
  <si>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</si>
  <si>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</si>
  <si>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</si>
  <si>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</si>
  <si>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</si>
  <si>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</si>
  <si>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</si>
  <si>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</si>
  <si>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</si>
  <si>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</si>
  <si>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</si>
  <si>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</si>
  <si>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</si>
  <si>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</si>
  <si>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</si>
  <si>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</si>
  <si>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</si>
  <si>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</si>
  <si>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</si>
  <si>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</si>
  <si>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</si>
  <si>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</si>
  <si>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</si>
  <si>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</si>
  <si>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</si>
  <si>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</si>
  <si>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</si>
  <si>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</si>
  <si>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</si>
  <si>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</si>
  <si>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</si>
  <si>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</si>
  <si>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</si>
  <si>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</si>
  <si>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</si>
  <si>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</si>
  <si>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</si>
  <si>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</si>
  <si>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</si>
  <si>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</si>
  <si>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</si>
  <si>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</si>
  <si>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</si>
  <si>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</si>
  <si>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</si>
  <si>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</si>
  <si>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</si>
  <si>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</si>
  <si>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</si>
  <si>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</si>
  <si>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</si>
  <si>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</si>
  <si>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</si>
  <si>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</si>
  <si>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</si>
  <si>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</si>
  <si>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</si>
  <si>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</si>
  <si>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</si>
  <si>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</si>
  <si>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</si>
  <si>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</si>
  <si>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</si>
  <si>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</si>
  <si>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</si>
  <si>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</si>
  <si>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</si>
  <si>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</si>
  <si>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</si>
  <si>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Occasion_BaMN</t>
  </si>
  <si>
    <t>Year_BaMN</t>
  </si>
  <si>
    <t>Day_BaMN</t>
  </si>
  <si>
    <t>Observer_BaMN</t>
  </si>
  <si>
    <t>Camp_BaMN</t>
  </si>
  <si>
    <t>Transect_BaMN</t>
  </si>
  <si>
    <t>SiteNo_BaMN</t>
  </si>
  <si>
    <t>Open_BaMN</t>
  </si>
  <si>
    <t>Closed_BaMN</t>
  </si>
  <si>
    <t>Nets6m_BaMN</t>
  </si>
  <si>
    <t>Nets12m_BaMN</t>
  </si>
  <si>
    <t>Rain_BaMN</t>
  </si>
  <si>
    <t>Wind_BaMN</t>
  </si>
  <si>
    <t>CaptureTime_BaMN</t>
  </si>
  <si>
    <t>Genus_BaMN</t>
  </si>
  <si>
    <t>Species_BaMN</t>
  </si>
  <si>
    <t>Sex_BaMN</t>
  </si>
  <si>
    <t>Age_BaMN</t>
  </si>
  <si>
    <t>RepStat_BaMN</t>
  </si>
  <si>
    <t>Forearm_BaMN</t>
  </si>
  <si>
    <t>Mass_BaMN</t>
  </si>
  <si>
    <t>Notes_BaMN</t>
  </si>
  <si>
    <t>NetNo_BaMN</t>
  </si>
  <si>
    <t>Date 2014</t>
  </si>
  <si>
    <t>Site Number</t>
  </si>
  <si>
    <t>Honduras, 2014</t>
  </si>
  <si>
    <t>"record" data.  See below for an example of how to fill in the sheet.</t>
  </si>
  <si>
    <t>Reproductive Status</t>
  </si>
  <si>
    <t>Unknown sp.</t>
  </si>
  <si>
    <t>Glossophaga sp.</t>
  </si>
  <si>
    <t>Glossophaginae sp.</t>
  </si>
  <si>
    <t>Molossus rufus</t>
  </si>
  <si>
    <t>Thyroptera tricolor</t>
  </si>
  <si>
    <t>Change Log</t>
  </si>
  <si>
    <t>Last Viewed</t>
  </si>
  <si>
    <t>Last Saved</t>
  </si>
  <si>
    <t>Previous saves</t>
  </si>
  <si>
    <t>Moon</t>
  </si>
  <si>
    <t>Dark</t>
  </si>
  <si>
    <t>Bright</t>
  </si>
  <si>
    <t>Moon_BaMN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</si>
</sst>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166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3" borderId="0" xfId="0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/>
    <xf numFmtId="1" fontId="0" fillId="0" borderId="0" xfId="0" applyNumberFormat="1" applyAlignment="1"/>
    <xf numFmtId="167" fontId="0" fillId="0" borderId="0" xfId="0" applyNumberFormat="1"/>
    <xf numFmtId="165" fontId="0" fillId="0" borderId="0" xfId="0" applyNumberFormat="1"/>
    <xf numFmtId="0" fontId="0" fillId="0" borderId="0" xfId="0" applyAlignment="1" applyProtection="1">
      <alignment wrapText="1"/>
    </xf>
    <xf numFmtId="49" fontId="0" fillId="0" borderId="0" xfId="0" applyNumberFormat="1" applyAlignment="1" applyProtection="1">
      <alignment wrapText="1"/>
    </xf>
    <xf numFmtId="1" fontId="0" fillId="0" borderId="0" xfId="0" applyNumberFormat="1" applyAlignment="1" applyProtection="1">
      <alignment wrapText="1"/>
    </xf>
    <xf numFmtId="2" fontId="0" fillId="0" borderId="0" xfId="0" applyNumberFormat="1" applyAlignment="1" applyProtection="1">
      <alignment wrapText="1"/>
      <protection locked="0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3" fontId="0" fillId="0" borderId="0" xfId="0" applyNumberFormat="1"/>
    <xf numFmtId="49" fontId="0" fillId="0" borderId="0" xfId="0" applyNumberFormat="1"/>
    <xf numFmtId="49" fontId="0" fillId="5" borderId="0" xfId="0" applyNumberFormat="1" applyFill="1" applyAlignment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2" fontId="0" fillId="5" borderId="0" xfId="0" applyNumberFormat="1" applyFill="1" applyAlignment="1" applyProtection="1">
      <alignment horizontal="center" vertical="center" wrapText="1"/>
    </xf>
    <xf numFmtId="0" fontId="0" fillId="5" borderId="0" xfId="0" applyFill="1" applyProtection="1">
      <protection locked="0"/>
    </xf>
    <xf numFmtId="165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64" fontId="0" fillId="6" borderId="0" xfId="0" applyNumberFormat="1" applyFill="1" applyAlignment="1" applyProtection="1">
      <alignment horizontal="center" vertical="center" wrapText="1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165" fontId="0" fillId="6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/>
    <xf numFmtId="1" fontId="0" fillId="5" borderId="0" xfId="0" applyNumberFormat="1" applyFill="1" applyAlignment="1"/>
    <xf numFmtId="1" fontId="0" fillId="6" borderId="0" xfId="0" applyNumberFormat="1" applyFill="1" applyAlignment="1">
      <alignment horizontal="center" vertical="center" wrapText="1"/>
    </xf>
    <xf numFmtId="167" fontId="0" fillId="6" borderId="0" xfId="0" applyNumberFormat="1" applyFill="1" applyAlignment="1">
      <alignment horizontal="center" vertical="center" wrapText="1"/>
    </xf>
    <xf numFmtId="49" fontId="0" fillId="6" borderId="0" xfId="0" applyNumberFormat="1" applyFill="1" applyAlignment="1">
      <alignment horizontal="center" vertical="center" wrapText="1"/>
    </xf>
    <xf numFmtId="3" fontId="0" fillId="6" borderId="0" xfId="0" applyNumberFormat="1" applyFill="1" applyAlignment="1">
      <alignment horizontal="center" vertic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/>
    <xf numFmtId="164" fontId="0" fillId="6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/>
    </xf>
    <xf numFmtId="1" fontId="0" fillId="6" borderId="0" xfId="0" applyNumberFormat="1" applyFill="1" applyAlignment="1" applyProtection="1">
      <alignment horizontal="center" vertical="center"/>
    </xf>
    <xf numFmtId="165" fontId="0" fillId="6" borderId="0" xfId="0" applyNumberFormat="1" applyFill="1" applyAlignment="1" applyProtection="1">
      <alignment horizontal="center" vertical="center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/>
    <xf numFmtId="0" fontId="0" fillId="0" borderId="0" xfId="0" applyNumberFormat="1" applyFill="1" applyAlignment="1" applyProtection="1"/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22" fontId="0" fillId="0" borderId="0" xfId="0" applyNumberFormat="1"/>
    <xf numFmtId="22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85725</xdr:rowOff>
    </xdr:from>
    <xdr:to>
      <xdr:col>14</xdr:col>
      <xdr:colOff>19050</xdr:colOff>
      <xdr:row>25</xdr:row>
      <xdr:rowOff>133350</xdr:rowOff>
    </xdr:to>
    <xdr:sp macro="" textlink="">
      <xdr:nvSpPr>
        <xdr:cNvPr id="7" name="Rounded Rectangle 6"/>
        <xdr:cNvSpPr/>
      </xdr:nvSpPr>
      <xdr:spPr>
        <a:xfrm>
          <a:off x="371475" y="857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23</xdr:row>
          <xdr:rowOff>0</xdr:rowOff>
        </xdr:from>
        <xdr:to>
          <xdr:col>6</xdr:col>
          <xdr:colOff>523875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23</xdr:row>
          <xdr:rowOff>0</xdr:rowOff>
        </xdr:from>
        <xdr:to>
          <xdr:col>9</xdr:col>
          <xdr:colOff>647700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D20"/>
  <sheetViews>
    <sheetView workbookViewId="0"/>
  </sheetViews>
  <sheetFormatPr defaultRowHeight="15" x14ac:dyDescent="0.25"/>
  <cols>
    <col min="1" max="256" width="11.42578125" style="29" customWidth="1"/>
    <col min="257" max="16384" width="9.140625" style="29"/>
  </cols>
  <sheetData>
    <row r="3" spans="2:4" ht="21" x14ac:dyDescent="0.35">
      <c r="D3" s="27" t="s">
        <v>225</v>
      </c>
    </row>
    <row r="4" spans="2:4" ht="21" x14ac:dyDescent="0.35">
      <c r="D4" s="27" t="s">
        <v>372</v>
      </c>
    </row>
    <row r="5" spans="2:4" x14ac:dyDescent="0.25">
      <c r="B5" s="92"/>
      <c r="D5" s="28" t="s">
        <v>226</v>
      </c>
    </row>
    <row r="6" spans="2:4" x14ac:dyDescent="0.25">
      <c r="B6" s="92"/>
      <c r="D6" s="28" t="s">
        <v>208</v>
      </c>
    </row>
    <row r="7" spans="2:4" x14ac:dyDescent="0.25">
      <c r="B7" s="92"/>
      <c r="D7" s="28"/>
    </row>
    <row r="8" spans="2:4" x14ac:dyDescent="0.25">
      <c r="B8" s="92"/>
      <c r="D8" s="28" t="s">
        <v>212</v>
      </c>
    </row>
    <row r="9" spans="2:4" x14ac:dyDescent="0.25">
      <c r="B9" s="92"/>
      <c r="D9" s="28"/>
    </row>
    <row r="10" spans="2:4" x14ac:dyDescent="0.25">
      <c r="B10" s="92"/>
      <c r="D10" s="28" t="s">
        <v>209</v>
      </c>
    </row>
    <row r="11" spans="2:4" x14ac:dyDescent="0.25">
      <c r="D11" s="28"/>
    </row>
    <row r="12" spans="2:4" x14ac:dyDescent="0.25">
      <c r="D12" s="28" t="s">
        <v>210</v>
      </c>
    </row>
    <row r="13" spans="2:4" x14ac:dyDescent="0.25">
      <c r="D13" s="28" t="s">
        <v>373</v>
      </c>
    </row>
    <row r="14" spans="2:4" x14ac:dyDescent="0.25">
      <c r="D14" s="28"/>
    </row>
    <row r="15" spans="2:4" x14ac:dyDescent="0.25">
      <c r="D15" s="28" t="s">
        <v>215</v>
      </c>
    </row>
    <row r="16" spans="2:4" x14ac:dyDescent="0.25">
      <c r="D16" s="28"/>
    </row>
    <row r="17" spans="4:4" x14ac:dyDescent="0.25">
      <c r="D17" s="28" t="s">
        <v>211</v>
      </c>
    </row>
    <row r="19" spans="4:4" x14ac:dyDescent="0.25">
      <c r="D19" s="28" t="s">
        <v>213</v>
      </c>
    </row>
    <row r="20" spans="4:4" x14ac:dyDescent="0.25">
      <c r="D20" s="29" t="s">
        <v>214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742950</xdr:colOff>
                    <xdr:row>23</xdr:row>
                    <xdr:rowOff>0</xdr:rowOff>
                  </from>
                  <to>
                    <xdr:col>6</xdr:col>
                    <xdr:colOff>523875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95250</xdr:colOff>
                    <xdr:row>23</xdr:row>
                    <xdr:rowOff>0</xdr:rowOff>
                  </from>
                  <to>
                    <xdr:col>9</xdr:col>
                    <xdr:colOff>647700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42578125" style="33" bestFit="1" customWidth="1"/>
    <col min="2" max="2" width="18" style="34" bestFit="1" customWidth="1"/>
    <col min="3" max="3" width="13.5703125" style="35" bestFit="1" customWidth="1"/>
    <col min="4" max="4" width="8.42578125" style="35" bestFit="1" customWidth="1"/>
    <col min="5" max="5" width="12" style="36" bestFit="1" customWidth="1"/>
    <col min="6" max="6" width="13.140625" style="34" bestFit="1" customWidth="1"/>
    <col min="7" max="7" width="13.140625" style="34" customWidth="1"/>
    <col min="8" max="8" width="9.85546875" style="36" bestFit="1" customWidth="1"/>
    <col min="9" max="9" width="10.85546875" style="36" bestFit="1" customWidth="1"/>
    <col min="10" max="10" width="5.28515625" style="36" bestFit="1" customWidth="1"/>
    <col min="11" max="11" width="5.7109375" style="36" bestFit="1" customWidth="1"/>
    <col min="12" max="12" width="8.7109375" style="36" customWidth="1"/>
    <col min="13" max="13" width="13.140625" style="34" bestFit="1" customWidth="1"/>
    <col min="14" max="14" width="16.5703125" style="35" bestFit="1" customWidth="1"/>
    <col min="15" max="15" width="15.28515625" style="37" bestFit="1" customWidth="1"/>
    <col min="16" max="16" width="24.42578125" style="42" bestFit="1" customWidth="1"/>
    <col min="17" max="17" width="11.5703125" style="43" bestFit="1" customWidth="1"/>
    <col min="18" max="18" width="15.5703125" style="43" bestFit="1" customWidth="1"/>
    <col min="19" max="19" width="13.140625" style="44" bestFit="1" customWidth="1"/>
    <col min="20" max="20" width="9.42578125" style="36" bestFit="1" customWidth="1"/>
    <col min="21" max="21" width="8.42578125" style="35" bestFit="1" customWidth="1"/>
    <col min="22" max="22" width="16.28515625" style="36" bestFit="1" customWidth="1"/>
    <col min="23" max="23" width="12" style="45" bestFit="1" customWidth="1"/>
    <col min="24" max="24" width="8.28515625" style="45" bestFit="1" customWidth="1"/>
    <col min="25" max="25" width="35.7109375" style="32" customWidth="1"/>
    <col min="26" max="26" width="9.42578125" style="32" bestFit="1" customWidth="1"/>
    <col min="27" max="257" width="11.42578125" style="32" customWidth="1"/>
    <col min="258" max="16384" width="9.140625" style="32"/>
  </cols>
  <sheetData>
    <row r="1" spans="1:26" ht="30" x14ac:dyDescent="0.25">
      <c r="A1" s="58" t="s">
        <v>6</v>
      </c>
      <c r="B1" s="59" t="s">
        <v>2</v>
      </c>
      <c r="C1" s="59" t="s">
        <v>0</v>
      </c>
      <c r="D1" s="59" t="s">
        <v>1</v>
      </c>
      <c r="E1" s="60" t="s">
        <v>371</v>
      </c>
      <c r="F1" s="61" t="s">
        <v>219</v>
      </c>
      <c r="G1" s="61" t="s">
        <v>220</v>
      </c>
      <c r="H1" s="60" t="s">
        <v>222</v>
      </c>
      <c r="I1" s="60" t="s">
        <v>223</v>
      </c>
      <c r="J1" s="60" t="s">
        <v>4</v>
      </c>
      <c r="K1" s="60" t="s">
        <v>5</v>
      </c>
      <c r="L1" s="60" t="s">
        <v>384</v>
      </c>
      <c r="M1" s="56" t="s">
        <v>224</v>
      </c>
      <c r="N1" s="57" t="s">
        <v>3</v>
      </c>
      <c r="O1" s="57" t="s">
        <v>7</v>
      </c>
      <c r="P1" s="30" t="s">
        <v>9</v>
      </c>
      <c r="Q1" s="30" t="s">
        <v>10</v>
      </c>
      <c r="R1" s="31" t="s">
        <v>11</v>
      </c>
      <c r="S1" s="31" t="s">
        <v>12</v>
      </c>
      <c r="T1" s="53" t="s">
        <v>216</v>
      </c>
      <c r="U1" s="53" t="s">
        <v>217</v>
      </c>
      <c r="V1" s="53" t="s">
        <v>218</v>
      </c>
      <c r="W1" s="54" t="s">
        <v>312</v>
      </c>
      <c r="X1" s="54" t="s">
        <v>313</v>
      </c>
      <c r="Y1" s="53" t="s">
        <v>323</v>
      </c>
      <c r="Z1" s="53" t="s">
        <v>346</v>
      </c>
    </row>
    <row r="2" spans="1:26" x14ac:dyDescent="0.25">
      <c r="A2" s="78"/>
      <c r="B2" s="79"/>
      <c r="C2" s="80"/>
      <c r="D2" s="80"/>
      <c r="E2" s="81"/>
      <c r="F2" s="82"/>
      <c r="G2" s="82"/>
      <c r="H2" s="83"/>
      <c r="I2" s="83"/>
      <c r="J2" s="83"/>
      <c r="K2" s="83"/>
      <c r="L2" s="83"/>
      <c r="M2" s="82"/>
      <c r="N2" s="84"/>
      <c r="O2" s="85"/>
      <c r="P2" s="86" t="str">
        <f>IF(ISBLANK(N2),CONCATENATE(N2,O2),N2)</f>
        <v/>
      </c>
      <c r="Q2" s="86" t="str">
        <f>IF(AND(ISBLANK(N2),ISBLANK(O2)),"",FIND(" ",P2))</f>
        <v/>
      </c>
      <c r="R2" s="87" t="str">
        <f>IF(AND(ISBLANK(N2),ISBLANK(O2)),"",MID(P2,1,Q2))</f>
        <v/>
      </c>
      <c r="S2" s="87" t="str">
        <f>IF(AND(ISBLANK(N2),ISBLANK(O2)),"",MID(P2,Q2+1,99))</f>
        <v/>
      </c>
      <c r="T2" s="88"/>
      <c r="U2" s="84"/>
      <c r="V2" s="88"/>
      <c r="W2" s="89"/>
      <c r="X2" s="89"/>
      <c r="Y2" s="90"/>
      <c r="Z2" s="90"/>
    </row>
    <row r="5" spans="1:26" x14ac:dyDescent="0.25">
      <c r="B5" s="91"/>
    </row>
    <row r="6" spans="1:26" x14ac:dyDescent="0.25">
      <c r="B6" s="91"/>
    </row>
    <row r="7" spans="1:26" x14ac:dyDescent="0.25">
      <c r="B7" s="91"/>
    </row>
    <row r="8" spans="1:26" x14ac:dyDescent="0.25">
      <c r="B8" s="91"/>
    </row>
    <row r="9" spans="1:26" x14ac:dyDescent="0.25">
      <c r="B9" s="91"/>
    </row>
    <row r="10" spans="1:26" x14ac:dyDescent="0.25">
      <c r="B10" s="91"/>
    </row>
  </sheetData>
  <dataValidations count="15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64956">
      <formula1>Transect</formula1>
    </dataValidation>
    <dataValidation type="whole" allowBlank="1" showInputMessage="1" showErrorMessage="1" sqref="H2:I64956">
      <formula1>0</formula1>
      <formula2>10</formula2>
    </dataValidation>
    <dataValidation type="whole" allowBlank="1" showInputMessage="1" showErrorMessage="1" sqref="S3:S64956">
      <formula1>0</formula1>
      <formula2>4000</formula2>
    </dataValidation>
    <dataValidation type="list" allowBlank="1" showInputMessage="1" showErrorMessage="1" errorTitle="Time Interval" error="Please enter 1 for the first 5 minutes or 2 for the 2nd 5 minutes." sqref="T2:T64956">
      <formula1>Sex</formula1>
    </dataValidation>
    <dataValidation type="list" showInputMessage="1" showErrorMessage="1" sqref="U2:U64956">
      <formula1>Age</formula1>
    </dataValidation>
    <dataValidation type="list" showInputMessage="1" showErrorMessage="1" sqref="V2:V64956">
      <formula1>Repro</formula1>
    </dataValidation>
    <dataValidation type="decimal" allowBlank="1" showInputMessage="1" showErrorMessage="1" sqref="W2:W64956">
      <formula1>0</formula1>
      <formula2>150</formula2>
    </dataValidation>
    <dataValidation type="decimal" allowBlank="1" showInputMessage="1" showErrorMessage="1" sqref="X1:X1048576">
      <formula1>0</formula1>
      <formula2>200</formula2>
    </dataValidation>
    <dataValidation type="textLength" operator="greaterThan" allowBlank="1" showInputMessage="1" showErrorMessage="1" sqref="Y2:Y64956">
      <formula1>0</formula1>
    </dataValidation>
    <dataValidation type="list" allowBlank="1" showInputMessage="1" showErrorMessage="1" sqref="E1:E1048576">
      <formula1>NetNo</formula1>
    </dataValidation>
  </dataValidation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Lists!$AD$2:$AD$4</xm:f>
          </x14:formula1>
          <xm:sqref>L1:L1048576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"/>
  <sheetViews>
    <sheetView workbookViewId="0">
      <selection activeCell="J6" sqref="J6"/>
    </sheetView>
  </sheetViews>
  <sheetFormatPr defaultRowHeight="15" x14ac:dyDescent="0.25"/>
  <cols>
    <col min="1" max="1" width="15.28515625" style="46" bestFit="1" customWidth="1"/>
    <col min="2" max="2" width="11.140625" style="46" bestFit="1" customWidth="1"/>
    <col min="3" max="3" width="10.5703125" style="47" bestFit="1" customWidth="1"/>
    <col min="4" max="4" width="18" style="39" bestFit="1" customWidth="1"/>
    <col min="5" max="5" width="12.5703125" style="47" bestFit="1" customWidth="1"/>
    <col min="6" max="6" width="14.85546875" style="48" bestFit="1" customWidth="1"/>
    <col min="7" max="7" width="13.42578125" style="39" bestFit="1" customWidth="1"/>
    <col min="8" max="8" width="12.140625" style="48" bestFit="1" customWidth="1"/>
    <col min="9" max="9" width="13.42578125" style="48" bestFit="1" customWidth="1"/>
    <col min="10" max="10" width="14.28515625" style="39" bestFit="1" customWidth="1"/>
    <col min="11" max="11" width="15.28515625" style="39" bestFit="1" customWidth="1"/>
    <col min="12" max="12" width="11.140625" style="39" bestFit="1" customWidth="1"/>
    <col min="13" max="13" width="12" style="39" bestFit="1" customWidth="1"/>
    <col min="14" max="256" width="11.42578125" customWidth="1"/>
  </cols>
  <sheetData>
    <row r="1" spans="1:14" x14ac:dyDescent="0.25">
      <c r="A1" s="73" t="s">
        <v>347</v>
      </c>
      <c r="B1" s="73" t="s">
        <v>348</v>
      </c>
      <c r="C1" s="74" t="s">
        <v>349</v>
      </c>
      <c r="D1" s="75" t="s">
        <v>350</v>
      </c>
      <c r="E1" s="75" t="s">
        <v>351</v>
      </c>
      <c r="F1" s="75" t="s">
        <v>352</v>
      </c>
      <c r="G1" s="76" t="s">
        <v>353</v>
      </c>
      <c r="H1" s="77" t="s">
        <v>354</v>
      </c>
      <c r="I1" s="77" t="s">
        <v>355</v>
      </c>
      <c r="J1" s="76" t="s">
        <v>356</v>
      </c>
      <c r="K1" s="76" t="s">
        <v>357</v>
      </c>
      <c r="L1" s="76" t="s">
        <v>358</v>
      </c>
      <c r="M1" s="76" t="s">
        <v>359</v>
      </c>
      <c r="N1" s="76" t="s">
        <v>387</v>
      </c>
    </row>
    <row r="2" spans="1:14" x14ac:dyDescent="0.25">
      <c r="A2" s="39">
        <v>8000</v>
      </c>
      <c r="B2" s="39" t="str">
        <f>IF(ISBLANK(Data!A2),"",YEAR(C2))</f>
        <v/>
      </c>
      <c r="C2" s="47" t="str">
        <f>IF(ISBLANK(Data!A2),"",Data!A2)</f>
        <v/>
      </c>
      <c r="D2" s="47" t="str">
        <f>IF(ISBLANK(Data!B2),"",Data!B2)</f>
        <v/>
      </c>
      <c r="E2" s="47" t="str">
        <f>IF(ISBLANK(Data!C2),"",Data!C2)</f>
        <v/>
      </c>
      <c r="F2" s="47" t="str">
        <f>IF(ISBLANK(Data!D2),"",Data!D2)</f>
        <v/>
      </c>
      <c r="G2" s="39" t="str">
        <f>IF(ISBLANK(Data!E2),"",Data!E2)</f>
        <v/>
      </c>
      <c r="H2" s="48" t="str">
        <f>IF(ISBLANK(Data!F2),"",Data!F2)</f>
        <v/>
      </c>
      <c r="I2" s="48" t="str">
        <f>IF(ISBLANK(Data!G2),"",Data!G2)</f>
        <v/>
      </c>
      <c r="J2" s="39" t="str">
        <f>IF(ISBLANK(Data!H2),"",Data!H2)</f>
        <v/>
      </c>
      <c r="K2" s="39" t="str">
        <f>IF(ISBLANK(Data!I2),"",Data!I2)</f>
        <v/>
      </c>
      <c r="L2" s="39" t="str">
        <f>IF(ISBLANK(Data!J2),"",Data!J2)</f>
        <v/>
      </c>
      <c r="M2" s="39" t="str">
        <f>IF(ISBLANK(Data!K2),"",Data!K2)</f>
        <v/>
      </c>
      <c r="N2" s="47" t="str">
        <f>IF(ISBLANK(Data!L2),"",Data!L2)</f>
        <v/>
      </c>
    </row>
    <row r="3" spans="1:14" x14ac:dyDescent="0.25">
      <c r="A3" s="39">
        <f>IF(B3="",A2,A2+1)</f>
        <v>8000</v>
      </c>
      <c r="B3" s="39" t="str">
        <f>IF(ISBLANK(Data!A3),"",YEAR(C3))</f>
        <v/>
      </c>
      <c r="C3" s="47" t="str">
        <f>IF(ISBLANK(Data!A3),"",Data!A3)</f>
        <v/>
      </c>
      <c r="D3" s="47" t="str">
        <f>IF(ISBLANK(Data!B3),"",Data!B3)</f>
        <v/>
      </c>
      <c r="E3" s="47" t="str">
        <f>IF(ISBLANK(Data!C3),"",Data!C3)</f>
        <v/>
      </c>
      <c r="F3" s="47" t="str">
        <f>IF(ISBLANK(Data!D3),"",Data!D3)</f>
        <v/>
      </c>
      <c r="G3" s="47" t="str">
        <f>IF(ISBLANK(Data!E3),"",Data!E3)</f>
        <v/>
      </c>
      <c r="H3" s="47" t="str">
        <f>IF(ISBLANK(Data!F3),"",Data!F3)</f>
        <v/>
      </c>
      <c r="I3" s="47" t="str">
        <f>IF(ISBLANK(Data!G3),"",Data!G3)</f>
        <v/>
      </c>
      <c r="J3" s="47" t="str">
        <f>IF(ISBLANK(Data!H3),"",Data!H3)</f>
        <v/>
      </c>
      <c r="K3" s="47" t="str">
        <f>IF(ISBLANK(Data!I3),"",Data!I3)</f>
        <v/>
      </c>
      <c r="L3" s="47" t="str">
        <f>IF(ISBLANK(Data!J3),"",Data!J3)</f>
        <v/>
      </c>
      <c r="M3" s="47" t="str">
        <f>IF(ISBLANK(Data!K3),"",Data!K3)</f>
        <v/>
      </c>
      <c r="N3" s="47" t="str">
        <f>IF(ISBLANK(Data!L3),"",Data!L3)</f>
        <v/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"/>
  <sheetViews>
    <sheetView workbookViewId="0"/>
  </sheetViews>
  <sheetFormatPr defaultRowHeight="15" x14ac:dyDescent="0.25"/>
  <cols>
    <col min="1" max="1" width="8.85546875" style="26" bestFit="1" customWidth="1"/>
    <col min="2" max="2" width="8" style="26" bestFit="1" customWidth="1"/>
    <col min="3" max="3" width="9.140625" style="40" customWidth="1"/>
    <col min="4" max="4" width="18" style="51" bestFit="1" customWidth="1"/>
    <col min="5" max="5" width="12.5703125" style="51" bestFit="1" customWidth="1"/>
    <col min="6" max="6" width="8.42578125" style="51" bestFit="1" customWidth="1"/>
    <col min="7" max="7" width="9.140625" style="50" customWidth="1"/>
    <col min="8" max="8" width="9" style="41" bestFit="1" customWidth="1"/>
    <col min="9" max="9" width="13.42578125" style="41" bestFit="1" customWidth="1"/>
    <col min="10" max="11" width="11" style="50" bestFit="1" customWidth="1"/>
    <col min="12" max="12" width="11.140625" style="50" bestFit="1" customWidth="1"/>
    <col min="13" max="13" width="10.5703125" style="50" bestFit="1" customWidth="1"/>
    <col min="14" max="255" width="11.42578125" customWidth="1"/>
  </cols>
  <sheetData>
    <row r="1" spans="1:13" ht="30" x14ac:dyDescent="0.25">
      <c r="A1" s="68" t="s">
        <v>347</v>
      </c>
      <c r="B1" s="68" t="s">
        <v>348</v>
      </c>
      <c r="C1" s="69" t="s">
        <v>349</v>
      </c>
      <c r="D1" s="70" t="s">
        <v>350</v>
      </c>
      <c r="E1" s="70" t="s">
        <v>351</v>
      </c>
      <c r="F1" s="70" t="s">
        <v>352</v>
      </c>
      <c r="G1" s="71" t="s">
        <v>353</v>
      </c>
      <c r="H1" s="72" t="s">
        <v>354</v>
      </c>
      <c r="I1" s="72" t="s">
        <v>355</v>
      </c>
      <c r="J1" s="71" t="s">
        <v>356</v>
      </c>
      <c r="K1" s="71" t="s">
        <v>357</v>
      </c>
      <c r="L1" s="71" t="s">
        <v>358</v>
      </c>
      <c r="M1" s="71" t="s">
        <v>359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"/>
  <sheetViews>
    <sheetView tabSelected="1" workbookViewId="0">
      <selection activeCell="L2" sqref="L2"/>
    </sheetView>
  </sheetViews>
  <sheetFormatPr defaultRowHeight="15" x14ac:dyDescent="0.25"/>
  <cols>
    <col min="1" max="4" width="16.7109375" style="21" customWidth="1"/>
    <col min="5" max="5" width="9.28515625" style="22" bestFit="1" customWidth="1"/>
    <col min="6" max="6" width="11" style="25" bestFit="1" customWidth="1"/>
    <col min="7" max="7" width="11.42578125" style="25" bestFit="1" customWidth="1"/>
    <col min="8" max="8" width="8.85546875" style="25" bestFit="1" customWidth="1"/>
    <col min="9" max="9" width="10.140625" style="21" bestFit="1" customWidth="1"/>
    <col min="10" max="10" width="13.85546875" style="24" bestFit="1" customWidth="1"/>
    <col min="11" max="256" width="11.42578125" customWidth="1"/>
  </cols>
  <sheetData>
    <row r="1" spans="1:11" ht="30" x14ac:dyDescent="0.25">
      <c r="A1" s="52" t="s">
        <v>347</v>
      </c>
      <c r="B1" s="52" t="s">
        <v>360</v>
      </c>
      <c r="C1" s="52" t="s">
        <v>361</v>
      </c>
      <c r="D1" s="52" t="s">
        <v>362</v>
      </c>
      <c r="E1" s="53" t="s">
        <v>363</v>
      </c>
      <c r="F1" s="53" t="s">
        <v>364</v>
      </c>
      <c r="G1" s="53" t="s">
        <v>365</v>
      </c>
      <c r="H1" s="54" t="s">
        <v>366</v>
      </c>
      <c r="I1" s="54" t="s">
        <v>367</v>
      </c>
      <c r="J1" s="53" t="s">
        <v>368</v>
      </c>
      <c r="K1" s="55" t="s">
        <v>369</v>
      </c>
    </row>
    <row r="2" spans="1:11" x14ac:dyDescent="0.25">
      <c r="A2" s="38">
        <v>8000</v>
      </c>
      <c r="B2" s="38" t="str">
        <f>IF(ISBLANK(Data!M2),"",Data!M2)</f>
        <v/>
      </c>
      <c r="C2" s="23" t="str">
        <f>IF(ISBLANK(Data!R2),"",Data!R2)</f>
        <v/>
      </c>
      <c r="D2" s="23" t="str">
        <f>IF(ISBLANK(Data!S2),"",Data!S2)</f>
        <v/>
      </c>
      <c r="E2" s="23" t="str">
        <f>IF(ISBLANK(Data!T2),"",Data!T2)</f>
        <v/>
      </c>
      <c r="F2" s="23" t="str">
        <f>IF(ISBLANK(Data!U2),"",Data!U2)</f>
        <v/>
      </c>
      <c r="G2" s="23" t="str">
        <f>IF(ISBLANK(Data!V2),"",Data!V2)</f>
        <v/>
      </c>
      <c r="H2" s="23" t="str">
        <f>IF(ISBLANK(Data!W2),"",Data!W2)</f>
        <v/>
      </c>
      <c r="I2" s="23" t="str">
        <f>IF(ISBLANK(Data!X2),"",Data!X2)</f>
        <v/>
      </c>
      <c r="J2" s="23" t="str">
        <f>IF(ISBLANK(Data!Y2),"",Data!Y2)</f>
        <v/>
      </c>
      <c r="K2" s="23" t="str">
        <f>IF(ISBLANK(Data!Z2),"",Data!Z2)</f>
        <v/>
      </c>
    </row>
    <row r="3" spans="1:11" x14ac:dyDescent="0.25">
      <c r="A3" s="38">
        <v>7001</v>
      </c>
      <c r="B3" s="38" t="e">
        <f>IF(ISBLANK(Data!#REF!),"",Data!#REF!)</f>
        <v>#REF!</v>
      </c>
      <c r="C3" s="23" t="e">
        <f>IF(ISBLANK(Data!#REF!),"",Data!#REF!)</f>
        <v>#REF!</v>
      </c>
      <c r="D3" s="23" t="e">
        <f>IF(ISBLANK(Data!#REF!),"",Data!#REF!)</f>
        <v>#REF!</v>
      </c>
      <c r="E3" s="23" t="e">
        <f>IF(ISBLANK(Data!#REF!),"",Data!#REF!)</f>
        <v>#REF!</v>
      </c>
      <c r="F3" s="23" t="e">
        <f>IF(ISBLANK(Data!#REF!),"",Data!#REF!)</f>
        <v>#REF!</v>
      </c>
      <c r="G3" s="23" t="e">
        <f>IF(ISBLANK(Data!#REF!),"",Data!#REF!)</f>
        <v>#REF!</v>
      </c>
      <c r="H3" s="23" t="e">
        <f>IF(ISBLANK(Data!#REF!),"",Data!#REF!)</f>
        <v>#REF!</v>
      </c>
      <c r="I3" s="23" t="e">
        <f>IF(ISBLANK(Data!#REF!),"",Data!#REF!)</f>
        <v>#REF!</v>
      </c>
      <c r="J3" s="23" t="e">
        <f>IF(ISBLANK(Data!#REF!),"",Data!#REF!)</f>
        <v>#REF!</v>
      </c>
      <c r="K3" s="23" t="e">
        <f>IF(ISBLANK(Data!#REF!),"",Data!#REF!)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"/>
  <sheetViews>
    <sheetView workbookViewId="0"/>
  </sheetViews>
  <sheetFormatPr defaultRowHeight="15" x14ac:dyDescent="0.25"/>
  <cols>
    <col min="1" max="1" width="15.28515625" style="39" bestFit="1" customWidth="1"/>
    <col min="2" max="2" width="19" style="48" bestFit="1" customWidth="1"/>
    <col min="3" max="3" width="13.5703125" style="23" bestFit="1" customWidth="1"/>
    <col min="4" max="4" width="14.140625" style="23" bestFit="1" customWidth="1"/>
    <col min="5" max="5" width="10.42578125" style="23" bestFit="1" customWidth="1"/>
    <col min="6" max="6" width="10.7109375" style="23" bestFit="1" customWidth="1"/>
    <col min="7" max="7" width="16.28515625" style="23" bestFit="1" customWidth="1"/>
    <col min="8" max="8" width="14.85546875" style="49" bestFit="1" customWidth="1"/>
    <col min="9" max="9" width="11.7109375" style="49" bestFit="1" customWidth="1"/>
    <col min="10" max="10" width="12.7109375" style="23" customWidth="1"/>
    <col min="11" max="11" width="13.28515625" style="39" bestFit="1" customWidth="1"/>
    <col min="12" max="256" width="11.42578125" customWidth="1"/>
  </cols>
  <sheetData>
    <row r="1" spans="1:11" x14ac:dyDescent="0.25">
      <c r="A1" s="62" t="s">
        <v>347</v>
      </c>
      <c r="B1" s="63" t="s">
        <v>360</v>
      </c>
      <c r="C1" s="64" t="s">
        <v>361</v>
      </c>
      <c r="D1" s="64" t="s">
        <v>362</v>
      </c>
      <c r="E1" s="64" t="s">
        <v>363</v>
      </c>
      <c r="F1" s="64" t="s">
        <v>364</v>
      </c>
      <c r="G1" s="64" t="s">
        <v>365</v>
      </c>
      <c r="H1" s="65" t="s">
        <v>366</v>
      </c>
      <c r="I1" s="65" t="s">
        <v>367</v>
      </c>
      <c r="J1" s="66" t="s">
        <v>368</v>
      </c>
      <c r="K1" s="67" t="s">
        <v>369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topLeftCell="B1"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" customWidth="1"/>
    <col min="8" max="9" width="9.140625" customWidth="1"/>
    <col min="10" max="10" width="13.140625" customWidth="1"/>
    <col min="11" max="11" width="9.140625" customWidth="1"/>
    <col min="12" max="12" width="10.140625" style="5" bestFit="1" customWidth="1"/>
    <col min="13" max="13" width="9.140625" customWidth="1"/>
    <col min="14" max="14" width="10.140625" style="5" bestFit="1" customWidth="1"/>
    <col min="15" max="15" width="9.140625" customWidth="1"/>
    <col min="16" max="16" width="10.140625" style="5" bestFit="1" customWidth="1"/>
    <col min="17" max="17" width="9.140625" customWidth="1"/>
    <col min="18" max="18" width="10.140625" style="5" bestFit="1" customWidth="1"/>
    <col min="19" max="19" width="9.140625" customWidth="1"/>
    <col min="20" max="20" width="10.140625" style="5" bestFit="1" customWidth="1"/>
    <col min="21" max="21" width="9.140625" customWidth="1"/>
    <col min="22" max="22" width="10.140625" style="5" bestFit="1" customWidth="1"/>
    <col min="23" max="23" width="9.140625" customWidth="1"/>
    <col min="24" max="24" width="10.140625" style="5" bestFit="1" customWidth="1"/>
    <col min="25" max="26" width="11.42578125" customWidth="1"/>
    <col min="27" max="27" width="47.140625" customWidth="1"/>
    <col min="28" max="255" width="11.42578125" customWidth="1"/>
  </cols>
  <sheetData>
    <row r="1" spans="1:30" s="1" customFormat="1" ht="30" x14ac:dyDescent="0.25">
      <c r="A1" s="1" t="s">
        <v>370</v>
      </c>
      <c r="B1" s="1" t="s">
        <v>8</v>
      </c>
      <c r="C1" s="1" t="s">
        <v>1</v>
      </c>
      <c r="D1" s="1" t="s">
        <v>178</v>
      </c>
      <c r="E1" s="1" t="s">
        <v>2</v>
      </c>
      <c r="F1" s="1" t="s">
        <v>13</v>
      </c>
      <c r="G1" s="1" t="s">
        <v>3</v>
      </c>
      <c r="H1" s="1" t="s">
        <v>216</v>
      </c>
      <c r="I1" s="1" t="s">
        <v>217</v>
      </c>
      <c r="J1" s="1" t="s">
        <v>374</v>
      </c>
      <c r="K1" s="6" t="s">
        <v>22</v>
      </c>
      <c r="L1" s="7" t="s">
        <v>29</v>
      </c>
      <c r="M1" s="8" t="s">
        <v>23</v>
      </c>
      <c r="N1" s="7" t="s">
        <v>30</v>
      </c>
      <c r="O1" s="8" t="s">
        <v>24</v>
      </c>
      <c r="P1" s="7" t="s">
        <v>31</v>
      </c>
      <c r="Q1" s="8" t="s">
        <v>25</v>
      </c>
      <c r="R1" s="7" t="s">
        <v>32</v>
      </c>
      <c r="S1" s="8" t="s">
        <v>26</v>
      </c>
      <c r="T1" s="7" t="s">
        <v>33</v>
      </c>
      <c r="U1" s="8" t="s">
        <v>27</v>
      </c>
      <c r="V1" s="7" t="s">
        <v>34</v>
      </c>
      <c r="W1" s="9" t="s">
        <v>28</v>
      </c>
      <c r="X1" s="3" t="s">
        <v>35</v>
      </c>
      <c r="Z1" s="1" t="s">
        <v>221</v>
      </c>
      <c r="AA1" s="1" t="s">
        <v>249</v>
      </c>
      <c r="AB1" s="1" t="s">
        <v>8</v>
      </c>
      <c r="AC1" s="1" t="s">
        <v>336</v>
      </c>
      <c r="AD1" s="1" t="s">
        <v>384</v>
      </c>
    </row>
    <row r="2" spans="1:30" x14ac:dyDescent="0.25">
      <c r="A2" s="2">
        <v>41798</v>
      </c>
      <c r="B2" t="s">
        <v>20</v>
      </c>
      <c r="C2" t="s">
        <v>179</v>
      </c>
      <c r="D2" t="s">
        <v>36</v>
      </c>
      <c r="E2" s="19" t="s">
        <v>324</v>
      </c>
      <c r="F2">
        <v>0</v>
      </c>
      <c r="G2" t="s">
        <v>375</v>
      </c>
      <c r="H2" t="s">
        <v>310</v>
      </c>
      <c r="I2" t="s">
        <v>314</v>
      </c>
      <c r="J2" s="1" t="s">
        <v>316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337</v>
      </c>
      <c r="AB2" t="s">
        <v>20</v>
      </c>
      <c r="AC2" t="s">
        <v>339</v>
      </c>
      <c r="AD2" t="s">
        <v>385</v>
      </c>
    </row>
    <row r="3" spans="1:30" x14ac:dyDescent="0.25">
      <c r="A3" s="2">
        <v>41799</v>
      </c>
      <c r="B3" t="s">
        <v>14</v>
      </c>
      <c r="C3" t="s">
        <v>180</v>
      </c>
      <c r="D3" t="s">
        <v>37</v>
      </c>
      <c r="E3" s="20" t="s">
        <v>325</v>
      </c>
      <c r="F3">
        <v>1</v>
      </c>
      <c r="G3" t="s">
        <v>250</v>
      </c>
      <c r="H3" t="s">
        <v>311</v>
      </c>
      <c r="I3" t="s">
        <v>315</v>
      </c>
      <c r="J3" t="s">
        <v>317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227</v>
      </c>
      <c r="AB3" t="s">
        <v>14</v>
      </c>
      <c r="AC3" t="s">
        <v>339</v>
      </c>
      <c r="AD3" t="s">
        <v>386</v>
      </c>
    </row>
    <row r="4" spans="1:30" x14ac:dyDescent="0.25">
      <c r="A4" s="2">
        <v>41800</v>
      </c>
      <c r="B4" t="s">
        <v>19</v>
      </c>
      <c r="C4" t="s">
        <v>181</v>
      </c>
      <c r="D4" t="s">
        <v>38</v>
      </c>
      <c r="E4" s="19" t="s">
        <v>326</v>
      </c>
      <c r="G4" t="s">
        <v>251</v>
      </c>
      <c r="H4" t="s">
        <v>21</v>
      </c>
      <c r="J4" t="s">
        <v>318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228</v>
      </c>
      <c r="AB4" t="s">
        <v>14</v>
      </c>
      <c r="AC4" t="s">
        <v>339</v>
      </c>
    </row>
    <row r="5" spans="1:30" x14ac:dyDescent="0.25">
      <c r="A5" s="2">
        <v>41801</v>
      </c>
      <c r="B5" s="91" t="s">
        <v>18</v>
      </c>
      <c r="C5" t="s">
        <v>182</v>
      </c>
      <c r="D5" t="s">
        <v>39</v>
      </c>
      <c r="E5" s="18" t="s">
        <v>327</v>
      </c>
      <c r="G5" t="s">
        <v>252</v>
      </c>
      <c r="J5" t="s">
        <v>319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229</v>
      </c>
      <c r="AB5" t="s">
        <v>15</v>
      </c>
      <c r="AC5" t="s">
        <v>338</v>
      </c>
    </row>
    <row r="6" spans="1:30" x14ac:dyDescent="0.25">
      <c r="A6" s="2">
        <v>41802</v>
      </c>
      <c r="B6" s="91" t="s">
        <v>17</v>
      </c>
      <c r="C6" t="s">
        <v>183</v>
      </c>
      <c r="D6" t="s">
        <v>40</v>
      </c>
      <c r="E6" s="18" t="s">
        <v>328</v>
      </c>
      <c r="G6" t="s">
        <v>253</v>
      </c>
      <c r="J6" t="s">
        <v>320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243</v>
      </c>
      <c r="AB6" t="s">
        <v>16</v>
      </c>
      <c r="AC6" t="s">
        <v>338</v>
      </c>
    </row>
    <row r="7" spans="1:30" x14ac:dyDescent="0.25">
      <c r="A7" s="2">
        <v>41803</v>
      </c>
      <c r="B7" s="91" t="s">
        <v>15</v>
      </c>
      <c r="C7" t="s">
        <v>184</v>
      </c>
      <c r="D7" t="s">
        <v>41</v>
      </c>
      <c r="E7" s="19" t="s">
        <v>329</v>
      </c>
      <c r="G7" t="s">
        <v>254</v>
      </c>
      <c r="J7" t="s">
        <v>321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230</v>
      </c>
      <c r="AB7" t="s">
        <v>16</v>
      </c>
      <c r="AC7" t="s">
        <v>339</v>
      </c>
    </row>
    <row r="8" spans="1:30" x14ac:dyDescent="0.25">
      <c r="A8" s="2">
        <v>41804</v>
      </c>
      <c r="B8" s="91" t="s">
        <v>16</v>
      </c>
      <c r="C8" t="s">
        <v>185</v>
      </c>
      <c r="D8" t="s">
        <v>42</v>
      </c>
      <c r="E8" s="19" t="s">
        <v>330</v>
      </c>
      <c r="G8" t="s">
        <v>255</v>
      </c>
      <c r="J8" t="s">
        <v>322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231</v>
      </c>
      <c r="AB8" t="s">
        <v>17</v>
      </c>
      <c r="AC8" t="s">
        <v>339</v>
      </c>
    </row>
    <row r="9" spans="1:30" x14ac:dyDescent="0.25">
      <c r="A9" s="2">
        <v>41805</v>
      </c>
      <c r="B9" s="91"/>
      <c r="C9" t="s">
        <v>186</v>
      </c>
      <c r="D9" t="s">
        <v>43</v>
      </c>
      <c r="E9" s="19" t="s">
        <v>335</v>
      </c>
      <c r="G9" t="s">
        <v>256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232</v>
      </c>
      <c r="AB9" t="s">
        <v>17</v>
      </c>
      <c r="AC9" t="s">
        <v>338</v>
      </c>
    </row>
    <row r="10" spans="1:30" x14ac:dyDescent="0.25">
      <c r="A10" s="2">
        <v>41806</v>
      </c>
      <c r="B10" s="91"/>
      <c r="C10" t="s">
        <v>187</v>
      </c>
      <c r="D10" t="s">
        <v>44</v>
      </c>
      <c r="E10" s="19" t="s">
        <v>331</v>
      </c>
      <c r="G10" t="s">
        <v>257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233</v>
      </c>
      <c r="AB10" t="s">
        <v>18</v>
      </c>
      <c r="AC10" t="s">
        <v>339</v>
      </c>
    </row>
    <row r="11" spans="1:30" x14ac:dyDescent="0.25">
      <c r="A11" s="2">
        <v>41807</v>
      </c>
      <c r="C11" t="s">
        <v>188</v>
      </c>
      <c r="D11" t="s">
        <v>45</v>
      </c>
      <c r="E11" s="19" t="s">
        <v>332</v>
      </c>
      <c r="G11" t="s">
        <v>258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234</v>
      </c>
      <c r="AB11" t="s">
        <v>20</v>
      </c>
      <c r="AC11" t="s">
        <v>339</v>
      </c>
    </row>
    <row r="12" spans="1:30" x14ac:dyDescent="0.25">
      <c r="A12" s="2">
        <v>41808</v>
      </c>
      <c r="C12" t="s">
        <v>189</v>
      </c>
      <c r="D12" t="s">
        <v>46</v>
      </c>
      <c r="E12" s="19" t="s">
        <v>333</v>
      </c>
      <c r="G12" t="s">
        <v>259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340</v>
      </c>
      <c r="AB12" t="s">
        <v>16</v>
      </c>
      <c r="AC12" t="s">
        <v>338</v>
      </c>
    </row>
    <row r="13" spans="1:30" x14ac:dyDescent="0.25">
      <c r="A13" s="2">
        <v>41809</v>
      </c>
      <c r="C13" t="s">
        <v>190</v>
      </c>
      <c r="D13" t="s">
        <v>47</v>
      </c>
      <c r="E13" s="19" t="s">
        <v>334</v>
      </c>
      <c r="G13" t="s">
        <v>260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235</v>
      </c>
      <c r="AB13" t="s">
        <v>16</v>
      </c>
      <c r="AC13" t="s">
        <v>339</v>
      </c>
    </row>
    <row r="14" spans="1:30" x14ac:dyDescent="0.25">
      <c r="A14" s="2">
        <v>41810</v>
      </c>
      <c r="C14" t="s">
        <v>191</v>
      </c>
      <c r="D14" t="s">
        <v>48</v>
      </c>
      <c r="G14" t="s">
        <v>261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236</v>
      </c>
      <c r="AB14" t="s">
        <v>15</v>
      </c>
      <c r="AC14" t="s">
        <v>339</v>
      </c>
    </row>
    <row r="15" spans="1:30" x14ac:dyDescent="0.25">
      <c r="A15" s="2">
        <v>41811</v>
      </c>
      <c r="C15" t="s">
        <v>192</v>
      </c>
      <c r="D15" t="s">
        <v>49</v>
      </c>
      <c r="G15" t="s">
        <v>262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341</v>
      </c>
      <c r="AB15" t="s">
        <v>16</v>
      </c>
      <c r="AC15" t="s">
        <v>338</v>
      </c>
    </row>
    <row r="16" spans="1:30" x14ac:dyDescent="0.25">
      <c r="A16" s="2">
        <v>41812</v>
      </c>
      <c r="C16" t="s">
        <v>193</v>
      </c>
      <c r="D16" t="s">
        <v>50</v>
      </c>
      <c r="G16" t="s">
        <v>263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237</v>
      </c>
      <c r="AB16" t="s">
        <v>19</v>
      </c>
      <c r="AC16" t="s">
        <v>338</v>
      </c>
    </row>
    <row r="17" spans="1:29" x14ac:dyDescent="0.25">
      <c r="A17" s="2">
        <v>41813</v>
      </c>
      <c r="C17" t="s">
        <v>194</v>
      </c>
      <c r="D17" t="s">
        <v>51</v>
      </c>
      <c r="G17" t="s">
        <v>264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238</v>
      </c>
      <c r="AB17" t="s">
        <v>18</v>
      </c>
      <c r="AC17" t="s">
        <v>339</v>
      </c>
    </row>
    <row r="18" spans="1:29" x14ac:dyDescent="0.25">
      <c r="A18" s="2">
        <v>41814</v>
      </c>
      <c r="C18" t="s">
        <v>195</v>
      </c>
      <c r="D18" t="s">
        <v>52</v>
      </c>
      <c r="G18" t="s">
        <v>265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239</v>
      </c>
      <c r="AB18" t="s">
        <v>19</v>
      </c>
      <c r="AC18" t="s">
        <v>339</v>
      </c>
    </row>
    <row r="19" spans="1:29" x14ac:dyDescent="0.25">
      <c r="A19" s="2">
        <v>41815</v>
      </c>
      <c r="C19" t="s">
        <v>196</v>
      </c>
      <c r="D19" t="s">
        <v>53</v>
      </c>
      <c r="G19" t="s">
        <v>266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345</v>
      </c>
      <c r="AB19" t="s">
        <v>20</v>
      </c>
      <c r="AC19" t="s">
        <v>339</v>
      </c>
    </row>
    <row r="20" spans="1:29" x14ac:dyDescent="0.25">
      <c r="A20" s="2">
        <v>41816</v>
      </c>
      <c r="C20" t="s">
        <v>197</v>
      </c>
      <c r="D20" t="s">
        <v>54</v>
      </c>
      <c r="G20" t="s">
        <v>267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242</v>
      </c>
      <c r="AB20" t="s">
        <v>15</v>
      </c>
      <c r="AC20" t="s">
        <v>339</v>
      </c>
    </row>
    <row r="21" spans="1:29" x14ac:dyDescent="0.25">
      <c r="A21" s="2">
        <v>41817</v>
      </c>
      <c r="C21" t="s">
        <v>198</v>
      </c>
      <c r="D21" t="s">
        <v>55</v>
      </c>
      <c r="G21" t="s">
        <v>268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245</v>
      </c>
      <c r="AB21" t="s">
        <v>19</v>
      </c>
      <c r="AC21" t="s">
        <v>339</v>
      </c>
    </row>
    <row r="22" spans="1:29" x14ac:dyDescent="0.25">
      <c r="A22" s="2">
        <v>41818</v>
      </c>
      <c r="C22" t="s">
        <v>199</v>
      </c>
      <c r="D22" t="s">
        <v>56</v>
      </c>
      <c r="G22" t="s">
        <v>269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246</v>
      </c>
      <c r="AB22" t="s">
        <v>18</v>
      </c>
      <c r="AC22" t="s">
        <v>338</v>
      </c>
    </row>
    <row r="23" spans="1:29" x14ac:dyDescent="0.25">
      <c r="A23" s="2">
        <v>41819</v>
      </c>
      <c r="C23" t="s">
        <v>200</v>
      </c>
      <c r="D23" t="s">
        <v>57</v>
      </c>
      <c r="G23" t="s">
        <v>270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240</v>
      </c>
      <c r="AB23" t="s">
        <v>17</v>
      </c>
      <c r="AC23" t="s">
        <v>339</v>
      </c>
    </row>
    <row r="24" spans="1:29" x14ac:dyDescent="0.25">
      <c r="A24" s="2">
        <v>41820</v>
      </c>
      <c r="C24" t="s">
        <v>201</v>
      </c>
      <c r="D24" t="s">
        <v>58</v>
      </c>
      <c r="G24" t="s">
        <v>271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342</v>
      </c>
      <c r="AB24" t="s">
        <v>248</v>
      </c>
      <c r="AC24" t="s">
        <v>338</v>
      </c>
    </row>
    <row r="25" spans="1:29" x14ac:dyDescent="0.25">
      <c r="A25" s="2">
        <v>41821</v>
      </c>
      <c r="C25" t="s">
        <v>202</v>
      </c>
      <c r="D25" t="s">
        <v>59</v>
      </c>
      <c r="G25" t="s">
        <v>272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247</v>
      </c>
      <c r="AB25" t="s">
        <v>18</v>
      </c>
      <c r="AC25" t="s">
        <v>338</v>
      </c>
    </row>
    <row r="26" spans="1:29" x14ac:dyDescent="0.25">
      <c r="A26" s="2">
        <v>41822</v>
      </c>
      <c r="C26" t="s">
        <v>203</v>
      </c>
      <c r="D26" t="s">
        <v>60</v>
      </c>
      <c r="G26" t="s">
        <v>273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343</v>
      </c>
      <c r="AB26" t="s">
        <v>19</v>
      </c>
      <c r="AC26" t="s">
        <v>338</v>
      </c>
    </row>
    <row r="27" spans="1:29" x14ac:dyDescent="0.25">
      <c r="A27" s="2">
        <v>41823</v>
      </c>
      <c r="C27" t="s">
        <v>204</v>
      </c>
      <c r="D27" t="s">
        <v>61</v>
      </c>
      <c r="G27" t="s">
        <v>274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244</v>
      </c>
      <c r="AB27" t="s">
        <v>20</v>
      </c>
      <c r="AC27" t="s">
        <v>338</v>
      </c>
    </row>
    <row r="28" spans="1:29" x14ac:dyDescent="0.25">
      <c r="A28" s="2">
        <v>41824</v>
      </c>
      <c r="C28" t="s">
        <v>205</v>
      </c>
      <c r="D28" t="s">
        <v>62</v>
      </c>
      <c r="G28" t="s">
        <v>275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241</v>
      </c>
      <c r="AB28" t="s">
        <v>16</v>
      </c>
      <c r="AC28" t="s">
        <v>338</v>
      </c>
    </row>
    <row r="29" spans="1:29" x14ac:dyDescent="0.25">
      <c r="A29" s="2">
        <v>41825</v>
      </c>
      <c r="C29" t="s">
        <v>206</v>
      </c>
      <c r="D29" t="s">
        <v>63</v>
      </c>
      <c r="G29" t="s">
        <v>276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344</v>
      </c>
      <c r="AB29" t="s">
        <v>20</v>
      </c>
      <c r="AC29" t="s">
        <v>338</v>
      </c>
    </row>
    <row r="30" spans="1:29" x14ac:dyDescent="0.25">
      <c r="A30" s="2">
        <v>41826</v>
      </c>
      <c r="C30" t="s">
        <v>207</v>
      </c>
      <c r="D30" t="s">
        <v>64</v>
      </c>
      <c r="G30" t="s">
        <v>277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41827</v>
      </c>
      <c r="C31" t="s">
        <v>8</v>
      </c>
      <c r="D31" t="s">
        <v>65</v>
      </c>
      <c r="G31" t="s">
        <v>278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41828</v>
      </c>
      <c r="D32" t="s">
        <v>66</v>
      </c>
      <c r="G32" t="s">
        <v>376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41829</v>
      </c>
      <c r="D33" t="s">
        <v>67</v>
      </c>
      <c r="G33" t="s">
        <v>377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41830</v>
      </c>
      <c r="D34" t="s">
        <v>68</v>
      </c>
      <c r="G34" t="s">
        <v>279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41831</v>
      </c>
      <c r="D35" t="s">
        <v>69</v>
      </c>
      <c r="G35" t="s">
        <v>280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41832</v>
      </c>
      <c r="D36" t="s">
        <v>70</v>
      </c>
      <c r="G36" t="s">
        <v>281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41833</v>
      </c>
      <c r="D37" t="s">
        <v>71</v>
      </c>
      <c r="G37" t="s">
        <v>282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41834</v>
      </c>
      <c r="D38" t="s">
        <v>72</v>
      </c>
      <c r="G38" t="s">
        <v>283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41835</v>
      </c>
      <c r="D39" t="s">
        <v>73</v>
      </c>
      <c r="G39" t="s">
        <v>284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41836</v>
      </c>
      <c r="D40" t="s">
        <v>74</v>
      </c>
      <c r="G40" t="s">
        <v>285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41837</v>
      </c>
      <c r="D41" t="s">
        <v>75</v>
      </c>
      <c r="G41" t="s">
        <v>286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41838</v>
      </c>
      <c r="D42" t="s">
        <v>76</v>
      </c>
      <c r="G42" t="s">
        <v>287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41839</v>
      </c>
      <c r="D43" t="s">
        <v>77</v>
      </c>
      <c r="G43" t="s">
        <v>288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41840</v>
      </c>
      <c r="D44" t="s">
        <v>78</v>
      </c>
      <c r="G44" t="s">
        <v>289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41841</v>
      </c>
      <c r="D45" t="s">
        <v>79</v>
      </c>
      <c r="G45" t="s">
        <v>378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41842</v>
      </c>
      <c r="D46" t="s">
        <v>80</v>
      </c>
      <c r="G46" t="s">
        <v>290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41843</v>
      </c>
      <c r="D47" t="s">
        <v>81</v>
      </c>
      <c r="G47" t="s">
        <v>291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41844</v>
      </c>
      <c r="D48" t="s">
        <v>82</v>
      </c>
      <c r="G48" t="s">
        <v>292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41845</v>
      </c>
      <c r="D49" t="s">
        <v>83</v>
      </c>
      <c r="G49" t="s">
        <v>293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41846</v>
      </c>
      <c r="D50" t="s">
        <v>84</v>
      </c>
      <c r="G50" t="s">
        <v>294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41847</v>
      </c>
      <c r="D51" t="s">
        <v>85</v>
      </c>
      <c r="G51" t="s">
        <v>295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41848</v>
      </c>
      <c r="D52" t="s">
        <v>86</v>
      </c>
      <c r="G52" t="s">
        <v>296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41849</v>
      </c>
      <c r="D53" t="s">
        <v>87</v>
      </c>
      <c r="G53" t="s">
        <v>297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41850</v>
      </c>
      <c r="D54" t="s">
        <v>88</v>
      </c>
      <c r="G54" t="s">
        <v>298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41851</v>
      </c>
      <c r="D55" t="s">
        <v>89</v>
      </c>
      <c r="G55" t="s">
        <v>299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41852</v>
      </c>
      <c r="D56" t="s">
        <v>90</v>
      </c>
      <c r="G56" t="s">
        <v>300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41853</v>
      </c>
      <c r="D57" t="s">
        <v>91</v>
      </c>
      <c r="G57" t="s">
        <v>301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41854</v>
      </c>
      <c r="D58" t="s">
        <v>92</v>
      </c>
      <c r="G58" t="s">
        <v>302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41855</v>
      </c>
      <c r="D59" t="s">
        <v>93</v>
      </c>
      <c r="G59" t="s">
        <v>303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41856</v>
      </c>
      <c r="D60" t="s">
        <v>94</v>
      </c>
      <c r="G60" t="s">
        <v>304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41857</v>
      </c>
      <c r="D61" t="s">
        <v>95</v>
      </c>
      <c r="G61" t="s">
        <v>379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41858</v>
      </c>
      <c r="D62" t="s">
        <v>96</v>
      </c>
      <c r="G62" t="s">
        <v>305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41859</v>
      </c>
      <c r="D63" t="s">
        <v>97</v>
      </c>
      <c r="G63" t="s">
        <v>306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41860</v>
      </c>
      <c r="D64" t="s">
        <v>98</v>
      </c>
      <c r="G64" t="s">
        <v>307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41861</v>
      </c>
      <c r="D65" t="s">
        <v>99</v>
      </c>
      <c r="G65" t="s">
        <v>308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41862</v>
      </c>
      <c r="D66" t="s">
        <v>100</v>
      </c>
      <c r="G66" t="s">
        <v>309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41863</v>
      </c>
      <c r="D67" t="s">
        <v>101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41864</v>
      </c>
      <c r="D68" t="s">
        <v>102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41865</v>
      </c>
      <c r="D69" t="s">
        <v>103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41866</v>
      </c>
      <c r="D70" t="s">
        <v>104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41867</v>
      </c>
      <c r="D71" t="s">
        <v>105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41868</v>
      </c>
      <c r="D72" t="s">
        <v>106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41869</v>
      </c>
      <c r="D73" t="s">
        <v>107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108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109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110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111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112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113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114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115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116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117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118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119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120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121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122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123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124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125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126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127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128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129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130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131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132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133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134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135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136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137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138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139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140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141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142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143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144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145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146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147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148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149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150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151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152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153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154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155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156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157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158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159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160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161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162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163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164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165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166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167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168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169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170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171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172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173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174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175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176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177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11:24" x14ac:dyDescent="0.25"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11:24" x14ac:dyDescent="0.25"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11:24" x14ac:dyDescent="0.25"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11:24" x14ac:dyDescent="0.25"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11:24" x14ac:dyDescent="0.25"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11:24" x14ac:dyDescent="0.25"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11:24" x14ac:dyDescent="0.25"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11:24" x14ac:dyDescent="0.25"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11:24" x14ac:dyDescent="0.25"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11:24" x14ac:dyDescent="0.25"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11:24" x14ac:dyDescent="0.25"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11:24" x14ac:dyDescent="0.25"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11:24" x14ac:dyDescent="0.25"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11:24" x14ac:dyDescent="0.25"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11:24" x14ac:dyDescent="0.25"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11:24" x14ac:dyDescent="0.25"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11:24" x14ac:dyDescent="0.25"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11:24" x14ac:dyDescent="0.25"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11:24" x14ac:dyDescent="0.25"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11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11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11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11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11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11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11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11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11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11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11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11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11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4" sqref="B4"/>
    </sheetView>
  </sheetViews>
  <sheetFormatPr defaultRowHeight="15" x14ac:dyDescent="0.25"/>
  <cols>
    <col min="1" max="1" width="16.85546875" customWidth="1"/>
    <col min="2" max="2" width="19.5703125" style="91" customWidth="1"/>
  </cols>
  <sheetData>
    <row r="1" spans="1:2" x14ac:dyDescent="0.25">
      <c r="A1" t="s">
        <v>380</v>
      </c>
    </row>
    <row r="2" spans="1:2" x14ac:dyDescent="0.25">
      <c r="A2" t="s">
        <v>381</v>
      </c>
      <c r="B2" s="91">
        <v>41908.663738425923</v>
      </c>
    </row>
    <row r="3" spans="1:2" x14ac:dyDescent="0.25">
      <c r="A3" t="s">
        <v>382</v>
      </c>
      <c r="B3" s="91">
        <v>41908.666296296295</v>
      </c>
    </row>
    <row r="4" spans="1:2" x14ac:dyDescent="0.25">
      <c r="A4" t="s">
        <v>383</v>
      </c>
      <c r="B4" s="91">
        <v>41813.576469907406</v>
      </c>
    </row>
    <row r="5" spans="1:2" x14ac:dyDescent="0.25">
      <c r="B5" s="91">
        <v>41813.573877314811</v>
      </c>
    </row>
    <row r="6" spans="1:2" x14ac:dyDescent="0.25">
      <c r="B6" s="91">
        <v>41802.639062499999</v>
      </c>
    </row>
    <row r="7" spans="1:2" x14ac:dyDescent="0.25">
      <c r="B7" s="91">
        <v>41800.672997685186</v>
      </c>
    </row>
    <row r="8" spans="1:2" x14ac:dyDescent="0.25">
      <c r="B8" s="91">
        <v>41796.851041666669</v>
      </c>
    </row>
    <row r="9" spans="1:2" x14ac:dyDescent="0.25">
      <c r="B9" s="91">
        <v>41796.822939814818</v>
      </c>
    </row>
    <row r="10" spans="1:2" x14ac:dyDescent="0.25">
      <c r="B10" s="91">
        <v>41796.820277777777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2014-09-26T14:59:28Z</dcterms:modified>
</cp:coreProperties>
</file>