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105" windowWidth="15480" windowHeight="4245" activeTab="1"/>
  </bookViews>
  <sheets>
    <sheet name="Welcome" sheetId="5" r:id="rId1"/>
    <sheet name="Data" sheetId="1" r:id="rId2"/>
    <sheet name="Records" sheetId="3" r:id="rId3"/>
    <sheet name="Rec_Prep" sheetId="2" r:id="rId4"/>
    <sheet name="Lists" sheetId="4" r:id="rId5"/>
  </sheets>
  <definedNames>
    <definedName name="_xlnm._FilterDatabase" localSheetId="1" hidden="1">Data!$A$1:$S$79</definedName>
    <definedName name="_xlnm._FilterDatabase" localSheetId="3" hidden="1">Rec_Prep!$C$1:$C$1</definedName>
    <definedName name="Camp">Lists!$C$3:$C$9</definedName>
    <definedName name="Camp2">#REF!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Observer">Lists!$F$3:$F$10</definedName>
    <definedName name="Observers">Lists!$F$3:$F$10</definedName>
    <definedName name="Sex">Lists!$I$3:$I$5</definedName>
    <definedName name="Sight">Lists!$J$3:$J$5</definedName>
    <definedName name="Site">Lists!$E$3:$E$144</definedName>
    <definedName name="Species">Lists!$H$3:$H$276</definedName>
    <definedName name="Transect">Lists!$D$3:$D$31</definedName>
  </definedNames>
  <calcPr calcId="145621"/>
</workbook>
</file>

<file path=xl/calcChain.xml><?xml version="1.0" encoding="utf-8"?>
<calcChain xmlns="http://schemas.openxmlformats.org/spreadsheetml/2006/main">
  <c r="Q79" i="3" l="1"/>
  <c r="P79" i="3"/>
  <c r="O79" i="3"/>
  <c r="N79" i="3"/>
  <c r="J79" i="3"/>
  <c r="I79" i="3"/>
  <c r="H79" i="3"/>
  <c r="G79" i="3"/>
  <c r="F79" i="3"/>
  <c r="E79" i="3"/>
  <c r="D79" i="3"/>
  <c r="C79" i="3"/>
  <c r="B79" i="3"/>
  <c r="A79" i="3" s="1"/>
  <c r="Q78" i="3"/>
  <c r="P78" i="3"/>
  <c r="O78" i="3"/>
  <c r="N78" i="3"/>
  <c r="J78" i="3"/>
  <c r="I78" i="3"/>
  <c r="H78" i="3"/>
  <c r="G78" i="3"/>
  <c r="F78" i="3"/>
  <c r="E78" i="3"/>
  <c r="D78" i="3"/>
  <c r="C78" i="3"/>
  <c r="B78" i="3"/>
  <c r="A78" i="3" s="1"/>
  <c r="Q77" i="3"/>
  <c r="P77" i="3"/>
  <c r="O77" i="3"/>
  <c r="N77" i="3"/>
  <c r="J77" i="3"/>
  <c r="I77" i="3"/>
  <c r="H77" i="3"/>
  <c r="G77" i="3"/>
  <c r="F77" i="3"/>
  <c r="E77" i="3"/>
  <c r="D77" i="3"/>
  <c r="C77" i="3"/>
  <c r="B77" i="3"/>
  <c r="A77" i="3" s="1"/>
  <c r="Q76" i="3"/>
  <c r="P76" i="3"/>
  <c r="O76" i="3"/>
  <c r="N76" i="3"/>
  <c r="J76" i="3"/>
  <c r="I76" i="3"/>
  <c r="H76" i="3"/>
  <c r="G76" i="3"/>
  <c r="F76" i="3"/>
  <c r="E76" i="3"/>
  <c r="D76" i="3"/>
  <c r="C76" i="3"/>
  <c r="B76" i="3"/>
  <c r="A76" i="3" s="1"/>
  <c r="Q75" i="3"/>
  <c r="P75" i="3"/>
  <c r="O75" i="3"/>
  <c r="N75" i="3"/>
  <c r="J75" i="3"/>
  <c r="I75" i="3"/>
  <c r="H75" i="3"/>
  <c r="G75" i="3"/>
  <c r="F75" i="3"/>
  <c r="E75" i="3"/>
  <c r="D75" i="3"/>
  <c r="C75" i="3"/>
  <c r="B75" i="3"/>
  <c r="A75" i="3" s="1"/>
  <c r="Q74" i="3"/>
  <c r="P74" i="3"/>
  <c r="O74" i="3"/>
  <c r="N74" i="3"/>
  <c r="J74" i="3"/>
  <c r="I74" i="3"/>
  <c r="H74" i="3"/>
  <c r="G74" i="3"/>
  <c r="F74" i="3"/>
  <c r="E74" i="3"/>
  <c r="D74" i="3"/>
  <c r="C74" i="3"/>
  <c r="B74" i="3"/>
  <c r="A74" i="3" s="1"/>
  <c r="Q73" i="3"/>
  <c r="P73" i="3"/>
  <c r="O73" i="3"/>
  <c r="N73" i="3"/>
  <c r="J73" i="3"/>
  <c r="I73" i="3"/>
  <c r="H73" i="3"/>
  <c r="G73" i="3"/>
  <c r="F73" i="3"/>
  <c r="E73" i="3"/>
  <c r="D73" i="3"/>
  <c r="C73" i="3"/>
  <c r="B73" i="3"/>
  <c r="A73" i="3" s="1"/>
  <c r="Q72" i="3"/>
  <c r="P72" i="3"/>
  <c r="O72" i="3"/>
  <c r="N72" i="3"/>
  <c r="J72" i="3"/>
  <c r="I72" i="3"/>
  <c r="H72" i="3"/>
  <c r="G72" i="3"/>
  <c r="F72" i="3"/>
  <c r="E72" i="3"/>
  <c r="D72" i="3"/>
  <c r="C72" i="3"/>
  <c r="B72" i="3"/>
  <c r="A72" i="3" s="1"/>
  <c r="Q71" i="3"/>
  <c r="P71" i="3"/>
  <c r="O71" i="3"/>
  <c r="N71" i="3"/>
  <c r="J71" i="3"/>
  <c r="I71" i="3"/>
  <c r="H71" i="3"/>
  <c r="G71" i="3"/>
  <c r="F71" i="3"/>
  <c r="E71" i="3"/>
  <c r="D71" i="3"/>
  <c r="C71" i="3"/>
  <c r="B71" i="3"/>
  <c r="A71" i="3" s="1"/>
  <c r="Q70" i="3"/>
  <c r="P70" i="3"/>
  <c r="O70" i="3"/>
  <c r="N70" i="3"/>
  <c r="J70" i="3"/>
  <c r="I70" i="3"/>
  <c r="H70" i="3"/>
  <c r="G70" i="3"/>
  <c r="F70" i="3"/>
  <c r="E70" i="3"/>
  <c r="D70" i="3"/>
  <c r="C70" i="3"/>
  <c r="B70" i="3"/>
  <c r="A70" i="3"/>
  <c r="Q69" i="3"/>
  <c r="P69" i="3"/>
  <c r="O69" i="3"/>
  <c r="N69" i="3"/>
  <c r="J69" i="3"/>
  <c r="I69" i="3"/>
  <c r="H69" i="3"/>
  <c r="G69" i="3"/>
  <c r="F69" i="3"/>
  <c r="E69" i="3"/>
  <c r="D69" i="3"/>
  <c r="C69" i="3"/>
  <c r="B69" i="3"/>
  <c r="A69" i="3"/>
  <c r="Q68" i="3"/>
  <c r="P68" i="3"/>
  <c r="O68" i="3"/>
  <c r="N68" i="3"/>
  <c r="J68" i="3"/>
  <c r="I68" i="3"/>
  <c r="H68" i="3"/>
  <c r="G68" i="3"/>
  <c r="F68" i="3"/>
  <c r="E68" i="3"/>
  <c r="D68" i="3"/>
  <c r="C68" i="3"/>
  <c r="B68" i="3"/>
  <c r="A68" i="3"/>
  <c r="Q67" i="3"/>
  <c r="P67" i="3"/>
  <c r="O67" i="3"/>
  <c r="N67" i="3"/>
  <c r="J67" i="3"/>
  <c r="I67" i="3"/>
  <c r="H67" i="3"/>
  <c r="G67" i="3"/>
  <c r="F67" i="3"/>
  <c r="E67" i="3"/>
  <c r="D67" i="3"/>
  <c r="C67" i="3"/>
  <c r="B67" i="3"/>
  <c r="A67" i="3"/>
  <c r="Q66" i="3"/>
  <c r="P66" i="3"/>
  <c r="O66" i="3"/>
  <c r="N66" i="3"/>
  <c r="J66" i="3"/>
  <c r="I66" i="3"/>
  <c r="H66" i="3"/>
  <c r="G66" i="3"/>
  <c r="F66" i="3"/>
  <c r="E66" i="3"/>
  <c r="D66" i="3"/>
  <c r="C66" i="3"/>
  <c r="B66" i="3"/>
  <c r="A66" i="3"/>
  <c r="Q65" i="3"/>
  <c r="P65" i="3"/>
  <c r="O65" i="3"/>
  <c r="N65" i="3"/>
  <c r="J65" i="3"/>
  <c r="I65" i="3"/>
  <c r="H65" i="3"/>
  <c r="G65" i="3"/>
  <c r="F65" i="3"/>
  <c r="E65" i="3"/>
  <c r="D65" i="3"/>
  <c r="C65" i="3"/>
  <c r="B65" i="3"/>
  <c r="A65" i="3"/>
  <c r="Q64" i="3"/>
  <c r="P64" i="3"/>
  <c r="O64" i="3"/>
  <c r="N64" i="3"/>
  <c r="J64" i="3"/>
  <c r="I64" i="3"/>
  <c r="H64" i="3"/>
  <c r="G64" i="3"/>
  <c r="F64" i="3"/>
  <c r="E64" i="3"/>
  <c r="D64" i="3"/>
  <c r="C64" i="3"/>
  <c r="B64" i="3"/>
  <c r="A64" i="3"/>
  <c r="Q63" i="3"/>
  <c r="P63" i="3"/>
  <c r="O63" i="3"/>
  <c r="N63" i="3"/>
  <c r="J63" i="3"/>
  <c r="I63" i="3"/>
  <c r="H63" i="3"/>
  <c r="G63" i="3"/>
  <c r="F63" i="3"/>
  <c r="E63" i="3"/>
  <c r="D63" i="3"/>
  <c r="C63" i="3"/>
  <c r="B63" i="3"/>
  <c r="A63" i="3"/>
  <c r="Q62" i="3"/>
  <c r="P62" i="3"/>
  <c r="O62" i="3"/>
  <c r="N62" i="3"/>
  <c r="J62" i="3"/>
  <c r="I62" i="3"/>
  <c r="H62" i="3"/>
  <c r="G62" i="3"/>
  <c r="F62" i="3"/>
  <c r="E62" i="3"/>
  <c r="D62" i="3"/>
  <c r="C62" i="3"/>
  <c r="B62" i="3"/>
  <c r="A62" i="3"/>
  <c r="Q61" i="3"/>
  <c r="P61" i="3"/>
  <c r="O61" i="3"/>
  <c r="N61" i="3"/>
  <c r="J61" i="3"/>
  <c r="I61" i="3"/>
  <c r="H61" i="3"/>
  <c r="G61" i="3"/>
  <c r="F61" i="3"/>
  <c r="E61" i="3"/>
  <c r="D61" i="3"/>
  <c r="C61" i="3"/>
  <c r="B61" i="3"/>
  <c r="A61" i="3"/>
  <c r="Q60" i="3"/>
  <c r="P60" i="3"/>
  <c r="O60" i="3"/>
  <c r="N60" i="3"/>
  <c r="J60" i="3"/>
  <c r="I60" i="3"/>
  <c r="H60" i="3"/>
  <c r="G60" i="3"/>
  <c r="F60" i="3"/>
  <c r="E60" i="3"/>
  <c r="D60" i="3"/>
  <c r="C60" i="3"/>
  <c r="B60" i="3"/>
  <c r="A60" i="3"/>
  <c r="Q59" i="3"/>
  <c r="P59" i="3"/>
  <c r="O59" i="3"/>
  <c r="N59" i="3"/>
  <c r="J59" i="3"/>
  <c r="I59" i="3"/>
  <c r="H59" i="3"/>
  <c r="G59" i="3"/>
  <c r="F59" i="3"/>
  <c r="E59" i="3"/>
  <c r="D59" i="3"/>
  <c r="C59" i="3"/>
  <c r="B59" i="3"/>
  <c r="A59" i="3"/>
  <c r="Q58" i="3"/>
  <c r="P58" i="3"/>
  <c r="O58" i="3"/>
  <c r="N58" i="3"/>
  <c r="J58" i="3"/>
  <c r="I58" i="3"/>
  <c r="H58" i="3"/>
  <c r="G58" i="3"/>
  <c r="F58" i="3"/>
  <c r="E58" i="3"/>
  <c r="D58" i="3"/>
  <c r="C58" i="3"/>
  <c r="B58" i="3"/>
  <c r="A58" i="3"/>
  <c r="Q57" i="3"/>
  <c r="P57" i="3"/>
  <c r="O57" i="3"/>
  <c r="N57" i="3"/>
  <c r="J57" i="3"/>
  <c r="I57" i="3"/>
  <c r="H57" i="3"/>
  <c r="G57" i="3"/>
  <c r="F57" i="3"/>
  <c r="E57" i="3"/>
  <c r="D57" i="3"/>
  <c r="C57" i="3"/>
  <c r="B57" i="3"/>
  <c r="A57" i="3"/>
  <c r="Q56" i="3"/>
  <c r="P56" i="3"/>
  <c r="O56" i="3"/>
  <c r="N56" i="3"/>
  <c r="J56" i="3"/>
  <c r="I56" i="3"/>
  <c r="H56" i="3"/>
  <c r="G56" i="3"/>
  <c r="F56" i="3"/>
  <c r="E56" i="3"/>
  <c r="D56" i="3"/>
  <c r="C56" i="3"/>
  <c r="B56" i="3"/>
  <c r="A56" i="3"/>
  <c r="Q55" i="3"/>
  <c r="P55" i="3"/>
  <c r="O55" i="3"/>
  <c r="N55" i="3"/>
  <c r="J55" i="3"/>
  <c r="I55" i="3"/>
  <c r="H55" i="3"/>
  <c r="G55" i="3"/>
  <c r="F55" i="3"/>
  <c r="E55" i="3"/>
  <c r="D55" i="3"/>
  <c r="C55" i="3"/>
  <c r="B55" i="3"/>
  <c r="A55" i="3"/>
  <c r="Q54" i="3"/>
  <c r="P54" i="3"/>
  <c r="O54" i="3"/>
  <c r="N54" i="3"/>
  <c r="J54" i="3"/>
  <c r="I54" i="3"/>
  <c r="H54" i="3"/>
  <c r="G54" i="3"/>
  <c r="F54" i="3"/>
  <c r="E54" i="3"/>
  <c r="D54" i="3"/>
  <c r="C54" i="3"/>
  <c r="B54" i="3"/>
  <c r="A54" i="3"/>
  <c r="Q53" i="3"/>
  <c r="P53" i="3"/>
  <c r="O53" i="3"/>
  <c r="N53" i="3"/>
  <c r="J53" i="3"/>
  <c r="I53" i="3"/>
  <c r="H53" i="3"/>
  <c r="G53" i="3"/>
  <c r="F53" i="3"/>
  <c r="E53" i="3"/>
  <c r="D53" i="3"/>
  <c r="C53" i="3"/>
  <c r="B53" i="3"/>
  <c r="A53" i="3"/>
  <c r="Q52" i="3"/>
  <c r="P52" i="3"/>
  <c r="O52" i="3"/>
  <c r="N52" i="3"/>
  <c r="J52" i="3"/>
  <c r="I52" i="3"/>
  <c r="H52" i="3"/>
  <c r="G52" i="3"/>
  <c r="F52" i="3"/>
  <c r="E52" i="3"/>
  <c r="D52" i="3"/>
  <c r="C52" i="3"/>
  <c r="B52" i="3"/>
  <c r="A52" i="3"/>
  <c r="Q51" i="3"/>
  <c r="P51" i="3"/>
  <c r="O51" i="3"/>
  <c r="N51" i="3"/>
  <c r="J51" i="3"/>
  <c r="I51" i="3"/>
  <c r="H51" i="3"/>
  <c r="G51" i="3"/>
  <c r="F51" i="3"/>
  <c r="E51" i="3"/>
  <c r="D51" i="3"/>
  <c r="C51" i="3"/>
  <c r="B51" i="3"/>
  <c r="A51" i="3"/>
  <c r="Q50" i="3"/>
  <c r="P50" i="3"/>
  <c r="O50" i="3"/>
  <c r="N50" i="3"/>
  <c r="J50" i="3"/>
  <c r="I50" i="3"/>
  <c r="H50" i="3"/>
  <c r="G50" i="3"/>
  <c r="F50" i="3"/>
  <c r="E50" i="3"/>
  <c r="D50" i="3"/>
  <c r="C50" i="3"/>
  <c r="B50" i="3"/>
  <c r="A50" i="3"/>
  <c r="Q49" i="3"/>
  <c r="P49" i="3"/>
  <c r="O49" i="3"/>
  <c r="N49" i="3"/>
  <c r="J49" i="3"/>
  <c r="I49" i="3"/>
  <c r="H49" i="3"/>
  <c r="G49" i="3"/>
  <c r="F49" i="3"/>
  <c r="E49" i="3"/>
  <c r="D49" i="3"/>
  <c r="C49" i="3"/>
  <c r="B49" i="3"/>
  <c r="A49" i="3"/>
  <c r="Q48" i="3"/>
  <c r="P48" i="3"/>
  <c r="O48" i="3"/>
  <c r="N48" i="3"/>
  <c r="J48" i="3"/>
  <c r="I48" i="3"/>
  <c r="H48" i="3"/>
  <c r="G48" i="3"/>
  <c r="F48" i="3"/>
  <c r="E48" i="3"/>
  <c r="D48" i="3"/>
  <c r="C48" i="3"/>
  <c r="B48" i="3"/>
  <c r="A48" i="3"/>
  <c r="Q47" i="3"/>
  <c r="P47" i="3"/>
  <c r="O47" i="3"/>
  <c r="N47" i="3"/>
  <c r="J47" i="3"/>
  <c r="I47" i="3"/>
  <c r="H47" i="3"/>
  <c r="G47" i="3"/>
  <c r="F47" i="3"/>
  <c r="E47" i="3"/>
  <c r="D47" i="3"/>
  <c r="C47" i="3"/>
  <c r="B47" i="3"/>
  <c r="A47" i="3"/>
  <c r="Q46" i="3"/>
  <c r="P46" i="3"/>
  <c r="O46" i="3"/>
  <c r="N46" i="3"/>
  <c r="J46" i="3"/>
  <c r="I46" i="3"/>
  <c r="H46" i="3"/>
  <c r="G46" i="3"/>
  <c r="F46" i="3"/>
  <c r="E46" i="3"/>
  <c r="D46" i="3"/>
  <c r="C46" i="3"/>
  <c r="B46" i="3"/>
  <c r="A46" i="3"/>
  <c r="Q45" i="3"/>
  <c r="P45" i="3"/>
  <c r="O45" i="3"/>
  <c r="N45" i="3"/>
  <c r="J45" i="3"/>
  <c r="I45" i="3"/>
  <c r="H45" i="3"/>
  <c r="G45" i="3"/>
  <c r="F45" i="3"/>
  <c r="E45" i="3"/>
  <c r="D45" i="3"/>
  <c r="C45" i="3"/>
  <c r="B45" i="3"/>
  <c r="A45" i="3"/>
  <c r="Q44" i="3"/>
  <c r="P44" i="3"/>
  <c r="O44" i="3"/>
  <c r="N44" i="3"/>
  <c r="J44" i="3"/>
  <c r="I44" i="3"/>
  <c r="H44" i="3"/>
  <c r="G44" i="3"/>
  <c r="F44" i="3"/>
  <c r="E44" i="3"/>
  <c r="D44" i="3"/>
  <c r="C44" i="3"/>
  <c r="B44" i="3"/>
  <c r="A44" i="3"/>
  <c r="Q43" i="3"/>
  <c r="P43" i="3"/>
  <c r="O43" i="3"/>
  <c r="N43" i="3"/>
  <c r="J43" i="3"/>
  <c r="I43" i="3"/>
  <c r="H43" i="3"/>
  <c r="G43" i="3"/>
  <c r="F43" i="3"/>
  <c r="E43" i="3"/>
  <c r="D43" i="3"/>
  <c r="C43" i="3"/>
  <c r="B43" i="3"/>
  <c r="A43" i="3"/>
  <c r="Q42" i="3"/>
  <c r="P42" i="3"/>
  <c r="O42" i="3"/>
  <c r="N42" i="3"/>
  <c r="J42" i="3"/>
  <c r="I42" i="3"/>
  <c r="H42" i="3"/>
  <c r="G42" i="3"/>
  <c r="F42" i="3"/>
  <c r="E42" i="3"/>
  <c r="D42" i="3"/>
  <c r="C42" i="3"/>
  <c r="B42" i="3"/>
  <c r="A42" i="3"/>
  <c r="Q41" i="3"/>
  <c r="P41" i="3"/>
  <c r="O41" i="3"/>
  <c r="N41" i="3"/>
  <c r="J41" i="3"/>
  <c r="I41" i="3"/>
  <c r="H41" i="3"/>
  <c r="G41" i="3"/>
  <c r="F41" i="3"/>
  <c r="E41" i="3"/>
  <c r="D41" i="3"/>
  <c r="C41" i="3"/>
  <c r="B41" i="3"/>
  <c r="A41" i="3"/>
  <c r="Q40" i="3"/>
  <c r="P40" i="3"/>
  <c r="O40" i="3"/>
  <c r="N40" i="3"/>
  <c r="J40" i="3"/>
  <c r="I40" i="3"/>
  <c r="H40" i="3"/>
  <c r="G40" i="3"/>
  <c r="F40" i="3"/>
  <c r="E40" i="3"/>
  <c r="D40" i="3"/>
  <c r="C40" i="3"/>
  <c r="B40" i="3"/>
  <c r="A40" i="3"/>
  <c r="Q39" i="3"/>
  <c r="P39" i="3"/>
  <c r="O39" i="3"/>
  <c r="N39" i="3"/>
  <c r="J39" i="3"/>
  <c r="I39" i="3"/>
  <c r="H39" i="3"/>
  <c r="G39" i="3"/>
  <c r="F39" i="3"/>
  <c r="E39" i="3"/>
  <c r="D39" i="3"/>
  <c r="C39" i="3"/>
  <c r="B39" i="3"/>
  <c r="A39" i="3"/>
  <c r="Q38" i="3"/>
  <c r="P38" i="3"/>
  <c r="O38" i="3"/>
  <c r="N38" i="3"/>
  <c r="J38" i="3"/>
  <c r="I38" i="3"/>
  <c r="H38" i="3"/>
  <c r="G38" i="3"/>
  <c r="F38" i="3"/>
  <c r="E38" i="3"/>
  <c r="D38" i="3"/>
  <c r="C38" i="3"/>
  <c r="B38" i="3"/>
  <c r="A38" i="3"/>
  <c r="Q37" i="3"/>
  <c r="P37" i="3"/>
  <c r="O37" i="3"/>
  <c r="N37" i="3"/>
  <c r="J37" i="3"/>
  <c r="I37" i="3"/>
  <c r="H37" i="3"/>
  <c r="G37" i="3"/>
  <c r="F37" i="3"/>
  <c r="E37" i="3"/>
  <c r="D37" i="3"/>
  <c r="C37" i="3"/>
  <c r="B37" i="3"/>
  <c r="A37" i="3"/>
  <c r="Q36" i="3"/>
  <c r="P36" i="3"/>
  <c r="O36" i="3"/>
  <c r="N36" i="3"/>
  <c r="J36" i="3"/>
  <c r="I36" i="3"/>
  <c r="H36" i="3"/>
  <c r="G36" i="3"/>
  <c r="F36" i="3"/>
  <c r="E36" i="3"/>
  <c r="D36" i="3"/>
  <c r="C36" i="3"/>
  <c r="B36" i="3"/>
  <c r="A36" i="3"/>
  <c r="Q35" i="3"/>
  <c r="P35" i="3"/>
  <c r="O35" i="3"/>
  <c r="N35" i="3"/>
  <c r="J35" i="3"/>
  <c r="I35" i="3"/>
  <c r="H35" i="3"/>
  <c r="G35" i="3"/>
  <c r="F35" i="3"/>
  <c r="E35" i="3"/>
  <c r="D35" i="3"/>
  <c r="C35" i="3"/>
  <c r="B35" i="3"/>
  <c r="A35" i="3"/>
  <c r="Q34" i="3"/>
  <c r="P34" i="3"/>
  <c r="O34" i="3"/>
  <c r="N34" i="3"/>
  <c r="J34" i="3"/>
  <c r="I34" i="3"/>
  <c r="H34" i="3"/>
  <c r="G34" i="3"/>
  <c r="F34" i="3"/>
  <c r="E34" i="3"/>
  <c r="D34" i="3"/>
  <c r="C34" i="3"/>
  <c r="B34" i="3"/>
  <c r="A34" i="3"/>
  <c r="Q33" i="3"/>
  <c r="P33" i="3"/>
  <c r="O33" i="3"/>
  <c r="N33" i="3"/>
  <c r="J33" i="3"/>
  <c r="I33" i="3"/>
  <c r="H33" i="3"/>
  <c r="G33" i="3"/>
  <c r="F33" i="3"/>
  <c r="E33" i="3"/>
  <c r="D33" i="3"/>
  <c r="C33" i="3"/>
  <c r="B33" i="3"/>
  <c r="A33" i="3"/>
  <c r="Q32" i="3"/>
  <c r="P32" i="3"/>
  <c r="O32" i="3"/>
  <c r="N32" i="3"/>
  <c r="J32" i="3"/>
  <c r="I32" i="3"/>
  <c r="H32" i="3"/>
  <c r="G32" i="3"/>
  <c r="F32" i="3"/>
  <c r="E32" i="3"/>
  <c r="D32" i="3"/>
  <c r="C32" i="3"/>
  <c r="B32" i="3"/>
  <c r="A32" i="3"/>
  <c r="Q31" i="3"/>
  <c r="P31" i="3"/>
  <c r="O31" i="3"/>
  <c r="N31" i="3"/>
  <c r="J31" i="3"/>
  <c r="I31" i="3"/>
  <c r="H31" i="3"/>
  <c r="G31" i="3"/>
  <c r="F31" i="3"/>
  <c r="E31" i="3"/>
  <c r="D31" i="3"/>
  <c r="C31" i="3"/>
  <c r="B31" i="3"/>
  <c r="A31" i="3"/>
  <c r="Q30" i="3"/>
  <c r="P30" i="3"/>
  <c r="O30" i="3"/>
  <c r="N30" i="3"/>
  <c r="J30" i="3"/>
  <c r="I30" i="3"/>
  <c r="H30" i="3"/>
  <c r="G30" i="3"/>
  <c r="F30" i="3"/>
  <c r="E30" i="3"/>
  <c r="D30" i="3"/>
  <c r="C30" i="3"/>
  <c r="B30" i="3"/>
  <c r="A30" i="3"/>
  <c r="Q29" i="3"/>
  <c r="P29" i="3"/>
  <c r="O29" i="3"/>
  <c r="N29" i="3"/>
  <c r="J29" i="3"/>
  <c r="I29" i="3"/>
  <c r="H29" i="3"/>
  <c r="G29" i="3"/>
  <c r="F29" i="3"/>
  <c r="E29" i="3"/>
  <c r="D29" i="3"/>
  <c r="C29" i="3"/>
  <c r="B29" i="3"/>
  <c r="A29" i="3"/>
  <c r="Q28" i="3"/>
  <c r="P28" i="3"/>
  <c r="O28" i="3"/>
  <c r="N28" i="3"/>
  <c r="J28" i="3"/>
  <c r="I28" i="3"/>
  <c r="H28" i="3"/>
  <c r="G28" i="3"/>
  <c r="F28" i="3"/>
  <c r="E28" i="3"/>
  <c r="D28" i="3"/>
  <c r="C28" i="3"/>
  <c r="B28" i="3"/>
  <c r="A28" i="3"/>
  <c r="Q27" i="3"/>
  <c r="P27" i="3"/>
  <c r="O27" i="3"/>
  <c r="N27" i="3"/>
  <c r="J27" i="3"/>
  <c r="I27" i="3"/>
  <c r="H27" i="3"/>
  <c r="G27" i="3"/>
  <c r="F27" i="3"/>
  <c r="E27" i="3"/>
  <c r="D27" i="3"/>
  <c r="C27" i="3"/>
  <c r="B27" i="3"/>
  <c r="A27" i="3"/>
  <c r="Q26" i="3"/>
  <c r="P26" i="3"/>
  <c r="O26" i="3"/>
  <c r="N26" i="3"/>
  <c r="J26" i="3"/>
  <c r="I26" i="3"/>
  <c r="H26" i="3"/>
  <c r="G26" i="3"/>
  <c r="F26" i="3"/>
  <c r="E26" i="3"/>
  <c r="D26" i="3"/>
  <c r="C26" i="3"/>
  <c r="B26" i="3"/>
  <c r="A26" i="3"/>
  <c r="Q25" i="3"/>
  <c r="P25" i="3"/>
  <c r="O25" i="3"/>
  <c r="N25" i="3"/>
  <c r="J25" i="3"/>
  <c r="I25" i="3"/>
  <c r="H25" i="3"/>
  <c r="G25" i="3"/>
  <c r="F25" i="3"/>
  <c r="E25" i="3"/>
  <c r="D25" i="3"/>
  <c r="C25" i="3"/>
  <c r="B25" i="3"/>
  <c r="A25" i="3"/>
  <c r="Q24" i="3"/>
  <c r="P24" i="3"/>
  <c r="O24" i="3"/>
  <c r="N24" i="3"/>
  <c r="J24" i="3"/>
  <c r="I24" i="3"/>
  <c r="H24" i="3"/>
  <c r="G24" i="3"/>
  <c r="F24" i="3"/>
  <c r="E24" i="3"/>
  <c r="D24" i="3"/>
  <c r="C24" i="3"/>
  <c r="B24" i="3"/>
  <c r="A24" i="3"/>
  <c r="Q23" i="3"/>
  <c r="P23" i="3"/>
  <c r="O23" i="3"/>
  <c r="N23" i="3"/>
  <c r="J23" i="3"/>
  <c r="I23" i="3"/>
  <c r="H23" i="3"/>
  <c r="G23" i="3"/>
  <c r="F23" i="3"/>
  <c r="E23" i="3"/>
  <c r="D23" i="3"/>
  <c r="C23" i="3"/>
  <c r="B23" i="3"/>
  <c r="A23" i="3"/>
  <c r="Q22" i="3"/>
  <c r="P22" i="3"/>
  <c r="O22" i="3"/>
  <c r="N22" i="3"/>
  <c r="J22" i="3"/>
  <c r="I22" i="3"/>
  <c r="H22" i="3"/>
  <c r="G22" i="3"/>
  <c r="F22" i="3"/>
  <c r="E22" i="3"/>
  <c r="D22" i="3"/>
  <c r="C22" i="3"/>
  <c r="B22" i="3"/>
  <c r="A22" i="3"/>
  <c r="Q21" i="3"/>
  <c r="P21" i="3"/>
  <c r="O21" i="3"/>
  <c r="N21" i="3"/>
  <c r="J21" i="3"/>
  <c r="I21" i="3"/>
  <c r="H21" i="3"/>
  <c r="G21" i="3"/>
  <c r="F21" i="3"/>
  <c r="E21" i="3"/>
  <c r="D21" i="3"/>
  <c r="C21" i="3"/>
  <c r="B21" i="3"/>
  <c r="A21" i="3"/>
  <c r="Q20" i="3"/>
  <c r="P20" i="3"/>
  <c r="O20" i="3"/>
  <c r="N20" i="3"/>
  <c r="J20" i="3"/>
  <c r="I20" i="3"/>
  <c r="H20" i="3"/>
  <c r="G20" i="3"/>
  <c r="F20" i="3"/>
  <c r="E20" i="3"/>
  <c r="D20" i="3"/>
  <c r="C20" i="3"/>
  <c r="B20" i="3"/>
  <c r="A20" i="3"/>
  <c r="Q19" i="3"/>
  <c r="P19" i="3"/>
  <c r="O19" i="3"/>
  <c r="N19" i="3"/>
  <c r="J19" i="3"/>
  <c r="I19" i="3"/>
  <c r="H19" i="3"/>
  <c r="G19" i="3"/>
  <c r="F19" i="3"/>
  <c r="E19" i="3"/>
  <c r="D19" i="3"/>
  <c r="C19" i="3"/>
  <c r="B19" i="3"/>
  <c r="A19" i="3"/>
  <c r="Q18" i="3"/>
  <c r="P18" i="3"/>
  <c r="O18" i="3"/>
  <c r="N18" i="3"/>
  <c r="J18" i="3"/>
  <c r="I18" i="3"/>
  <c r="H18" i="3"/>
  <c r="G18" i="3"/>
  <c r="F18" i="3"/>
  <c r="E18" i="3"/>
  <c r="D18" i="3"/>
  <c r="C18" i="3"/>
  <c r="B18" i="3"/>
  <c r="A18" i="3"/>
  <c r="Q17" i="3"/>
  <c r="P17" i="3"/>
  <c r="O17" i="3"/>
  <c r="N17" i="3"/>
  <c r="J17" i="3"/>
  <c r="I17" i="3"/>
  <c r="H17" i="3"/>
  <c r="G17" i="3"/>
  <c r="F17" i="3"/>
  <c r="E17" i="3"/>
  <c r="D17" i="3"/>
  <c r="C17" i="3"/>
  <c r="B17" i="3"/>
  <c r="A17" i="3"/>
  <c r="Q16" i="3"/>
  <c r="P16" i="3"/>
  <c r="O16" i="3"/>
  <c r="N16" i="3"/>
  <c r="J16" i="3"/>
  <c r="I16" i="3"/>
  <c r="H16" i="3"/>
  <c r="G16" i="3"/>
  <c r="F16" i="3"/>
  <c r="E16" i="3"/>
  <c r="D16" i="3"/>
  <c r="C16" i="3"/>
  <c r="B16" i="3"/>
  <c r="A16" i="3"/>
  <c r="Q15" i="3"/>
  <c r="P15" i="3"/>
  <c r="O15" i="3"/>
  <c r="N15" i="3"/>
  <c r="J15" i="3"/>
  <c r="I15" i="3"/>
  <c r="H15" i="3"/>
  <c r="G15" i="3"/>
  <c r="F15" i="3"/>
  <c r="E15" i="3"/>
  <c r="D15" i="3"/>
  <c r="C15" i="3"/>
  <c r="B15" i="3"/>
  <c r="A15" i="3"/>
  <c r="Q14" i="3"/>
  <c r="P14" i="3"/>
  <c r="O14" i="3"/>
  <c r="N14" i="3"/>
  <c r="J14" i="3"/>
  <c r="I14" i="3"/>
  <c r="H14" i="3"/>
  <c r="G14" i="3"/>
  <c r="F14" i="3"/>
  <c r="E14" i="3"/>
  <c r="D14" i="3"/>
  <c r="C14" i="3"/>
  <c r="B14" i="3"/>
  <c r="A14" i="3"/>
  <c r="Q13" i="3"/>
  <c r="P13" i="3"/>
  <c r="O13" i="3"/>
  <c r="N13" i="3"/>
  <c r="J13" i="3"/>
  <c r="I13" i="3"/>
  <c r="H13" i="3"/>
  <c r="G13" i="3"/>
  <c r="F13" i="3"/>
  <c r="E13" i="3"/>
  <c r="D13" i="3"/>
  <c r="C13" i="3"/>
  <c r="B13" i="3"/>
  <c r="A13" i="3"/>
  <c r="Q12" i="3"/>
  <c r="P12" i="3"/>
  <c r="O12" i="3"/>
  <c r="N12" i="3"/>
  <c r="J12" i="3"/>
  <c r="I12" i="3"/>
  <c r="H12" i="3"/>
  <c r="G12" i="3"/>
  <c r="F12" i="3"/>
  <c r="E12" i="3"/>
  <c r="D12" i="3"/>
  <c r="C12" i="3"/>
  <c r="B12" i="3"/>
  <c r="A12" i="3"/>
  <c r="Q11" i="3"/>
  <c r="P11" i="3"/>
  <c r="O11" i="3"/>
  <c r="N11" i="3"/>
  <c r="J11" i="3"/>
  <c r="I11" i="3"/>
  <c r="H11" i="3"/>
  <c r="G11" i="3"/>
  <c r="F11" i="3"/>
  <c r="E11" i="3"/>
  <c r="D11" i="3"/>
  <c r="C11" i="3"/>
  <c r="B11" i="3"/>
  <c r="A11" i="3"/>
  <c r="Q10" i="3"/>
  <c r="P10" i="3"/>
  <c r="O10" i="3"/>
  <c r="N10" i="3"/>
  <c r="J10" i="3"/>
  <c r="I10" i="3"/>
  <c r="H10" i="3"/>
  <c r="G10" i="3"/>
  <c r="F10" i="3"/>
  <c r="E10" i="3"/>
  <c r="D10" i="3"/>
  <c r="C10" i="3"/>
  <c r="B10" i="3"/>
  <c r="A10" i="3"/>
  <c r="Q9" i="3"/>
  <c r="P9" i="3"/>
  <c r="O9" i="3"/>
  <c r="N9" i="3"/>
  <c r="J9" i="3"/>
  <c r="I9" i="3"/>
  <c r="H9" i="3"/>
  <c r="G9" i="3"/>
  <c r="F9" i="3"/>
  <c r="E9" i="3"/>
  <c r="D9" i="3"/>
  <c r="C9" i="3"/>
  <c r="B9" i="3"/>
  <c r="A9" i="3"/>
  <c r="Q8" i="3"/>
  <c r="P8" i="3"/>
  <c r="O8" i="3"/>
  <c r="N8" i="3"/>
  <c r="J8" i="3"/>
  <c r="I8" i="3"/>
  <c r="H8" i="3"/>
  <c r="G8" i="3"/>
  <c r="F8" i="3"/>
  <c r="E8" i="3"/>
  <c r="D8" i="3"/>
  <c r="C8" i="3"/>
  <c r="B8" i="3"/>
  <c r="A8" i="3"/>
  <c r="Q7" i="3"/>
  <c r="P7" i="3"/>
  <c r="O7" i="3"/>
  <c r="N7" i="3"/>
  <c r="J7" i="3"/>
  <c r="I7" i="3"/>
  <c r="H7" i="3"/>
  <c r="G7" i="3"/>
  <c r="F7" i="3"/>
  <c r="E7" i="3"/>
  <c r="D7" i="3"/>
  <c r="C7" i="3"/>
  <c r="B7" i="3"/>
  <c r="A7" i="3"/>
  <c r="Q6" i="3"/>
  <c r="P6" i="3"/>
  <c r="O6" i="3"/>
  <c r="N6" i="3"/>
  <c r="J6" i="3"/>
  <c r="I6" i="3"/>
  <c r="H6" i="3"/>
  <c r="G6" i="3"/>
  <c r="F6" i="3"/>
  <c r="E6" i="3"/>
  <c r="D6" i="3"/>
  <c r="C6" i="3"/>
  <c r="B6" i="3"/>
  <c r="A6" i="3"/>
  <c r="Q5" i="3"/>
  <c r="P5" i="3"/>
  <c r="O5" i="3"/>
  <c r="N5" i="3"/>
  <c r="J5" i="3"/>
  <c r="I5" i="3"/>
  <c r="H5" i="3"/>
  <c r="G5" i="3"/>
  <c r="F5" i="3"/>
  <c r="E5" i="3"/>
  <c r="D5" i="3"/>
  <c r="C5" i="3"/>
  <c r="B5" i="3"/>
  <c r="A5" i="3"/>
  <c r="Q4" i="3"/>
  <c r="P4" i="3"/>
  <c r="O4" i="3"/>
  <c r="N4" i="3"/>
  <c r="J4" i="3"/>
  <c r="I4" i="3"/>
  <c r="H4" i="3"/>
  <c r="G4" i="3"/>
  <c r="F4" i="3"/>
  <c r="E4" i="3"/>
  <c r="D4" i="3"/>
  <c r="C4" i="3"/>
  <c r="B4" i="3"/>
  <c r="A4" i="3"/>
  <c r="Q3" i="3"/>
  <c r="P3" i="3"/>
  <c r="O3" i="3"/>
  <c r="N3" i="3"/>
  <c r="J3" i="3"/>
  <c r="I3" i="3"/>
  <c r="H3" i="3"/>
  <c r="G3" i="3"/>
  <c r="F3" i="3"/>
  <c r="E3" i="3"/>
  <c r="D3" i="3"/>
  <c r="C3" i="3"/>
  <c r="B3" i="3"/>
  <c r="A3" i="3"/>
  <c r="L3" i="1" l="1"/>
  <c r="M3" i="1" s="1"/>
  <c r="L4" i="1"/>
  <c r="M4" i="1"/>
  <c r="N4" i="1" s="1"/>
  <c r="K4" i="3" s="1"/>
  <c r="L5" i="1"/>
  <c r="M5" i="1" s="1"/>
  <c r="N5" i="1" s="1"/>
  <c r="K5" i="3" s="1"/>
  <c r="L6" i="1"/>
  <c r="M6" i="1" s="1"/>
  <c r="L7" i="1"/>
  <c r="M7" i="1" s="1"/>
  <c r="L8" i="1"/>
  <c r="M8" i="1"/>
  <c r="N8" i="1" s="1"/>
  <c r="K8" i="3" s="1"/>
  <c r="L9" i="1"/>
  <c r="M9" i="1" s="1"/>
  <c r="N9" i="1" s="1"/>
  <c r="K9" i="3" s="1"/>
  <c r="L10" i="1"/>
  <c r="M10" i="1" s="1"/>
  <c r="L11" i="1"/>
  <c r="M11" i="1" s="1"/>
  <c r="L12" i="1"/>
  <c r="M12" i="1"/>
  <c r="N12" i="1" s="1"/>
  <c r="K12" i="3" s="1"/>
  <c r="L13" i="1"/>
  <c r="M13" i="1" s="1"/>
  <c r="N13" i="1" s="1"/>
  <c r="K13" i="3" s="1"/>
  <c r="L14" i="1"/>
  <c r="M14" i="1" s="1"/>
  <c r="L15" i="1"/>
  <c r="M15" i="1" s="1"/>
  <c r="L16" i="1"/>
  <c r="M16" i="1"/>
  <c r="N16" i="1" s="1"/>
  <c r="K16" i="3" s="1"/>
  <c r="L17" i="1"/>
  <c r="M17" i="1" s="1"/>
  <c r="N17" i="1" s="1"/>
  <c r="K17" i="3" s="1"/>
  <c r="L18" i="1"/>
  <c r="M18" i="1" s="1"/>
  <c r="L19" i="1"/>
  <c r="M19" i="1" s="1"/>
  <c r="L20" i="1"/>
  <c r="M20" i="1"/>
  <c r="N20" i="1" s="1"/>
  <c r="K20" i="3" s="1"/>
  <c r="L21" i="1"/>
  <c r="M21" i="1" s="1"/>
  <c r="N21" i="1" s="1"/>
  <c r="K21" i="3" s="1"/>
  <c r="L22" i="1"/>
  <c r="M22" i="1" s="1"/>
  <c r="L23" i="1"/>
  <c r="M23" i="1" s="1"/>
  <c r="L24" i="1"/>
  <c r="M24" i="1"/>
  <c r="N24" i="1" s="1"/>
  <c r="K24" i="3" s="1"/>
  <c r="L25" i="1"/>
  <c r="M25" i="1" s="1"/>
  <c r="N25" i="1" s="1"/>
  <c r="K25" i="3" s="1"/>
  <c r="L26" i="1"/>
  <c r="M26" i="1" s="1"/>
  <c r="L27" i="1"/>
  <c r="M27" i="1" s="1"/>
  <c r="L28" i="1"/>
  <c r="M28" i="1"/>
  <c r="N28" i="1" s="1"/>
  <c r="K28" i="3" s="1"/>
  <c r="L29" i="1"/>
  <c r="M29" i="1" s="1"/>
  <c r="N29" i="1" s="1"/>
  <c r="K29" i="3" s="1"/>
  <c r="L30" i="1"/>
  <c r="M30" i="1" s="1"/>
  <c r="L31" i="1"/>
  <c r="M31" i="1" s="1"/>
  <c r="L32" i="1"/>
  <c r="M32" i="1"/>
  <c r="N32" i="1" s="1"/>
  <c r="K32" i="3" s="1"/>
  <c r="L33" i="1"/>
  <c r="M33" i="1" s="1"/>
  <c r="N33" i="1" s="1"/>
  <c r="K33" i="3" s="1"/>
  <c r="L34" i="1"/>
  <c r="M34" i="1" s="1"/>
  <c r="L35" i="1"/>
  <c r="M35" i="1" s="1"/>
  <c r="L36" i="1"/>
  <c r="M36" i="1"/>
  <c r="N36" i="1" s="1"/>
  <c r="K36" i="3" s="1"/>
  <c r="L37" i="1"/>
  <c r="M37" i="1" s="1"/>
  <c r="N37" i="1" s="1"/>
  <c r="K37" i="3" s="1"/>
  <c r="L38" i="1"/>
  <c r="M38" i="1" s="1"/>
  <c r="L39" i="1"/>
  <c r="M39" i="1" s="1"/>
  <c r="L40" i="1"/>
  <c r="M40" i="1"/>
  <c r="N40" i="1" s="1"/>
  <c r="K40" i="3" s="1"/>
  <c r="L41" i="1"/>
  <c r="M41" i="1" s="1"/>
  <c r="N41" i="1" s="1"/>
  <c r="K41" i="3" s="1"/>
  <c r="L42" i="1"/>
  <c r="M42" i="1" s="1"/>
  <c r="L43" i="1"/>
  <c r="M43" i="1" s="1"/>
  <c r="L44" i="1"/>
  <c r="M44" i="1"/>
  <c r="N44" i="1" s="1"/>
  <c r="K44" i="3" s="1"/>
  <c r="L45" i="1"/>
  <c r="M45" i="1"/>
  <c r="N45" i="1"/>
  <c r="K45" i="3" s="1"/>
  <c r="L46" i="1"/>
  <c r="M46" i="1" s="1"/>
  <c r="L47" i="1"/>
  <c r="M47" i="1" s="1"/>
  <c r="L48" i="1"/>
  <c r="M48" i="1"/>
  <c r="N48" i="1" s="1"/>
  <c r="K48" i="3" s="1"/>
  <c r="L49" i="1"/>
  <c r="M49" i="1"/>
  <c r="N49" i="1"/>
  <c r="K49" i="3" s="1"/>
  <c r="L50" i="1"/>
  <c r="M50" i="1" s="1"/>
  <c r="L51" i="1"/>
  <c r="M51" i="1" s="1"/>
  <c r="L52" i="1"/>
  <c r="M52" i="1"/>
  <c r="N52" i="1" s="1"/>
  <c r="K52" i="3" s="1"/>
  <c r="L53" i="1"/>
  <c r="M53" i="1"/>
  <c r="N53" i="1"/>
  <c r="K53" i="3" s="1"/>
  <c r="L54" i="1"/>
  <c r="M54" i="1" s="1"/>
  <c r="L55" i="1"/>
  <c r="M55" i="1" s="1"/>
  <c r="L56" i="1"/>
  <c r="M56" i="1"/>
  <c r="N56" i="1" s="1"/>
  <c r="K56" i="3" s="1"/>
  <c r="L57" i="1"/>
  <c r="M57" i="1"/>
  <c r="N57" i="1"/>
  <c r="K57" i="3" s="1"/>
  <c r="L58" i="1"/>
  <c r="M58" i="1" s="1"/>
  <c r="L59" i="1"/>
  <c r="M59" i="1" s="1"/>
  <c r="L60" i="1"/>
  <c r="M60" i="1"/>
  <c r="N60" i="1" s="1"/>
  <c r="K60" i="3" s="1"/>
  <c r="L61" i="1"/>
  <c r="M61" i="1"/>
  <c r="N61" i="1"/>
  <c r="K61" i="3" s="1"/>
  <c r="L62" i="1"/>
  <c r="M62" i="1" s="1"/>
  <c r="L63" i="1"/>
  <c r="L64" i="1"/>
  <c r="M64" i="1"/>
  <c r="N64" i="1" s="1"/>
  <c r="K64" i="3" s="1"/>
  <c r="L65" i="1"/>
  <c r="M65" i="1"/>
  <c r="N65" i="1"/>
  <c r="K65" i="3" s="1"/>
  <c r="L66" i="1"/>
  <c r="M66" i="1" s="1"/>
  <c r="L67" i="1"/>
  <c r="M67" i="1" s="1"/>
  <c r="L68" i="1"/>
  <c r="M68" i="1"/>
  <c r="N68" i="1" s="1"/>
  <c r="K68" i="3" s="1"/>
  <c r="L69" i="1"/>
  <c r="M69" i="1"/>
  <c r="N69" i="1"/>
  <c r="K69" i="3" s="1"/>
  <c r="L70" i="1"/>
  <c r="M70" i="1" s="1"/>
  <c r="L71" i="1"/>
  <c r="L72" i="1"/>
  <c r="M72" i="1"/>
  <c r="N72" i="1" s="1"/>
  <c r="K72" i="3" s="1"/>
  <c r="L73" i="1"/>
  <c r="M73" i="1"/>
  <c r="N73" i="1"/>
  <c r="K73" i="3" s="1"/>
  <c r="L74" i="1"/>
  <c r="M74" i="1" s="1"/>
  <c r="L75" i="1"/>
  <c r="M75" i="1" s="1"/>
  <c r="L76" i="1"/>
  <c r="M76" i="1"/>
  <c r="N76" i="1" s="1"/>
  <c r="K76" i="3" s="1"/>
  <c r="L77" i="1"/>
  <c r="M77" i="1"/>
  <c r="N77" i="1"/>
  <c r="K77" i="3" s="1"/>
  <c r="L78" i="1"/>
  <c r="M78" i="1" s="1"/>
  <c r="L79" i="1"/>
  <c r="M79" i="1" s="1"/>
  <c r="L2" i="1"/>
  <c r="N78" i="1" l="1"/>
  <c r="K78" i="3" s="1"/>
  <c r="O76" i="1"/>
  <c r="L76" i="3" s="1"/>
  <c r="N74" i="1"/>
  <c r="K74" i="3" s="1"/>
  <c r="O72" i="1"/>
  <c r="L72" i="3" s="1"/>
  <c r="N70" i="1"/>
  <c r="K70" i="3" s="1"/>
  <c r="O68" i="1"/>
  <c r="L68" i="3" s="1"/>
  <c r="N66" i="1"/>
  <c r="K66" i="3" s="1"/>
  <c r="O64" i="1"/>
  <c r="L64" i="3" s="1"/>
  <c r="N62" i="1"/>
  <c r="K62" i="3" s="1"/>
  <c r="O60" i="1"/>
  <c r="L60" i="3" s="1"/>
  <c r="N58" i="1"/>
  <c r="K58" i="3" s="1"/>
  <c r="O56" i="1"/>
  <c r="L56" i="3" s="1"/>
  <c r="N54" i="1"/>
  <c r="K54" i="3" s="1"/>
  <c r="O52" i="1"/>
  <c r="L52" i="3" s="1"/>
  <c r="N50" i="1"/>
  <c r="K50" i="3" s="1"/>
  <c r="O48" i="1"/>
  <c r="L48" i="3" s="1"/>
  <c r="N46" i="1"/>
  <c r="K46" i="3" s="1"/>
  <c r="O44" i="1"/>
  <c r="L44" i="3" s="1"/>
  <c r="N42" i="1"/>
  <c r="K42" i="3" s="1"/>
  <c r="O40" i="1"/>
  <c r="L40" i="3" s="1"/>
  <c r="N38" i="1"/>
  <c r="K38" i="3" s="1"/>
  <c r="O36" i="1"/>
  <c r="L36" i="3" s="1"/>
  <c r="N34" i="1"/>
  <c r="K34" i="3" s="1"/>
  <c r="O32" i="1"/>
  <c r="L32" i="3" s="1"/>
  <c r="N30" i="1"/>
  <c r="K30" i="3" s="1"/>
  <c r="O28" i="1"/>
  <c r="L28" i="3" s="1"/>
  <c r="N26" i="1"/>
  <c r="K26" i="3" s="1"/>
  <c r="O24" i="1"/>
  <c r="L24" i="3" s="1"/>
  <c r="N22" i="1"/>
  <c r="K22" i="3" s="1"/>
  <c r="O20" i="1"/>
  <c r="L20" i="3" s="1"/>
  <c r="N18" i="1"/>
  <c r="K18" i="3" s="1"/>
  <c r="O16" i="1"/>
  <c r="L16" i="3" s="1"/>
  <c r="N14" i="1"/>
  <c r="K14" i="3" s="1"/>
  <c r="O12" i="1"/>
  <c r="L12" i="3" s="1"/>
  <c r="N10" i="1"/>
  <c r="K10" i="3" s="1"/>
  <c r="O8" i="1"/>
  <c r="L8" i="3" s="1"/>
  <c r="N6" i="1"/>
  <c r="K6" i="3" s="1"/>
  <c r="O4" i="1"/>
  <c r="L4" i="3" s="1"/>
  <c r="N79" i="1"/>
  <c r="K79" i="3" s="1"/>
  <c r="O77" i="1"/>
  <c r="L77" i="3" s="1"/>
  <c r="N75" i="1"/>
  <c r="K75" i="3" s="1"/>
  <c r="O73" i="1"/>
  <c r="L73" i="3" s="1"/>
  <c r="O69" i="1"/>
  <c r="L69" i="3" s="1"/>
  <c r="N67" i="1"/>
  <c r="K67" i="3" s="1"/>
  <c r="O65" i="1"/>
  <c r="L65" i="3" s="1"/>
  <c r="O61" i="1"/>
  <c r="L61" i="3" s="1"/>
  <c r="N59" i="1"/>
  <c r="K59" i="3" s="1"/>
  <c r="O57" i="1"/>
  <c r="L57" i="3" s="1"/>
  <c r="N55" i="1"/>
  <c r="K55" i="3" s="1"/>
  <c r="O53" i="1"/>
  <c r="L53" i="3" s="1"/>
  <c r="N51" i="1"/>
  <c r="K51" i="3" s="1"/>
  <c r="O49" i="1"/>
  <c r="L49" i="3" s="1"/>
  <c r="N47" i="1"/>
  <c r="K47" i="3" s="1"/>
  <c r="O45" i="1"/>
  <c r="L45" i="3" s="1"/>
  <c r="N43" i="1"/>
  <c r="K43" i="3" s="1"/>
  <c r="O41" i="1"/>
  <c r="L41" i="3" s="1"/>
  <c r="N39" i="1"/>
  <c r="K39" i="3" s="1"/>
  <c r="O37" i="1"/>
  <c r="L37" i="3" s="1"/>
  <c r="N35" i="1"/>
  <c r="K35" i="3" s="1"/>
  <c r="O33" i="1"/>
  <c r="L33" i="3" s="1"/>
  <c r="N31" i="1"/>
  <c r="K31" i="3" s="1"/>
  <c r="O29" i="1"/>
  <c r="L29" i="3" s="1"/>
  <c r="N27" i="1"/>
  <c r="K27" i="3" s="1"/>
  <c r="O25" i="1"/>
  <c r="L25" i="3" s="1"/>
  <c r="N23" i="1"/>
  <c r="K23" i="3" s="1"/>
  <c r="O21" i="1"/>
  <c r="L21" i="3" s="1"/>
  <c r="N19" i="1"/>
  <c r="K19" i="3" s="1"/>
  <c r="O17" i="1"/>
  <c r="L17" i="3" s="1"/>
  <c r="N15" i="1"/>
  <c r="K15" i="3" s="1"/>
  <c r="O13" i="1"/>
  <c r="L13" i="3" s="1"/>
  <c r="N11" i="1"/>
  <c r="K11" i="3" s="1"/>
  <c r="O9" i="1"/>
  <c r="L9" i="3" s="1"/>
  <c r="N7" i="1"/>
  <c r="K7" i="3" s="1"/>
  <c r="O5" i="1"/>
  <c r="L5" i="3" s="1"/>
  <c r="N3" i="1"/>
  <c r="K3" i="3" s="1"/>
  <c r="O78" i="1"/>
  <c r="L78" i="3" s="1"/>
  <c r="O74" i="1"/>
  <c r="L74" i="3" s="1"/>
  <c r="M71" i="1"/>
  <c r="N71" i="1" s="1"/>
  <c r="K71" i="3" s="1"/>
  <c r="O70" i="1"/>
  <c r="L70" i="3" s="1"/>
  <c r="O66" i="1"/>
  <c r="L66" i="3" s="1"/>
  <c r="M63" i="1"/>
  <c r="O63" i="1" s="1"/>
  <c r="L63" i="3" s="1"/>
  <c r="O62" i="1"/>
  <c r="L62" i="3" s="1"/>
  <c r="O58" i="1"/>
  <c r="L58" i="3" s="1"/>
  <c r="O54" i="1"/>
  <c r="L54" i="3" s="1"/>
  <c r="O50" i="1"/>
  <c r="L50" i="3" s="1"/>
  <c r="O46" i="1"/>
  <c r="L46" i="3" s="1"/>
  <c r="O42" i="1"/>
  <c r="L42" i="3" s="1"/>
  <c r="O38" i="1"/>
  <c r="L38" i="3" s="1"/>
  <c r="O34" i="1"/>
  <c r="L34" i="3" s="1"/>
  <c r="O30" i="1"/>
  <c r="L30" i="3" s="1"/>
  <c r="O26" i="1"/>
  <c r="L26" i="3" s="1"/>
  <c r="O22" i="1"/>
  <c r="L22" i="3" s="1"/>
  <c r="O18" i="1"/>
  <c r="L18" i="3" s="1"/>
  <c r="O14" i="1"/>
  <c r="L14" i="3" s="1"/>
  <c r="O10" i="1"/>
  <c r="L10" i="3" s="1"/>
  <c r="O6" i="1"/>
  <c r="L6" i="3" s="1"/>
  <c r="O79" i="1"/>
  <c r="L79" i="3" s="1"/>
  <c r="O75" i="1"/>
  <c r="L75" i="3" s="1"/>
  <c r="O67" i="1"/>
  <c r="L67" i="3" s="1"/>
  <c r="O59" i="1"/>
  <c r="L59" i="3" s="1"/>
  <c r="O55" i="1"/>
  <c r="L55" i="3" s="1"/>
  <c r="O51" i="1"/>
  <c r="L51" i="3" s="1"/>
  <c r="O47" i="1"/>
  <c r="L47" i="3" s="1"/>
  <c r="O43" i="1"/>
  <c r="L43" i="3" s="1"/>
  <c r="O39" i="1"/>
  <c r="L39" i="3" s="1"/>
  <c r="O35" i="1"/>
  <c r="L35" i="3" s="1"/>
  <c r="O31" i="1"/>
  <c r="L31" i="3" s="1"/>
  <c r="O27" i="1"/>
  <c r="L27" i="3" s="1"/>
  <c r="O23" i="1"/>
  <c r="L23" i="3" s="1"/>
  <c r="O19" i="1"/>
  <c r="L19" i="3" s="1"/>
  <c r="O15" i="1"/>
  <c r="L15" i="3" s="1"/>
  <c r="O11" i="1"/>
  <c r="L11" i="3" s="1"/>
  <c r="O7" i="1"/>
  <c r="L7" i="3" s="1"/>
  <c r="O3" i="1"/>
  <c r="L3" i="3" s="1"/>
  <c r="M2" i="1"/>
  <c r="O2" i="1" s="1"/>
  <c r="Q281" i="3"/>
  <c r="P281" i="3"/>
  <c r="O281" i="3"/>
  <c r="N281" i="3"/>
  <c r="L281" i="3"/>
  <c r="K281" i="3"/>
  <c r="J281" i="3"/>
  <c r="I281" i="3"/>
  <c r="H281" i="3"/>
  <c r="G281" i="3"/>
  <c r="F281" i="3"/>
  <c r="E281" i="3"/>
  <c r="D281" i="3"/>
  <c r="C281" i="3"/>
  <c r="B281" i="3"/>
  <c r="A281" i="3" s="1"/>
  <c r="Q280" i="3"/>
  <c r="P280" i="3"/>
  <c r="O280" i="3"/>
  <c r="N280" i="3"/>
  <c r="L280" i="3"/>
  <c r="K280" i="3"/>
  <c r="J280" i="3"/>
  <c r="I280" i="3"/>
  <c r="H280" i="3"/>
  <c r="G280" i="3"/>
  <c r="F280" i="3"/>
  <c r="E280" i="3"/>
  <c r="D280" i="3"/>
  <c r="C280" i="3"/>
  <c r="B280" i="3"/>
  <c r="A280" i="3" s="1"/>
  <c r="Q279" i="3"/>
  <c r="P279" i="3"/>
  <c r="O279" i="3"/>
  <c r="N279" i="3"/>
  <c r="L279" i="3"/>
  <c r="K279" i="3"/>
  <c r="J279" i="3"/>
  <c r="I279" i="3"/>
  <c r="H279" i="3"/>
  <c r="G279" i="3"/>
  <c r="F279" i="3"/>
  <c r="E279" i="3"/>
  <c r="D279" i="3"/>
  <c r="C279" i="3"/>
  <c r="B279" i="3"/>
  <c r="A279" i="3" s="1"/>
  <c r="Q278" i="3"/>
  <c r="P278" i="3"/>
  <c r="O278" i="3"/>
  <c r="N278" i="3"/>
  <c r="L278" i="3"/>
  <c r="K278" i="3"/>
  <c r="J278" i="3"/>
  <c r="I278" i="3"/>
  <c r="H278" i="3"/>
  <c r="G278" i="3"/>
  <c r="F278" i="3"/>
  <c r="E278" i="3"/>
  <c r="D278" i="3"/>
  <c r="C278" i="3"/>
  <c r="B278" i="3"/>
  <c r="A278" i="3" s="1"/>
  <c r="Q277" i="3"/>
  <c r="P277" i="3"/>
  <c r="O277" i="3"/>
  <c r="N277" i="3"/>
  <c r="L277" i="3"/>
  <c r="K277" i="3"/>
  <c r="J277" i="3"/>
  <c r="I277" i="3"/>
  <c r="H277" i="3"/>
  <c r="G277" i="3"/>
  <c r="F277" i="3"/>
  <c r="E277" i="3"/>
  <c r="D277" i="3"/>
  <c r="C277" i="3"/>
  <c r="B277" i="3"/>
  <c r="A277" i="3" s="1"/>
  <c r="Q276" i="3"/>
  <c r="P276" i="3"/>
  <c r="O276" i="3"/>
  <c r="N276" i="3"/>
  <c r="L276" i="3"/>
  <c r="K276" i="3"/>
  <c r="J276" i="3"/>
  <c r="I276" i="3"/>
  <c r="H276" i="3"/>
  <c r="G276" i="3"/>
  <c r="F276" i="3"/>
  <c r="E276" i="3"/>
  <c r="D276" i="3"/>
  <c r="C276" i="3"/>
  <c r="B276" i="3"/>
  <c r="A276" i="3" s="1"/>
  <c r="Q275" i="3"/>
  <c r="P275" i="3"/>
  <c r="O275" i="3"/>
  <c r="N275" i="3"/>
  <c r="L275" i="3"/>
  <c r="K275" i="3"/>
  <c r="J275" i="3"/>
  <c r="I275" i="3"/>
  <c r="H275" i="3"/>
  <c r="G275" i="3"/>
  <c r="F275" i="3"/>
  <c r="E275" i="3"/>
  <c r="D275" i="3"/>
  <c r="C275" i="3"/>
  <c r="B275" i="3"/>
  <c r="A275" i="3" s="1"/>
  <c r="Q274" i="3"/>
  <c r="P274" i="3"/>
  <c r="O274" i="3"/>
  <c r="N274" i="3"/>
  <c r="L274" i="3"/>
  <c r="K274" i="3"/>
  <c r="J274" i="3"/>
  <c r="I274" i="3"/>
  <c r="H274" i="3"/>
  <c r="G274" i="3"/>
  <c r="F274" i="3"/>
  <c r="E274" i="3"/>
  <c r="D274" i="3"/>
  <c r="C274" i="3"/>
  <c r="B274" i="3"/>
  <c r="A274" i="3" s="1"/>
  <c r="Q273" i="3"/>
  <c r="P273" i="3"/>
  <c r="O273" i="3"/>
  <c r="N273" i="3"/>
  <c r="L273" i="3"/>
  <c r="K273" i="3"/>
  <c r="J273" i="3"/>
  <c r="I273" i="3"/>
  <c r="H273" i="3"/>
  <c r="G273" i="3"/>
  <c r="F273" i="3"/>
  <c r="E273" i="3"/>
  <c r="D273" i="3"/>
  <c r="C273" i="3"/>
  <c r="B273" i="3"/>
  <c r="A273" i="3" s="1"/>
  <c r="Q272" i="3"/>
  <c r="P272" i="3"/>
  <c r="O272" i="3"/>
  <c r="N272" i="3"/>
  <c r="L272" i="3"/>
  <c r="K272" i="3"/>
  <c r="J272" i="3"/>
  <c r="I272" i="3"/>
  <c r="H272" i="3"/>
  <c r="G272" i="3"/>
  <c r="F272" i="3"/>
  <c r="E272" i="3"/>
  <c r="D272" i="3"/>
  <c r="C272" i="3"/>
  <c r="B272" i="3"/>
  <c r="A272" i="3" s="1"/>
  <c r="Q271" i="3"/>
  <c r="P271" i="3"/>
  <c r="O271" i="3"/>
  <c r="N271" i="3"/>
  <c r="L271" i="3"/>
  <c r="K271" i="3"/>
  <c r="J271" i="3"/>
  <c r="I271" i="3"/>
  <c r="H271" i="3"/>
  <c r="G271" i="3"/>
  <c r="F271" i="3"/>
  <c r="E271" i="3"/>
  <c r="D271" i="3"/>
  <c r="C271" i="3"/>
  <c r="B271" i="3"/>
  <c r="A271" i="3" s="1"/>
  <c r="Q270" i="3"/>
  <c r="P270" i="3"/>
  <c r="O270" i="3"/>
  <c r="N270" i="3"/>
  <c r="L270" i="3"/>
  <c r="K270" i="3"/>
  <c r="J270" i="3"/>
  <c r="I270" i="3"/>
  <c r="H270" i="3"/>
  <c r="G270" i="3"/>
  <c r="F270" i="3"/>
  <c r="E270" i="3"/>
  <c r="D270" i="3"/>
  <c r="C270" i="3"/>
  <c r="B270" i="3"/>
  <c r="A270" i="3" s="1"/>
  <c r="Q269" i="3"/>
  <c r="P269" i="3"/>
  <c r="O269" i="3"/>
  <c r="N269" i="3"/>
  <c r="L269" i="3"/>
  <c r="K269" i="3"/>
  <c r="J269" i="3"/>
  <c r="I269" i="3"/>
  <c r="H269" i="3"/>
  <c r="G269" i="3"/>
  <c r="F269" i="3"/>
  <c r="E269" i="3"/>
  <c r="D269" i="3"/>
  <c r="C269" i="3"/>
  <c r="B269" i="3"/>
  <c r="A269" i="3" s="1"/>
  <c r="Q268" i="3"/>
  <c r="P268" i="3"/>
  <c r="O268" i="3"/>
  <c r="N268" i="3"/>
  <c r="L268" i="3"/>
  <c r="K268" i="3"/>
  <c r="J268" i="3"/>
  <c r="I268" i="3"/>
  <c r="H268" i="3"/>
  <c r="G268" i="3"/>
  <c r="F268" i="3"/>
  <c r="E268" i="3"/>
  <c r="D268" i="3"/>
  <c r="C268" i="3"/>
  <c r="B268" i="3"/>
  <c r="A268" i="3" s="1"/>
  <c r="Q267" i="3"/>
  <c r="P267" i="3"/>
  <c r="O267" i="3"/>
  <c r="N267" i="3"/>
  <c r="L267" i="3"/>
  <c r="K267" i="3"/>
  <c r="J267" i="3"/>
  <c r="I267" i="3"/>
  <c r="H267" i="3"/>
  <c r="G267" i="3"/>
  <c r="F267" i="3"/>
  <c r="E267" i="3"/>
  <c r="D267" i="3"/>
  <c r="C267" i="3"/>
  <c r="B267" i="3"/>
  <c r="A267" i="3" s="1"/>
  <c r="Q266" i="3"/>
  <c r="P266" i="3"/>
  <c r="O266" i="3"/>
  <c r="N266" i="3"/>
  <c r="L266" i="3"/>
  <c r="K266" i="3"/>
  <c r="J266" i="3"/>
  <c r="I266" i="3"/>
  <c r="H266" i="3"/>
  <c r="G266" i="3"/>
  <c r="F266" i="3"/>
  <c r="E266" i="3"/>
  <c r="D266" i="3"/>
  <c r="C266" i="3"/>
  <c r="B266" i="3"/>
  <c r="A266" i="3" s="1"/>
  <c r="Q265" i="3"/>
  <c r="P265" i="3"/>
  <c r="O265" i="3"/>
  <c r="N265" i="3"/>
  <c r="L265" i="3"/>
  <c r="K265" i="3"/>
  <c r="J265" i="3"/>
  <c r="I265" i="3"/>
  <c r="H265" i="3"/>
  <c r="G265" i="3"/>
  <c r="F265" i="3"/>
  <c r="E265" i="3"/>
  <c r="D265" i="3"/>
  <c r="C265" i="3"/>
  <c r="B265" i="3"/>
  <c r="A265" i="3" s="1"/>
  <c r="Q264" i="3"/>
  <c r="P264" i="3"/>
  <c r="O264" i="3"/>
  <c r="N264" i="3"/>
  <c r="L264" i="3"/>
  <c r="K264" i="3"/>
  <c r="J264" i="3"/>
  <c r="I264" i="3"/>
  <c r="H264" i="3"/>
  <c r="G264" i="3"/>
  <c r="F264" i="3"/>
  <c r="E264" i="3"/>
  <c r="D264" i="3"/>
  <c r="C264" i="3"/>
  <c r="B264" i="3"/>
  <c r="A264" i="3" s="1"/>
  <c r="Q263" i="3"/>
  <c r="P263" i="3"/>
  <c r="O263" i="3"/>
  <c r="N263" i="3"/>
  <c r="L263" i="3"/>
  <c r="K263" i="3"/>
  <c r="J263" i="3"/>
  <c r="I263" i="3"/>
  <c r="H263" i="3"/>
  <c r="G263" i="3"/>
  <c r="F263" i="3"/>
  <c r="E263" i="3"/>
  <c r="D263" i="3"/>
  <c r="C263" i="3"/>
  <c r="B263" i="3"/>
  <c r="A263" i="3" s="1"/>
  <c r="Q262" i="3"/>
  <c r="P262" i="3"/>
  <c r="O262" i="3"/>
  <c r="N262" i="3"/>
  <c r="L262" i="3"/>
  <c r="K262" i="3"/>
  <c r="J262" i="3"/>
  <c r="I262" i="3"/>
  <c r="H262" i="3"/>
  <c r="G262" i="3"/>
  <c r="F262" i="3"/>
  <c r="E262" i="3"/>
  <c r="D262" i="3"/>
  <c r="C262" i="3"/>
  <c r="B262" i="3"/>
  <c r="A262" i="3" s="1"/>
  <c r="Q261" i="3"/>
  <c r="P261" i="3"/>
  <c r="O261" i="3"/>
  <c r="N261" i="3"/>
  <c r="L261" i="3"/>
  <c r="K261" i="3"/>
  <c r="J261" i="3"/>
  <c r="I261" i="3"/>
  <c r="H261" i="3"/>
  <c r="G261" i="3"/>
  <c r="F261" i="3"/>
  <c r="E261" i="3"/>
  <c r="D261" i="3"/>
  <c r="C261" i="3"/>
  <c r="B261" i="3"/>
  <c r="A261" i="3" s="1"/>
  <c r="Q260" i="3"/>
  <c r="P260" i="3"/>
  <c r="O260" i="3"/>
  <c r="N260" i="3"/>
  <c r="L260" i="3"/>
  <c r="K260" i="3"/>
  <c r="J260" i="3"/>
  <c r="I260" i="3"/>
  <c r="H260" i="3"/>
  <c r="G260" i="3"/>
  <c r="F260" i="3"/>
  <c r="E260" i="3"/>
  <c r="D260" i="3"/>
  <c r="C260" i="3"/>
  <c r="B260" i="3"/>
  <c r="A260" i="3" s="1"/>
  <c r="Q259" i="3"/>
  <c r="P259" i="3"/>
  <c r="O259" i="3"/>
  <c r="N259" i="3"/>
  <c r="L259" i="3"/>
  <c r="K259" i="3"/>
  <c r="J259" i="3"/>
  <c r="I259" i="3"/>
  <c r="H259" i="3"/>
  <c r="G259" i="3"/>
  <c r="F259" i="3"/>
  <c r="E259" i="3"/>
  <c r="D259" i="3"/>
  <c r="C259" i="3"/>
  <c r="B259" i="3"/>
  <c r="A259" i="3" s="1"/>
  <c r="Q258" i="3"/>
  <c r="P258" i="3"/>
  <c r="O258" i="3"/>
  <c r="N258" i="3"/>
  <c r="L258" i="3"/>
  <c r="K258" i="3"/>
  <c r="J258" i="3"/>
  <c r="I258" i="3"/>
  <c r="H258" i="3"/>
  <c r="G258" i="3"/>
  <c r="F258" i="3"/>
  <c r="E258" i="3"/>
  <c r="D258" i="3"/>
  <c r="C258" i="3"/>
  <c r="B258" i="3"/>
  <c r="A258" i="3" s="1"/>
  <c r="Q257" i="3"/>
  <c r="P257" i="3"/>
  <c r="O257" i="3"/>
  <c r="N257" i="3"/>
  <c r="L257" i="3"/>
  <c r="K257" i="3"/>
  <c r="J257" i="3"/>
  <c r="I257" i="3"/>
  <c r="H257" i="3"/>
  <c r="G257" i="3"/>
  <c r="F257" i="3"/>
  <c r="E257" i="3"/>
  <c r="D257" i="3"/>
  <c r="C257" i="3"/>
  <c r="B257" i="3"/>
  <c r="A257" i="3" s="1"/>
  <c r="Q256" i="3"/>
  <c r="P256" i="3"/>
  <c r="O256" i="3"/>
  <c r="N256" i="3"/>
  <c r="L256" i="3"/>
  <c r="K256" i="3"/>
  <c r="J256" i="3"/>
  <c r="I256" i="3"/>
  <c r="H256" i="3"/>
  <c r="G256" i="3"/>
  <c r="F256" i="3"/>
  <c r="E256" i="3"/>
  <c r="D256" i="3"/>
  <c r="C256" i="3"/>
  <c r="B256" i="3"/>
  <c r="A256" i="3" s="1"/>
  <c r="Q255" i="3"/>
  <c r="P255" i="3"/>
  <c r="O255" i="3"/>
  <c r="N255" i="3"/>
  <c r="L255" i="3"/>
  <c r="K255" i="3"/>
  <c r="J255" i="3"/>
  <c r="I255" i="3"/>
  <c r="H255" i="3"/>
  <c r="G255" i="3"/>
  <c r="F255" i="3"/>
  <c r="E255" i="3"/>
  <c r="D255" i="3"/>
  <c r="C255" i="3"/>
  <c r="B255" i="3"/>
  <c r="A255" i="3" s="1"/>
  <c r="Q254" i="3"/>
  <c r="P254" i="3"/>
  <c r="O254" i="3"/>
  <c r="N254" i="3"/>
  <c r="L254" i="3"/>
  <c r="K254" i="3"/>
  <c r="J254" i="3"/>
  <c r="I254" i="3"/>
  <c r="H254" i="3"/>
  <c r="G254" i="3"/>
  <c r="F254" i="3"/>
  <c r="E254" i="3"/>
  <c r="D254" i="3"/>
  <c r="C254" i="3"/>
  <c r="B254" i="3"/>
  <c r="A254" i="3" s="1"/>
  <c r="Q253" i="3"/>
  <c r="P253" i="3"/>
  <c r="O253" i="3"/>
  <c r="N253" i="3"/>
  <c r="L253" i="3"/>
  <c r="K253" i="3"/>
  <c r="J253" i="3"/>
  <c r="I253" i="3"/>
  <c r="H253" i="3"/>
  <c r="G253" i="3"/>
  <c r="F253" i="3"/>
  <c r="E253" i="3"/>
  <c r="D253" i="3"/>
  <c r="C253" i="3"/>
  <c r="B253" i="3"/>
  <c r="A253" i="3" s="1"/>
  <c r="Q252" i="3"/>
  <c r="P252" i="3"/>
  <c r="O252" i="3"/>
  <c r="N252" i="3"/>
  <c r="L252" i="3"/>
  <c r="K252" i="3"/>
  <c r="J252" i="3"/>
  <c r="I252" i="3"/>
  <c r="H252" i="3"/>
  <c r="G252" i="3"/>
  <c r="F252" i="3"/>
  <c r="E252" i="3"/>
  <c r="D252" i="3"/>
  <c r="C252" i="3"/>
  <c r="B252" i="3"/>
  <c r="A252" i="3" s="1"/>
  <c r="Q251" i="3"/>
  <c r="P251" i="3"/>
  <c r="O251" i="3"/>
  <c r="N251" i="3"/>
  <c r="L251" i="3"/>
  <c r="K251" i="3"/>
  <c r="J251" i="3"/>
  <c r="I251" i="3"/>
  <c r="H251" i="3"/>
  <c r="G251" i="3"/>
  <c r="F251" i="3"/>
  <c r="E251" i="3"/>
  <c r="D251" i="3"/>
  <c r="C251" i="3"/>
  <c r="B251" i="3"/>
  <c r="A251" i="3" s="1"/>
  <c r="Q250" i="3"/>
  <c r="P250" i="3"/>
  <c r="O250" i="3"/>
  <c r="N250" i="3"/>
  <c r="L250" i="3"/>
  <c r="K250" i="3"/>
  <c r="J250" i="3"/>
  <c r="I250" i="3"/>
  <c r="H250" i="3"/>
  <c r="G250" i="3"/>
  <c r="F250" i="3"/>
  <c r="E250" i="3"/>
  <c r="D250" i="3"/>
  <c r="C250" i="3"/>
  <c r="B250" i="3"/>
  <c r="A250" i="3" s="1"/>
  <c r="Q249" i="3"/>
  <c r="P249" i="3"/>
  <c r="O249" i="3"/>
  <c r="N249" i="3"/>
  <c r="L249" i="3"/>
  <c r="K249" i="3"/>
  <c r="J249" i="3"/>
  <c r="I249" i="3"/>
  <c r="H249" i="3"/>
  <c r="G249" i="3"/>
  <c r="F249" i="3"/>
  <c r="E249" i="3"/>
  <c r="D249" i="3"/>
  <c r="C249" i="3"/>
  <c r="B249" i="3"/>
  <c r="A249" i="3" s="1"/>
  <c r="Q248" i="3"/>
  <c r="P248" i="3"/>
  <c r="O248" i="3"/>
  <c r="N248" i="3"/>
  <c r="L248" i="3"/>
  <c r="K248" i="3"/>
  <c r="J248" i="3"/>
  <c r="I248" i="3"/>
  <c r="H248" i="3"/>
  <c r="G248" i="3"/>
  <c r="F248" i="3"/>
  <c r="E248" i="3"/>
  <c r="D248" i="3"/>
  <c r="C248" i="3"/>
  <c r="B248" i="3"/>
  <c r="A248" i="3" s="1"/>
  <c r="Q247" i="3"/>
  <c r="P247" i="3"/>
  <c r="O247" i="3"/>
  <c r="N247" i="3"/>
  <c r="L247" i="3"/>
  <c r="K247" i="3"/>
  <c r="J247" i="3"/>
  <c r="I247" i="3"/>
  <c r="H247" i="3"/>
  <c r="G247" i="3"/>
  <c r="F247" i="3"/>
  <c r="E247" i="3"/>
  <c r="D247" i="3"/>
  <c r="C247" i="3"/>
  <c r="B247" i="3"/>
  <c r="A247" i="3" s="1"/>
  <c r="Q246" i="3"/>
  <c r="P246" i="3"/>
  <c r="O246" i="3"/>
  <c r="N246" i="3"/>
  <c r="L246" i="3"/>
  <c r="K246" i="3"/>
  <c r="J246" i="3"/>
  <c r="I246" i="3"/>
  <c r="H246" i="3"/>
  <c r="G246" i="3"/>
  <c r="F246" i="3"/>
  <c r="E246" i="3"/>
  <c r="D246" i="3"/>
  <c r="C246" i="3"/>
  <c r="B246" i="3"/>
  <c r="A246" i="3" s="1"/>
  <c r="Q245" i="3"/>
  <c r="P245" i="3"/>
  <c r="O245" i="3"/>
  <c r="N245" i="3"/>
  <c r="L245" i="3"/>
  <c r="K245" i="3"/>
  <c r="J245" i="3"/>
  <c r="I245" i="3"/>
  <c r="H245" i="3"/>
  <c r="G245" i="3"/>
  <c r="F245" i="3"/>
  <c r="E245" i="3"/>
  <c r="D245" i="3"/>
  <c r="C245" i="3"/>
  <c r="B245" i="3"/>
  <c r="A245" i="3" s="1"/>
  <c r="Q244" i="3"/>
  <c r="P244" i="3"/>
  <c r="O244" i="3"/>
  <c r="N244" i="3"/>
  <c r="L244" i="3"/>
  <c r="K244" i="3"/>
  <c r="J244" i="3"/>
  <c r="I244" i="3"/>
  <c r="H244" i="3"/>
  <c r="G244" i="3"/>
  <c r="F244" i="3"/>
  <c r="E244" i="3"/>
  <c r="D244" i="3"/>
  <c r="C244" i="3"/>
  <c r="B244" i="3"/>
  <c r="A244" i="3" s="1"/>
  <c r="Q243" i="3"/>
  <c r="P243" i="3"/>
  <c r="O243" i="3"/>
  <c r="N243" i="3"/>
  <c r="L243" i="3"/>
  <c r="K243" i="3"/>
  <c r="J243" i="3"/>
  <c r="I243" i="3"/>
  <c r="H243" i="3"/>
  <c r="G243" i="3"/>
  <c r="F243" i="3"/>
  <c r="E243" i="3"/>
  <c r="D243" i="3"/>
  <c r="C243" i="3"/>
  <c r="B243" i="3"/>
  <c r="A243" i="3" s="1"/>
  <c r="Q242" i="3"/>
  <c r="P242" i="3"/>
  <c r="O242" i="3"/>
  <c r="N242" i="3"/>
  <c r="L242" i="3"/>
  <c r="K242" i="3"/>
  <c r="J242" i="3"/>
  <c r="I242" i="3"/>
  <c r="H242" i="3"/>
  <c r="G242" i="3"/>
  <c r="F242" i="3"/>
  <c r="E242" i="3"/>
  <c r="D242" i="3"/>
  <c r="C242" i="3"/>
  <c r="B242" i="3"/>
  <c r="A242" i="3" s="1"/>
  <c r="Q241" i="3"/>
  <c r="P241" i="3"/>
  <c r="O241" i="3"/>
  <c r="N241" i="3"/>
  <c r="L241" i="3"/>
  <c r="K241" i="3"/>
  <c r="J241" i="3"/>
  <c r="I241" i="3"/>
  <c r="H241" i="3"/>
  <c r="G241" i="3"/>
  <c r="F241" i="3"/>
  <c r="E241" i="3"/>
  <c r="D241" i="3"/>
  <c r="C241" i="3"/>
  <c r="B241" i="3"/>
  <c r="A241" i="3" s="1"/>
  <c r="Q240" i="3"/>
  <c r="P240" i="3"/>
  <c r="O240" i="3"/>
  <c r="N240" i="3"/>
  <c r="L240" i="3"/>
  <c r="K240" i="3"/>
  <c r="J240" i="3"/>
  <c r="I240" i="3"/>
  <c r="H240" i="3"/>
  <c r="G240" i="3"/>
  <c r="F240" i="3"/>
  <c r="E240" i="3"/>
  <c r="D240" i="3"/>
  <c r="C240" i="3"/>
  <c r="B240" i="3"/>
  <c r="A240" i="3" s="1"/>
  <c r="Q239" i="3"/>
  <c r="P239" i="3"/>
  <c r="O239" i="3"/>
  <c r="N239" i="3"/>
  <c r="L239" i="3"/>
  <c r="K239" i="3"/>
  <c r="J239" i="3"/>
  <c r="I239" i="3"/>
  <c r="H239" i="3"/>
  <c r="G239" i="3"/>
  <c r="F239" i="3"/>
  <c r="E239" i="3"/>
  <c r="D239" i="3"/>
  <c r="C239" i="3"/>
  <c r="B239" i="3"/>
  <c r="A239" i="3" s="1"/>
  <c r="Q238" i="3"/>
  <c r="P238" i="3"/>
  <c r="O238" i="3"/>
  <c r="N238" i="3"/>
  <c r="L238" i="3"/>
  <c r="K238" i="3"/>
  <c r="J238" i="3"/>
  <c r="I238" i="3"/>
  <c r="H238" i="3"/>
  <c r="G238" i="3"/>
  <c r="F238" i="3"/>
  <c r="E238" i="3"/>
  <c r="D238" i="3"/>
  <c r="C238" i="3"/>
  <c r="B238" i="3"/>
  <c r="A238" i="3" s="1"/>
  <c r="Q237" i="3"/>
  <c r="P237" i="3"/>
  <c r="O237" i="3"/>
  <c r="N237" i="3"/>
  <c r="L237" i="3"/>
  <c r="K237" i="3"/>
  <c r="J237" i="3"/>
  <c r="I237" i="3"/>
  <c r="H237" i="3"/>
  <c r="G237" i="3"/>
  <c r="F237" i="3"/>
  <c r="E237" i="3"/>
  <c r="D237" i="3"/>
  <c r="C237" i="3"/>
  <c r="B237" i="3"/>
  <c r="A237" i="3" s="1"/>
  <c r="Q236" i="3"/>
  <c r="P236" i="3"/>
  <c r="O236" i="3"/>
  <c r="N236" i="3"/>
  <c r="L236" i="3"/>
  <c r="K236" i="3"/>
  <c r="J236" i="3"/>
  <c r="I236" i="3"/>
  <c r="H236" i="3"/>
  <c r="G236" i="3"/>
  <c r="F236" i="3"/>
  <c r="E236" i="3"/>
  <c r="D236" i="3"/>
  <c r="C236" i="3"/>
  <c r="B236" i="3"/>
  <c r="A236" i="3" s="1"/>
  <c r="Q235" i="3"/>
  <c r="P235" i="3"/>
  <c r="O235" i="3"/>
  <c r="N235" i="3"/>
  <c r="L235" i="3"/>
  <c r="K235" i="3"/>
  <c r="J235" i="3"/>
  <c r="I235" i="3"/>
  <c r="H235" i="3"/>
  <c r="G235" i="3"/>
  <c r="F235" i="3"/>
  <c r="E235" i="3"/>
  <c r="D235" i="3"/>
  <c r="C235" i="3"/>
  <c r="B235" i="3"/>
  <c r="A235" i="3" s="1"/>
  <c r="Q234" i="3"/>
  <c r="P234" i="3"/>
  <c r="O234" i="3"/>
  <c r="N234" i="3"/>
  <c r="L234" i="3"/>
  <c r="K234" i="3"/>
  <c r="J234" i="3"/>
  <c r="I234" i="3"/>
  <c r="H234" i="3"/>
  <c r="G234" i="3"/>
  <c r="F234" i="3"/>
  <c r="E234" i="3"/>
  <c r="D234" i="3"/>
  <c r="C234" i="3"/>
  <c r="B234" i="3"/>
  <c r="A234" i="3" s="1"/>
  <c r="Q233" i="3"/>
  <c r="P233" i="3"/>
  <c r="O233" i="3"/>
  <c r="N233" i="3"/>
  <c r="L233" i="3"/>
  <c r="K233" i="3"/>
  <c r="J233" i="3"/>
  <c r="I233" i="3"/>
  <c r="H233" i="3"/>
  <c r="G233" i="3"/>
  <c r="F233" i="3"/>
  <c r="E233" i="3"/>
  <c r="D233" i="3"/>
  <c r="C233" i="3"/>
  <c r="B233" i="3"/>
  <c r="A233" i="3" s="1"/>
  <c r="Q232" i="3"/>
  <c r="P232" i="3"/>
  <c r="O232" i="3"/>
  <c r="N232" i="3"/>
  <c r="L232" i="3"/>
  <c r="K232" i="3"/>
  <c r="J232" i="3"/>
  <c r="I232" i="3"/>
  <c r="H232" i="3"/>
  <c r="G232" i="3"/>
  <c r="F232" i="3"/>
  <c r="E232" i="3"/>
  <c r="D232" i="3"/>
  <c r="C232" i="3"/>
  <c r="B232" i="3"/>
  <c r="A232" i="3" s="1"/>
  <c r="Q231" i="3"/>
  <c r="P231" i="3"/>
  <c r="O231" i="3"/>
  <c r="N231" i="3"/>
  <c r="L231" i="3"/>
  <c r="K231" i="3"/>
  <c r="J231" i="3"/>
  <c r="I231" i="3"/>
  <c r="H231" i="3"/>
  <c r="G231" i="3"/>
  <c r="F231" i="3"/>
  <c r="E231" i="3"/>
  <c r="D231" i="3"/>
  <c r="C231" i="3"/>
  <c r="B231" i="3"/>
  <c r="A231" i="3" s="1"/>
  <c r="Q230" i="3"/>
  <c r="P230" i="3"/>
  <c r="O230" i="3"/>
  <c r="N230" i="3"/>
  <c r="L230" i="3"/>
  <c r="K230" i="3"/>
  <c r="J230" i="3"/>
  <c r="I230" i="3"/>
  <c r="H230" i="3"/>
  <c r="G230" i="3"/>
  <c r="F230" i="3"/>
  <c r="E230" i="3"/>
  <c r="D230" i="3"/>
  <c r="C230" i="3"/>
  <c r="B230" i="3"/>
  <c r="A230" i="3" s="1"/>
  <c r="Q229" i="3"/>
  <c r="P229" i="3"/>
  <c r="O229" i="3"/>
  <c r="N229" i="3"/>
  <c r="L229" i="3"/>
  <c r="K229" i="3"/>
  <c r="J229" i="3"/>
  <c r="I229" i="3"/>
  <c r="H229" i="3"/>
  <c r="G229" i="3"/>
  <c r="F229" i="3"/>
  <c r="E229" i="3"/>
  <c r="D229" i="3"/>
  <c r="C229" i="3"/>
  <c r="B229" i="3"/>
  <c r="A229" i="3" s="1"/>
  <c r="Q228" i="3"/>
  <c r="P228" i="3"/>
  <c r="O228" i="3"/>
  <c r="N228" i="3"/>
  <c r="L228" i="3"/>
  <c r="K228" i="3"/>
  <c r="J228" i="3"/>
  <c r="I228" i="3"/>
  <c r="H228" i="3"/>
  <c r="G228" i="3"/>
  <c r="F228" i="3"/>
  <c r="E228" i="3"/>
  <c r="D228" i="3"/>
  <c r="C228" i="3"/>
  <c r="B228" i="3"/>
  <c r="A228" i="3" s="1"/>
  <c r="Q227" i="3"/>
  <c r="P227" i="3"/>
  <c r="O227" i="3"/>
  <c r="N227" i="3"/>
  <c r="L227" i="3"/>
  <c r="K227" i="3"/>
  <c r="J227" i="3"/>
  <c r="I227" i="3"/>
  <c r="H227" i="3"/>
  <c r="G227" i="3"/>
  <c r="F227" i="3"/>
  <c r="E227" i="3"/>
  <c r="D227" i="3"/>
  <c r="C227" i="3"/>
  <c r="B227" i="3"/>
  <c r="A227" i="3" s="1"/>
  <c r="Q226" i="3"/>
  <c r="P226" i="3"/>
  <c r="O226" i="3"/>
  <c r="N226" i="3"/>
  <c r="L226" i="3"/>
  <c r="K226" i="3"/>
  <c r="J226" i="3"/>
  <c r="I226" i="3"/>
  <c r="H226" i="3"/>
  <c r="G226" i="3"/>
  <c r="F226" i="3"/>
  <c r="E226" i="3"/>
  <c r="D226" i="3"/>
  <c r="C226" i="3"/>
  <c r="B226" i="3"/>
  <c r="A226" i="3" s="1"/>
  <c r="Q225" i="3"/>
  <c r="P225" i="3"/>
  <c r="O225" i="3"/>
  <c r="N225" i="3"/>
  <c r="L225" i="3"/>
  <c r="K225" i="3"/>
  <c r="J225" i="3"/>
  <c r="I225" i="3"/>
  <c r="H225" i="3"/>
  <c r="G225" i="3"/>
  <c r="F225" i="3"/>
  <c r="E225" i="3"/>
  <c r="D225" i="3"/>
  <c r="C225" i="3"/>
  <c r="B225" i="3"/>
  <c r="A225" i="3" s="1"/>
  <c r="Q224" i="3"/>
  <c r="P224" i="3"/>
  <c r="O224" i="3"/>
  <c r="N224" i="3"/>
  <c r="L224" i="3"/>
  <c r="K224" i="3"/>
  <c r="J224" i="3"/>
  <c r="I224" i="3"/>
  <c r="H224" i="3"/>
  <c r="G224" i="3"/>
  <c r="F224" i="3"/>
  <c r="E224" i="3"/>
  <c r="D224" i="3"/>
  <c r="C224" i="3"/>
  <c r="B224" i="3"/>
  <c r="A224" i="3" s="1"/>
  <c r="Q223" i="3"/>
  <c r="P223" i="3"/>
  <c r="O223" i="3"/>
  <c r="N223" i="3"/>
  <c r="L223" i="3"/>
  <c r="K223" i="3"/>
  <c r="J223" i="3"/>
  <c r="I223" i="3"/>
  <c r="H223" i="3"/>
  <c r="G223" i="3"/>
  <c r="F223" i="3"/>
  <c r="E223" i="3"/>
  <c r="D223" i="3"/>
  <c r="C223" i="3"/>
  <c r="B223" i="3"/>
  <c r="A223" i="3" s="1"/>
  <c r="Q222" i="3"/>
  <c r="P222" i="3"/>
  <c r="O222" i="3"/>
  <c r="N222" i="3"/>
  <c r="L222" i="3"/>
  <c r="K222" i="3"/>
  <c r="J222" i="3"/>
  <c r="I222" i="3"/>
  <c r="H222" i="3"/>
  <c r="G222" i="3"/>
  <c r="F222" i="3"/>
  <c r="E222" i="3"/>
  <c r="D222" i="3"/>
  <c r="C222" i="3"/>
  <c r="B222" i="3"/>
  <c r="A222" i="3" s="1"/>
  <c r="Q221" i="3"/>
  <c r="P221" i="3"/>
  <c r="O221" i="3"/>
  <c r="N221" i="3"/>
  <c r="L221" i="3"/>
  <c r="K221" i="3"/>
  <c r="J221" i="3"/>
  <c r="I221" i="3"/>
  <c r="H221" i="3"/>
  <c r="G221" i="3"/>
  <c r="F221" i="3"/>
  <c r="E221" i="3"/>
  <c r="D221" i="3"/>
  <c r="C221" i="3"/>
  <c r="B221" i="3"/>
  <c r="A221" i="3" s="1"/>
  <c r="Q220" i="3"/>
  <c r="P220" i="3"/>
  <c r="O220" i="3"/>
  <c r="N220" i="3"/>
  <c r="L220" i="3"/>
  <c r="K220" i="3"/>
  <c r="J220" i="3"/>
  <c r="I220" i="3"/>
  <c r="H220" i="3"/>
  <c r="G220" i="3"/>
  <c r="F220" i="3"/>
  <c r="E220" i="3"/>
  <c r="D220" i="3"/>
  <c r="C220" i="3"/>
  <c r="B220" i="3"/>
  <c r="A220" i="3" s="1"/>
  <c r="Q219" i="3"/>
  <c r="P219" i="3"/>
  <c r="O219" i="3"/>
  <c r="N219" i="3"/>
  <c r="L219" i="3"/>
  <c r="K219" i="3"/>
  <c r="J219" i="3"/>
  <c r="I219" i="3"/>
  <c r="H219" i="3"/>
  <c r="G219" i="3"/>
  <c r="F219" i="3"/>
  <c r="E219" i="3"/>
  <c r="D219" i="3"/>
  <c r="C219" i="3"/>
  <c r="B219" i="3"/>
  <c r="A219" i="3" s="1"/>
  <c r="Q218" i="3"/>
  <c r="P218" i="3"/>
  <c r="O218" i="3"/>
  <c r="N218" i="3"/>
  <c r="L218" i="3"/>
  <c r="K218" i="3"/>
  <c r="J218" i="3"/>
  <c r="I218" i="3"/>
  <c r="H218" i="3"/>
  <c r="G218" i="3"/>
  <c r="F218" i="3"/>
  <c r="E218" i="3"/>
  <c r="D218" i="3"/>
  <c r="C218" i="3"/>
  <c r="B218" i="3"/>
  <c r="A218" i="3" s="1"/>
  <c r="Q217" i="3"/>
  <c r="P217" i="3"/>
  <c r="O217" i="3"/>
  <c r="N217" i="3"/>
  <c r="L217" i="3"/>
  <c r="K217" i="3"/>
  <c r="J217" i="3"/>
  <c r="I217" i="3"/>
  <c r="H217" i="3"/>
  <c r="G217" i="3"/>
  <c r="F217" i="3"/>
  <c r="E217" i="3"/>
  <c r="D217" i="3"/>
  <c r="C217" i="3"/>
  <c r="B217" i="3"/>
  <c r="A217" i="3" s="1"/>
  <c r="Q216" i="3"/>
  <c r="P216" i="3"/>
  <c r="O216" i="3"/>
  <c r="N216" i="3"/>
  <c r="L216" i="3"/>
  <c r="K216" i="3"/>
  <c r="J216" i="3"/>
  <c r="I216" i="3"/>
  <c r="H216" i="3"/>
  <c r="G216" i="3"/>
  <c r="F216" i="3"/>
  <c r="E216" i="3"/>
  <c r="D216" i="3"/>
  <c r="C216" i="3"/>
  <c r="B216" i="3"/>
  <c r="A216" i="3" s="1"/>
  <c r="Q215" i="3"/>
  <c r="P215" i="3"/>
  <c r="O215" i="3"/>
  <c r="N215" i="3"/>
  <c r="L215" i="3"/>
  <c r="K215" i="3"/>
  <c r="J215" i="3"/>
  <c r="I215" i="3"/>
  <c r="H215" i="3"/>
  <c r="G215" i="3"/>
  <c r="F215" i="3"/>
  <c r="E215" i="3"/>
  <c r="D215" i="3"/>
  <c r="C215" i="3"/>
  <c r="B215" i="3"/>
  <c r="A215" i="3" s="1"/>
  <c r="Q214" i="3"/>
  <c r="P214" i="3"/>
  <c r="O214" i="3"/>
  <c r="N214" i="3"/>
  <c r="L214" i="3"/>
  <c r="K214" i="3"/>
  <c r="J214" i="3"/>
  <c r="I214" i="3"/>
  <c r="H214" i="3"/>
  <c r="G214" i="3"/>
  <c r="F214" i="3"/>
  <c r="E214" i="3"/>
  <c r="D214" i="3"/>
  <c r="C214" i="3"/>
  <c r="B214" i="3"/>
  <c r="A214" i="3" s="1"/>
  <c r="Q213" i="3"/>
  <c r="P213" i="3"/>
  <c r="O213" i="3"/>
  <c r="N213" i="3"/>
  <c r="L213" i="3"/>
  <c r="K213" i="3"/>
  <c r="J213" i="3"/>
  <c r="I213" i="3"/>
  <c r="H213" i="3"/>
  <c r="G213" i="3"/>
  <c r="F213" i="3"/>
  <c r="E213" i="3"/>
  <c r="D213" i="3"/>
  <c r="C213" i="3"/>
  <c r="B213" i="3"/>
  <c r="A213" i="3" s="1"/>
  <c r="Q212" i="3"/>
  <c r="P212" i="3"/>
  <c r="O212" i="3"/>
  <c r="N212" i="3"/>
  <c r="L212" i="3"/>
  <c r="K212" i="3"/>
  <c r="J212" i="3"/>
  <c r="I212" i="3"/>
  <c r="H212" i="3"/>
  <c r="G212" i="3"/>
  <c r="F212" i="3"/>
  <c r="E212" i="3"/>
  <c r="D212" i="3"/>
  <c r="C212" i="3"/>
  <c r="B212" i="3"/>
  <c r="A212" i="3" s="1"/>
  <c r="Q211" i="3"/>
  <c r="P211" i="3"/>
  <c r="O211" i="3"/>
  <c r="N211" i="3"/>
  <c r="L211" i="3"/>
  <c r="K211" i="3"/>
  <c r="J211" i="3"/>
  <c r="I211" i="3"/>
  <c r="H211" i="3"/>
  <c r="G211" i="3"/>
  <c r="F211" i="3"/>
  <c r="E211" i="3"/>
  <c r="D211" i="3"/>
  <c r="C211" i="3"/>
  <c r="B211" i="3"/>
  <c r="A211" i="3" s="1"/>
  <c r="Q210" i="3"/>
  <c r="P210" i="3"/>
  <c r="O210" i="3"/>
  <c r="N210" i="3"/>
  <c r="L210" i="3"/>
  <c r="K210" i="3"/>
  <c r="J210" i="3"/>
  <c r="I210" i="3"/>
  <c r="H210" i="3"/>
  <c r="G210" i="3"/>
  <c r="F210" i="3"/>
  <c r="E210" i="3"/>
  <c r="D210" i="3"/>
  <c r="C210" i="3"/>
  <c r="B210" i="3"/>
  <c r="A210" i="3" s="1"/>
  <c r="Q209" i="3"/>
  <c r="P209" i="3"/>
  <c r="O209" i="3"/>
  <c r="N209" i="3"/>
  <c r="L209" i="3"/>
  <c r="K209" i="3"/>
  <c r="J209" i="3"/>
  <c r="I209" i="3"/>
  <c r="H209" i="3"/>
  <c r="G209" i="3"/>
  <c r="F209" i="3"/>
  <c r="E209" i="3"/>
  <c r="D209" i="3"/>
  <c r="C209" i="3"/>
  <c r="B209" i="3"/>
  <c r="A209" i="3" s="1"/>
  <c r="Q208" i="3"/>
  <c r="P208" i="3"/>
  <c r="O208" i="3"/>
  <c r="N208" i="3"/>
  <c r="L208" i="3"/>
  <c r="K208" i="3"/>
  <c r="J208" i="3"/>
  <c r="I208" i="3"/>
  <c r="H208" i="3"/>
  <c r="G208" i="3"/>
  <c r="F208" i="3"/>
  <c r="E208" i="3"/>
  <c r="D208" i="3"/>
  <c r="C208" i="3"/>
  <c r="B208" i="3"/>
  <c r="A208" i="3" s="1"/>
  <c r="Q207" i="3"/>
  <c r="P207" i="3"/>
  <c r="O207" i="3"/>
  <c r="N207" i="3"/>
  <c r="L207" i="3"/>
  <c r="K207" i="3"/>
  <c r="J207" i="3"/>
  <c r="I207" i="3"/>
  <c r="H207" i="3"/>
  <c r="G207" i="3"/>
  <c r="F207" i="3"/>
  <c r="E207" i="3"/>
  <c r="D207" i="3"/>
  <c r="C207" i="3"/>
  <c r="B207" i="3"/>
  <c r="A207" i="3" s="1"/>
  <c r="Q206" i="3"/>
  <c r="P206" i="3"/>
  <c r="O206" i="3"/>
  <c r="N206" i="3"/>
  <c r="L206" i="3"/>
  <c r="K206" i="3"/>
  <c r="J206" i="3"/>
  <c r="I206" i="3"/>
  <c r="H206" i="3"/>
  <c r="G206" i="3"/>
  <c r="F206" i="3"/>
  <c r="E206" i="3"/>
  <c r="D206" i="3"/>
  <c r="C206" i="3"/>
  <c r="B206" i="3"/>
  <c r="A206" i="3" s="1"/>
  <c r="Q205" i="3"/>
  <c r="P205" i="3"/>
  <c r="O205" i="3"/>
  <c r="N205" i="3"/>
  <c r="L205" i="3"/>
  <c r="K205" i="3"/>
  <c r="J205" i="3"/>
  <c r="I205" i="3"/>
  <c r="H205" i="3"/>
  <c r="G205" i="3"/>
  <c r="F205" i="3"/>
  <c r="E205" i="3"/>
  <c r="D205" i="3"/>
  <c r="C205" i="3"/>
  <c r="B205" i="3"/>
  <c r="A205" i="3" s="1"/>
  <c r="Q204" i="3"/>
  <c r="P204" i="3"/>
  <c r="O204" i="3"/>
  <c r="N204" i="3"/>
  <c r="L204" i="3"/>
  <c r="K204" i="3"/>
  <c r="J204" i="3"/>
  <c r="I204" i="3"/>
  <c r="H204" i="3"/>
  <c r="G204" i="3"/>
  <c r="F204" i="3"/>
  <c r="E204" i="3"/>
  <c r="D204" i="3"/>
  <c r="C204" i="3"/>
  <c r="B204" i="3"/>
  <c r="A204" i="3" s="1"/>
  <c r="Q203" i="3"/>
  <c r="P203" i="3"/>
  <c r="O203" i="3"/>
  <c r="N203" i="3"/>
  <c r="L203" i="3"/>
  <c r="K203" i="3"/>
  <c r="J203" i="3"/>
  <c r="I203" i="3"/>
  <c r="H203" i="3"/>
  <c r="G203" i="3"/>
  <c r="F203" i="3"/>
  <c r="E203" i="3"/>
  <c r="D203" i="3"/>
  <c r="C203" i="3"/>
  <c r="B203" i="3"/>
  <c r="A203" i="3" s="1"/>
  <c r="Q202" i="3"/>
  <c r="P202" i="3"/>
  <c r="O202" i="3"/>
  <c r="N202" i="3"/>
  <c r="L202" i="3"/>
  <c r="K202" i="3"/>
  <c r="J202" i="3"/>
  <c r="I202" i="3"/>
  <c r="H202" i="3"/>
  <c r="G202" i="3"/>
  <c r="F202" i="3"/>
  <c r="E202" i="3"/>
  <c r="D202" i="3"/>
  <c r="C202" i="3"/>
  <c r="B202" i="3"/>
  <c r="A202" i="3" s="1"/>
  <c r="Q201" i="3"/>
  <c r="P201" i="3"/>
  <c r="O201" i="3"/>
  <c r="N201" i="3"/>
  <c r="L201" i="3"/>
  <c r="K201" i="3"/>
  <c r="J201" i="3"/>
  <c r="I201" i="3"/>
  <c r="H201" i="3"/>
  <c r="G201" i="3"/>
  <c r="F201" i="3"/>
  <c r="E201" i="3"/>
  <c r="D201" i="3"/>
  <c r="C201" i="3"/>
  <c r="B201" i="3"/>
  <c r="A201" i="3" s="1"/>
  <c r="Q200" i="3"/>
  <c r="P200" i="3"/>
  <c r="O200" i="3"/>
  <c r="N200" i="3"/>
  <c r="L200" i="3"/>
  <c r="K200" i="3"/>
  <c r="J200" i="3"/>
  <c r="I200" i="3"/>
  <c r="H200" i="3"/>
  <c r="G200" i="3"/>
  <c r="F200" i="3"/>
  <c r="E200" i="3"/>
  <c r="D200" i="3"/>
  <c r="C200" i="3"/>
  <c r="B200" i="3"/>
  <c r="A200" i="3" s="1"/>
  <c r="Q199" i="3"/>
  <c r="P199" i="3"/>
  <c r="O199" i="3"/>
  <c r="N199" i="3"/>
  <c r="L199" i="3"/>
  <c r="K199" i="3"/>
  <c r="J199" i="3"/>
  <c r="I199" i="3"/>
  <c r="H199" i="3"/>
  <c r="G199" i="3"/>
  <c r="F199" i="3"/>
  <c r="E199" i="3"/>
  <c r="D199" i="3"/>
  <c r="C199" i="3"/>
  <c r="B199" i="3"/>
  <c r="A199" i="3" s="1"/>
  <c r="Q198" i="3"/>
  <c r="P198" i="3"/>
  <c r="O198" i="3"/>
  <c r="N198" i="3"/>
  <c r="L198" i="3"/>
  <c r="K198" i="3"/>
  <c r="J198" i="3"/>
  <c r="I198" i="3"/>
  <c r="H198" i="3"/>
  <c r="G198" i="3"/>
  <c r="F198" i="3"/>
  <c r="E198" i="3"/>
  <c r="D198" i="3"/>
  <c r="C198" i="3"/>
  <c r="B198" i="3"/>
  <c r="A198" i="3" s="1"/>
  <c r="Q197" i="3"/>
  <c r="P197" i="3"/>
  <c r="O197" i="3"/>
  <c r="N197" i="3"/>
  <c r="L197" i="3"/>
  <c r="K197" i="3"/>
  <c r="J197" i="3"/>
  <c r="I197" i="3"/>
  <c r="H197" i="3"/>
  <c r="G197" i="3"/>
  <c r="F197" i="3"/>
  <c r="E197" i="3"/>
  <c r="D197" i="3"/>
  <c r="C197" i="3"/>
  <c r="B197" i="3"/>
  <c r="A197" i="3" s="1"/>
  <c r="Q196" i="3"/>
  <c r="P196" i="3"/>
  <c r="O196" i="3"/>
  <c r="N196" i="3"/>
  <c r="L196" i="3"/>
  <c r="K196" i="3"/>
  <c r="J196" i="3"/>
  <c r="I196" i="3"/>
  <c r="H196" i="3"/>
  <c r="G196" i="3"/>
  <c r="F196" i="3"/>
  <c r="E196" i="3"/>
  <c r="D196" i="3"/>
  <c r="C196" i="3"/>
  <c r="B196" i="3"/>
  <c r="A196" i="3" s="1"/>
  <c r="Q195" i="3"/>
  <c r="P195" i="3"/>
  <c r="O195" i="3"/>
  <c r="N195" i="3"/>
  <c r="L195" i="3"/>
  <c r="K195" i="3"/>
  <c r="J195" i="3"/>
  <c r="I195" i="3"/>
  <c r="H195" i="3"/>
  <c r="G195" i="3"/>
  <c r="F195" i="3"/>
  <c r="E195" i="3"/>
  <c r="D195" i="3"/>
  <c r="C195" i="3"/>
  <c r="B195" i="3"/>
  <c r="A195" i="3" s="1"/>
  <c r="Q194" i="3"/>
  <c r="P194" i="3"/>
  <c r="O194" i="3"/>
  <c r="N194" i="3"/>
  <c r="L194" i="3"/>
  <c r="K194" i="3"/>
  <c r="J194" i="3"/>
  <c r="I194" i="3"/>
  <c r="H194" i="3"/>
  <c r="G194" i="3"/>
  <c r="F194" i="3"/>
  <c r="E194" i="3"/>
  <c r="D194" i="3"/>
  <c r="C194" i="3"/>
  <c r="B194" i="3"/>
  <c r="A194" i="3" s="1"/>
  <c r="Q193" i="3"/>
  <c r="P193" i="3"/>
  <c r="O193" i="3"/>
  <c r="N193" i="3"/>
  <c r="L193" i="3"/>
  <c r="K193" i="3"/>
  <c r="J193" i="3"/>
  <c r="I193" i="3"/>
  <c r="H193" i="3"/>
  <c r="G193" i="3"/>
  <c r="F193" i="3"/>
  <c r="E193" i="3"/>
  <c r="D193" i="3"/>
  <c r="C193" i="3"/>
  <c r="B193" i="3"/>
  <c r="A193" i="3" s="1"/>
  <c r="Q192" i="3"/>
  <c r="P192" i="3"/>
  <c r="O192" i="3"/>
  <c r="N192" i="3"/>
  <c r="L192" i="3"/>
  <c r="K192" i="3"/>
  <c r="J192" i="3"/>
  <c r="I192" i="3"/>
  <c r="H192" i="3"/>
  <c r="G192" i="3"/>
  <c r="F192" i="3"/>
  <c r="E192" i="3"/>
  <c r="D192" i="3"/>
  <c r="C192" i="3"/>
  <c r="B192" i="3"/>
  <c r="A192" i="3" s="1"/>
  <c r="Q191" i="3"/>
  <c r="P191" i="3"/>
  <c r="O191" i="3"/>
  <c r="N191" i="3"/>
  <c r="L191" i="3"/>
  <c r="K191" i="3"/>
  <c r="J191" i="3"/>
  <c r="I191" i="3"/>
  <c r="H191" i="3"/>
  <c r="G191" i="3"/>
  <c r="F191" i="3"/>
  <c r="E191" i="3"/>
  <c r="D191" i="3"/>
  <c r="C191" i="3"/>
  <c r="B191" i="3"/>
  <c r="A191" i="3" s="1"/>
  <c r="Q190" i="3"/>
  <c r="P190" i="3"/>
  <c r="O190" i="3"/>
  <c r="N190" i="3"/>
  <c r="L190" i="3"/>
  <c r="K190" i="3"/>
  <c r="J190" i="3"/>
  <c r="I190" i="3"/>
  <c r="H190" i="3"/>
  <c r="G190" i="3"/>
  <c r="F190" i="3"/>
  <c r="E190" i="3"/>
  <c r="D190" i="3"/>
  <c r="C190" i="3"/>
  <c r="B190" i="3"/>
  <c r="A190" i="3" s="1"/>
  <c r="Q189" i="3"/>
  <c r="P189" i="3"/>
  <c r="O189" i="3"/>
  <c r="N189" i="3"/>
  <c r="L189" i="3"/>
  <c r="K189" i="3"/>
  <c r="J189" i="3"/>
  <c r="I189" i="3"/>
  <c r="H189" i="3"/>
  <c r="G189" i="3"/>
  <c r="F189" i="3"/>
  <c r="E189" i="3"/>
  <c r="D189" i="3"/>
  <c r="C189" i="3"/>
  <c r="B189" i="3"/>
  <c r="A189" i="3" s="1"/>
  <c r="Q188" i="3"/>
  <c r="P188" i="3"/>
  <c r="O188" i="3"/>
  <c r="N188" i="3"/>
  <c r="L188" i="3"/>
  <c r="K188" i="3"/>
  <c r="J188" i="3"/>
  <c r="I188" i="3"/>
  <c r="H188" i="3"/>
  <c r="G188" i="3"/>
  <c r="F188" i="3"/>
  <c r="E188" i="3"/>
  <c r="D188" i="3"/>
  <c r="C188" i="3"/>
  <c r="B188" i="3"/>
  <c r="A188" i="3" s="1"/>
  <c r="Q187" i="3"/>
  <c r="P187" i="3"/>
  <c r="O187" i="3"/>
  <c r="N187" i="3"/>
  <c r="L187" i="3"/>
  <c r="K187" i="3"/>
  <c r="J187" i="3"/>
  <c r="I187" i="3"/>
  <c r="H187" i="3"/>
  <c r="G187" i="3"/>
  <c r="F187" i="3"/>
  <c r="E187" i="3"/>
  <c r="D187" i="3"/>
  <c r="C187" i="3"/>
  <c r="B187" i="3"/>
  <c r="A187" i="3" s="1"/>
  <c r="Q186" i="3"/>
  <c r="P186" i="3"/>
  <c r="O186" i="3"/>
  <c r="N186" i="3"/>
  <c r="L186" i="3"/>
  <c r="K186" i="3"/>
  <c r="J186" i="3"/>
  <c r="I186" i="3"/>
  <c r="H186" i="3"/>
  <c r="G186" i="3"/>
  <c r="F186" i="3"/>
  <c r="E186" i="3"/>
  <c r="D186" i="3"/>
  <c r="C186" i="3"/>
  <c r="B186" i="3"/>
  <c r="A186" i="3" s="1"/>
  <c r="Q185" i="3"/>
  <c r="P185" i="3"/>
  <c r="O185" i="3"/>
  <c r="N185" i="3"/>
  <c r="L185" i="3"/>
  <c r="K185" i="3"/>
  <c r="J185" i="3"/>
  <c r="I185" i="3"/>
  <c r="H185" i="3"/>
  <c r="G185" i="3"/>
  <c r="F185" i="3"/>
  <c r="E185" i="3"/>
  <c r="D185" i="3"/>
  <c r="C185" i="3"/>
  <c r="B185" i="3"/>
  <c r="A185" i="3" s="1"/>
  <c r="Q184" i="3"/>
  <c r="P184" i="3"/>
  <c r="O184" i="3"/>
  <c r="N184" i="3"/>
  <c r="L184" i="3"/>
  <c r="K184" i="3"/>
  <c r="J184" i="3"/>
  <c r="I184" i="3"/>
  <c r="H184" i="3"/>
  <c r="G184" i="3"/>
  <c r="F184" i="3"/>
  <c r="E184" i="3"/>
  <c r="D184" i="3"/>
  <c r="C184" i="3"/>
  <c r="B184" i="3"/>
  <c r="A184" i="3" s="1"/>
  <c r="Q183" i="3"/>
  <c r="P183" i="3"/>
  <c r="O183" i="3"/>
  <c r="N183" i="3"/>
  <c r="L183" i="3"/>
  <c r="K183" i="3"/>
  <c r="J183" i="3"/>
  <c r="I183" i="3"/>
  <c r="H183" i="3"/>
  <c r="G183" i="3"/>
  <c r="F183" i="3"/>
  <c r="E183" i="3"/>
  <c r="D183" i="3"/>
  <c r="C183" i="3"/>
  <c r="B183" i="3"/>
  <c r="A183" i="3" s="1"/>
  <c r="Q182" i="3"/>
  <c r="P182" i="3"/>
  <c r="O182" i="3"/>
  <c r="N182" i="3"/>
  <c r="L182" i="3"/>
  <c r="K182" i="3"/>
  <c r="J182" i="3"/>
  <c r="I182" i="3"/>
  <c r="H182" i="3"/>
  <c r="G182" i="3"/>
  <c r="F182" i="3"/>
  <c r="E182" i="3"/>
  <c r="D182" i="3"/>
  <c r="C182" i="3"/>
  <c r="B182" i="3"/>
  <c r="A182" i="3" s="1"/>
  <c r="Q181" i="3"/>
  <c r="P181" i="3"/>
  <c r="O181" i="3"/>
  <c r="N181" i="3"/>
  <c r="L181" i="3"/>
  <c r="K181" i="3"/>
  <c r="J181" i="3"/>
  <c r="I181" i="3"/>
  <c r="H181" i="3"/>
  <c r="G181" i="3"/>
  <c r="F181" i="3"/>
  <c r="E181" i="3"/>
  <c r="D181" i="3"/>
  <c r="C181" i="3"/>
  <c r="B181" i="3"/>
  <c r="A181" i="3" s="1"/>
  <c r="Q180" i="3"/>
  <c r="P180" i="3"/>
  <c r="O180" i="3"/>
  <c r="N180" i="3"/>
  <c r="L180" i="3"/>
  <c r="K180" i="3"/>
  <c r="J180" i="3"/>
  <c r="I180" i="3"/>
  <c r="H180" i="3"/>
  <c r="G180" i="3"/>
  <c r="F180" i="3"/>
  <c r="E180" i="3"/>
  <c r="D180" i="3"/>
  <c r="C180" i="3"/>
  <c r="B180" i="3"/>
  <c r="A180" i="3" s="1"/>
  <c r="Q179" i="3"/>
  <c r="P179" i="3"/>
  <c r="O179" i="3"/>
  <c r="N179" i="3"/>
  <c r="L179" i="3"/>
  <c r="K179" i="3"/>
  <c r="J179" i="3"/>
  <c r="I179" i="3"/>
  <c r="H179" i="3"/>
  <c r="G179" i="3"/>
  <c r="F179" i="3"/>
  <c r="E179" i="3"/>
  <c r="D179" i="3"/>
  <c r="C179" i="3"/>
  <c r="B179" i="3"/>
  <c r="A179" i="3" s="1"/>
  <c r="Q178" i="3"/>
  <c r="P178" i="3"/>
  <c r="O178" i="3"/>
  <c r="N178" i="3"/>
  <c r="L178" i="3"/>
  <c r="K178" i="3"/>
  <c r="J178" i="3"/>
  <c r="I178" i="3"/>
  <c r="H178" i="3"/>
  <c r="G178" i="3"/>
  <c r="F178" i="3"/>
  <c r="E178" i="3"/>
  <c r="D178" i="3"/>
  <c r="C178" i="3"/>
  <c r="B178" i="3"/>
  <c r="A178" i="3" s="1"/>
  <c r="Q177" i="3"/>
  <c r="P177" i="3"/>
  <c r="O177" i="3"/>
  <c r="N177" i="3"/>
  <c r="L177" i="3"/>
  <c r="K177" i="3"/>
  <c r="J177" i="3"/>
  <c r="I177" i="3"/>
  <c r="H177" i="3"/>
  <c r="G177" i="3"/>
  <c r="F177" i="3"/>
  <c r="E177" i="3"/>
  <c r="D177" i="3"/>
  <c r="C177" i="3"/>
  <c r="B177" i="3"/>
  <c r="A177" i="3" s="1"/>
  <c r="Q176" i="3"/>
  <c r="P176" i="3"/>
  <c r="O176" i="3"/>
  <c r="N176" i="3"/>
  <c r="L176" i="3"/>
  <c r="K176" i="3"/>
  <c r="J176" i="3"/>
  <c r="I176" i="3"/>
  <c r="H176" i="3"/>
  <c r="G176" i="3"/>
  <c r="F176" i="3"/>
  <c r="E176" i="3"/>
  <c r="D176" i="3"/>
  <c r="C176" i="3"/>
  <c r="B176" i="3"/>
  <c r="A176" i="3" s="1"/>
  <c r="Q175" i="3"/>
  <c r="P175" i="3"/>
  <c r="O175" i="3"/>
  <c r="N175" i="3"/>
  <c r="L175" i="3"/>
  <c r="K175" i="3"/>
  <c r="J175" i="3"/>
  <c r="I175" i="3"/>
  <c r="H175" i="3"/>
  <c r="G175" i="3"/>
  <c r="F175" i="3"/>
  <c r="E175" i="3"/>
  <c r="D175" i="3"/>
  <c r="C175" i="3"/>
  <c r="B175" i="3"/>
  <c r="A175" i="3" s="1"/>
  <c r="Q174" i="3"/>
  <c r="P174" i="3"/>
  <c r="O174" i="3"/>
  <c r="N174" i="3"/>
  <c r="L174" i="3"/>
  <c r="K174" i="3"/>
  <c r="J174" i="3"/>
  <c r="I174" i="3"/>
  <c r="H174" i="3"/>
  <c r="G174" i="3"/>
  <c r="F174" i="3"/>
  <c r="E174" i="3"/>
  <c r="D174" i="3"/>
  <c r="C174" i="3"/>
  <c r="B174" i="3"/>
  <c r="A174" i="3" s="1"/>
  <c r="Q173" i="3"/>
  <c r="P173" i="3"/>
  <c r="O173" i="3"/>
  <c r="N173" i="3"/>
  <c r="L173" i="3"/>
  <c r="K173" i="3"/>
  <c r="J173" i="3"/>
  <c r="I173" i="3"/>
  <c r="H173" i="3"/>
  <c r="G173" i="3"/>
  <c r="F173" i="3"/>
  <c r="E173" i="3"/>
  <c r="D173" i="3"/>
  <c r="C173" i="3"/>
  <c r="B173" i="3"/>
  <c r="A173" i="3" s="1"/>
  <c r="Q172" i="3"/>
  <c r="P172" i="3"/>
  <c r="O172" i="3"/>
  <c r="N172" i="3"/>
  <c r="L172" i="3"/>
  <c r="K172" i="3"/>
  <c r="J172" i="3"/>
  <c r="I172" i="3"/>
  <c r="H172" i="3"/>
  <c r="G172" i="3"/>
  <c r="F172" i="3"/>
  <c r="E172" i="3"/>
  <c r="D172" i="3"/>
  <c r="C172" i="3"/>
  <c r="B172" i="3"/>
  <c r="A172" i="3" s="1"/>
  <c r="Q171" i="3"/>
  <c r="P171" i="3"/>
  <c r="O171" i="3"/>
  <c r="N171" i="3"/>
  <c r="L171" i="3"/>
  <c r="K171" i="3"/>
  <c r="J171" i="3"/>
  <c r="I171" i="3"/>
  <c r="H171" i="3"/>
  <c r="G171" i="3"/>
  <c r="F171" i="3"/>
  <c r="E171" i="3"/>
  <c r="D171" i="3"/>
  <c r="C171" i="3"/>
  <c r="B171" i="3"/>
  <c r="A171" i="3" s="1"/>
  <c r="Q170" i="3"/>
  <c r="P170" i="3"/>
  <c r="O170" i="3"/>
  <c r="N170" i="3"/>
  <c r="L170" i="3"/>
  <c r="K170" i="3"/>
  <c r="J170" i="3"/>
  <c r="I170" i="3"/>
  <c r="H170" i="3"/>
  <c r="G170" i="3"/>
  <c r="F170" i="3"/>
  <c r="E170" i="3"/>
  <c r="D170" i="3"/>
  <c r="C170" i="3"/>
  <c r="B170" i="3"/>
  <c r="A170" i="3" s="1"/>
  <c r="Q169" i="3"/>
  <c r="P169" i="3"/>
  <c r="O169" i="3"/>
  <c r="N169" i="3"/>
  <c r="L169" i="3"/>
  <c r="K169" i="3"/>
  <c r="J169" i="3"/>
  <c r="I169" i="3"/>
  <c r="H169" i="3"/>
  <c r="G169" i="3"/>
  <c r="F169" i="3"/>
  <c r="E169" i="3"/>
  <c r="D169" i="3"/>
  <c r="C169" i="3"/>
  <c r="B169" i="3"/>
  <c r="A169" i="3" s="1"/>
  <c r="Q168" i="3"/>
  <c r="P168" i="3"/>
  <c r="O168" i="3"/>
  <c r="N168" i="3"/>
  <c r="L168" i="3"/>
  <c r="K168" i="3"/>
  <c r="J168" i="3"/>
  <c r="I168" i="3"/>
  <c r="H168" i="3"/>
  <c r="G168" i="3"/>
  <c r="F168" i="3"/>
  <c r="E168" i="3"/>
  <c r="D168" i="3"/>
  <c r="C168" i="3"/>
  <c r="B168" i="3"/>
  <c r="A168" i="3" s="1"/>
  <c r="Q167" i="3"/>
  <c r="P167" i="3"/>
  <c r="O167" i="3"/>
  <c r="N167" i="3"/>
  <c r="L167" i="3"/>
  <c r="K167" i="3"/>
  <c r="J167" i="3"/>
  <c r="I167" i="3"/>
  <c r="H167" i="3"/>
  <c r="G167" i="3"/>
  <c r="F167" i="3"/>
  <c r="E167" i="3"/>
  <c r="D167" i="3"/>
  <c r="C167" i="3"/>
  <c r="B167" i="3"/>
  <c r="A167" i="3" s="1"/>
  <c r="Q166" i="3"/>
  <c r="P166" i="3"/>
  <c r="O166" i="3"/>
  <c r="N166" i="3"/>
  <c r="L166" i="3"/>
  <c r="K166" i="3"/>
  <c r="J166" i="3"/>
  <c r="I166" i="3"/>
  <c r="H166" i="3"/>
  <c r="G166" i="3"/>
  <c r="F166" i="3"/>
  <c r="E166" i="3"/>
  <c r="D166" i="3"/>
  <c r="C166" i="3"/>
  <c r="B166" i="3"/>
  <c r="A166" i="3" s="1"/>
  <c r="Q165" i="3"/>
  <c r="P165" i="3"/>
  <c r="O165" i="3"/>
  <c r="N165" i="3"/>
  <c r="L165" i="3"/>
  <c r="K165" i="3"/>
  <c r="J165" i="3"/>
  <c r="I165" i="3"/>
  <c r="H165" i="3"/>
  <c r="G165" i="3"/>
  <c r="F165" i="3"/>
  <c r="E165" i="3"/>
  <c r="D165" i="3"/>
  <c r="C165" i="3"/>
  <c r="B165" i="3"/>
  <c r="A165" i="3" s="1"/>
  <c r="Q164" i="3"/>
  <c r="P164" i="3"/>
  <c r="O164" i="3"/>
  <c r="N164" i="3"/>
  <c r="L164" i="3"/>
  <c r="K164" i="3"/>
  <c r="J164" i="3"/>
  <c r="I164" i="3"/>
  <c r="H164" i="3"/>
  <c r="G164" i="3"/>
  <c r="F164" i="3"/>
  <c r="E164" i="3"/>
  <c r="D164" i="3"/>
  <c r="C164" i="3"/>
  <c r="B164" i="3"/>
  <c r="A164" i="3" s="1"/>
  <c r="Q163" i="3"/>
  <c r="P163" i="3"/>
  <c r="O163" i="3"/>
  <c r="N163" i="3"/>
  <c r="L163" i="3"/>
  <c r="K163" i="3"/>
  <c r="J163" i="3"/>
  <c r="I163" i="3"/>
  <c r="H163" i="3"/>
  <c r="G163" i="3"/>
  <c r="F163" i="3"/>
  <c r="E163" i="3"/>
  <c r="D163" i="3"/>
  <c r="C163" i="3"/>
  <c r="B163" i="3"/>
  <c r="A163" i="3" s="1"/>
  <c r="Q162" i="3"/>
  <c r="P162" i="3"/>
  <c r="O162" i="3"/>
  <c r="N162" i="3"/>
  <c r="L162" i="3"/>
  <c r="K162" i="3"/>
  <c r="J162" i="3"/>
  <c r="I162" i="3"/>
  <c r="H162" i="3"/>
  <c r="G162" i="3"/>
  <c r="F162" i="3"/>
  <c r="E162" i="3"/>
  <c r="D162" i="3"/>
  <c r="C162" i="3"/>
  <c r="B162" i="3"/>
  <c r="A162" i="3" s="1"/>
  <c r="Q161" i="3"/>
  <c r="P161" i="3"/>
  <c r="O161" i="3"/>
  <c r="N161" i="3"/>
  <c r="L161" i="3"/>
  <c r="K161" i="3"/>
  <c r="J161" i="3"/>
  <c r="I161" i="3"/>
  <c r="H161" i="3"/>
  <c r="G161" i="3"/>
  <c r="F161" i="3"/>
  <c r="E161" i="3"/>
  <c r="D161" i="3"/>
  <c r="C161" i="3"/>
  <c r="B161" i="3"/>
  <c r="A161" i="3" s="1"/>
  <c r="Q160" i="3"/>
  <c r="P160" i="3"/>
  <c r="O160" i="3"/>
  <c r="N160" i="3"/>
  <c r="L160" i="3"/>
  <c r="K160" i="3"/>
  <c r="J160" i="3"/>
  <c r="I160" i="3"/>
  <c r="H160" i="3"/>
  <c r="G160" i="3"/>
  <c r="F160" i="3"/>
  <c r="E160" i="3"/>
  <c r="D160" i="3"/>
  <c r="C160" i="3"/>
  <c r="B160" i="3"/>
  <c r="A160" i="3" s="1"/>
  <c r="Q159" i="3"/>
  <c r="P159" i="3"/>
  <c r="O159" i="3"/>
  <c r="N159" i="3"/>
  <c r="L159" i="3"/>
  <c r="K159" i="3"/>
  <c r="J159" i="3"/>
  <c r="I159" i="3"/>
  <c r="H159" i="3"/>
  <c r="G159" i="3"/>
  <c r="F159" i="3"/>
  <c r="E159" i="3"/>
  <c r="D159" i="3"/>
  <c r="C159" i="3"/>
  <c r="B159" i="3"/>
  <c r="A159" i="3" s="1"/>
  <c r="Q158" i="3"/>
  <c r="P158" i="3"/>
  <c r="O158" i="3"/>
  <c r="N158" i="3"/>
  <c r="L158" i="3"/>
  <c r="K158" i="3"/>
  <c r="J158" i="3"/>
  <c r="I158" i="3"/>
  <c r="H158" i="3"/>
  <c r="G158" i="3"/>
  <c r="F158" i="3"/>
  <c r="E158" i="3"/>
  <c r="D158" i="3"/>
  <c r="C158" i="3"/>
  <c r="B158" i="3"/>
  <c r="A158" i="3" s="1"/>
  <c r="Q157" i="3"/>
  <c r="P157" i="3"/>
  <c r="O157" i="3"/>
  <c r="N157" i="3"/>
  <c r="L157" i="3"/>
  <c r="K157" i="3"/>
  <c r="J157" i="3"/>
  <c r="I157" i="3"/>
  <c r="H157" i="3"/>
  <c r="G157" i="3"/>
  <c r="F157" i="3"/>
  <c r="E157" i="3"/>
  <c r="D157" i="3"/>
  <c r="C157" i="3"/>
  <c r="B157" i="3"/>
  <c r="A157" i="3" s="1"/>
  <c r="Q156" i="3"/>
  <c r="P156" i="3"/>
  <c r="O156" i="3"/>
  <c r="N156" i="3"/>
  <c r="L156" i="3"/>
  <c r="K156" i="3"/>
  <c r="J156" i="3"/>
  <c r="I156" i="3"/>
  <c r="H156" i="3"/>
  <c r="G156" i="3"/>
  <c r="F156" i="3"/>
  <c r="E156" i="3"/>
  <c r="D156" i="3"/>
  <c r="C156" i="3"/>
  <c r="B156" i="3"/>
  <c r="A156" i="3" s="1"/>
  <c r="Q155" i="3"/>
  <c r="P155" i="3"/>
  <c r="O155" i="3"/>
  <c r="N155" i="3"/>
  <c r="L155" i="3"/>
  <c r="K155" i="3"/>
  <c r="J155" i="3"/>
  <c r="I155" i="3"/>
  <c r="H155" i="3"/>
  <c r="G155" i="3"/>
  <c r="F155" i="3"/>
  <c r="E155" i="3"/>
  <c r="D155" i="3"/>
  <c r="C155" i="3"/>
  <c r="B155" i="3"/>
  <c r="A155" i="3" s="1"/>
  <c r="Q154" i="3"/>
  <c r="P154" i="3"/>
  <c r="O154" i="3"/>
  <c r="N154" i="3"/>
  <c r="L154" i="3"/>
  <c r="K154" i="3"/>
  <c r="J154" i="3"/>
  <c r="I154" i="3"/>
  <c r="H154" i="3"/>
  <c r="G154" i="3"/>
  <c r="F154" i="3"/>
  <c r="E154" i="3"/>
  <c r="D154" i="3"/>
  <c r="C154" i="3"/>
  <c r="B154" i="3"/>
  <c r="A154" i="3" s="1"/>
  <c r="Q153" i="3"/>
  <c r="P153" i="3"/>
  <c r="O153" i="3"/>
  <c r="N153" i="3"/>
  <c r="L153" i="3"/>
  <c r="K153" i="3"/>
  <c r="J153" i="3"/>
  <c r="I153" i="3"/>
  <c r="H153" i="3"/>
  <c r="G153" i="3"/>
  <c r="F153" i="3"/>
  <c r="E153" i="3"/>
  <c r="D153" i="3"/>
  <c r="C153" i="3"/>
  <c r="B153" i="3"/>
  <c r="A153" i="3" s="1"/>
  <c r="Q152" i="3"/>
  <c r="P152" i="3"/>
  <c r="O152" i="3"/>
  <c r="N152" i="3"/>
  <c r="L152" i="3"/>
  <c r="K152" i="3"/>
  <c r="J152" i="3"/>
  <c r="I152" i="3"/>
  <c r="H152" i="3"/>
  <c r="G152" i="3"/>
  <c r="F152" i="3"/>
  <c r="E152" i="3"/>
  <c r="D152" i="3"/>
  <c r="C152" i="3"/>
  <c r="B152" i="3"/>
  <c r="A152" i="3" s="1"/>
  <c r="Q151" i="3"/>
  <c r="P151" i="3"/>
  <c r="O151" i="3"/>
  <c r="N151" i="3"/>
  <c r="L151" i="3"/>
  <c r="K151" i="3"/>
  <c r="J151" i="3"/>
  <c r="I151" i="3"/>
  <c r="H151" i="3"/>
  <c r="G151" i="3"/>
  <c r="F151" i="3"/>
  <c r="E151" i="3"/>
  <c r="D151" i="3"/>
  <c r="C151" i="3"/>
  <c r="B151" i="3"/>
  <c r="A151" i="3" s="1"/>
  <c r="Q150" i="3"/>
  <c r="P150" i="3"/>
  <c r="O150" i="3"/>
  <c r="N150" i="3"/>
  <c r="L150" i="3"/>
  <c r="K150" i="3"/>
  <c r="J150" i="3"/>
  <c r="I150" i="3"/>
  <c r="H150" i="3"/>
  <c r="G150" i="3"/>
  <c r="F150" i="3"/>
  <c r="E150" i="3"/>
  <c r="D150" i="3"/>
  <c r="C150" i="3"/>
  <c r="B150" i="3"/>
  <c r="A150" i="3" s="1"/>
  <c r="Q149" i="3"/>
  <c r="P149" i="3"/>
  <c r="O149" i="3"/>
  <c r="N149" i="3"/>
  <c r="L149" i="3"/>
  <c r="K149" i="3"/>
  <c r="J149" i="3"/>
  <c r="I149" i="3"/>
  <c r="H149" i="3"/>
  <c r="G149" i="3"/>
  <c r="F149" i="3"/>
  <c r="E149" i="3"/>
  <c r="D149" i="3"/>
  <c r="C149" i="3"/>
  <c r="B149" i="3"/>
  <c r="A149" i="3" s="1"/>
  <c r="Q148" i="3"/>
  <c r="P148" i="3"/>
  <c r="O148" i="3"/>
  <c r="N148" i="3"/>
  <c r="L148" i="3"/>
  <c r="K148" i="3"/>
  <c r="J148" i="3"/>
  <c r="I148" i="3"/>
  <c r="H148" i="3"/>
  <c r="G148" i="3"/>
  <c r="F148" i="3"/>
  <c r="E148" i="3"/>
  <c r="D148" i="3"/>
  <c r="C148" i="3"/>
  <c r="B148" i="3"/>
  <c r="A148" i="3" s="1"/>
  <c r="Q147" i="3"/>
  <c r="P147" i="3"/>
  <c r="O147" i="3"/>
  <c r="N147" i="3"/>
  <c r="L147" i="3"/>
  <c r="K147" i="3"/>
  <c r="J147" i="3"/>
  <c r="I147" i="3"/>
  <c r="H147" i="3"/>
  <c r="G147" i="3"/>
  <c r="F147" i="3"/>
  <c r="E147" i="3"/>
  <c r="D147" i="3"/>
  <c r="C147" i="3"/>
  <c r="B147" i="3"/>
  <c r="A147" i="3" s="1"/>
  <c r="Q146" i="3"/>
  <c r="P146" i="3"/>
  <c r="O146" i="3"/>
  <c r="N146" i="3"/>
  <c r="L146" i="3"/>
  <c r="K146" i="3"/>
  <c r="J146" i="3"/>
  <c r="I146" i="3"/>
  <c r="H146" i="3"/>
  <c r="G146" i="3"/>
  <c r="F146" i="3"/>
  <c r="E146" i="3"/>
  <c r="D146" i="3"/>
  <c r="C146" i="3"/>
  <c r="B146" i="3"/>
  <c r="A146" i="3" s="1"/>
  <c r="Q145" i="3"/>
  <c r="P145" i="3"/>
  <c r="O145" i="3"/>
  <c r="N145" i="3"/>
  <c r="L145" i="3"/>
  <c r="K145" i="3"/>
  <c r="J145" i="3"/>
  <c r="I145" i="3"/>
  <c r="H145" i="3"/>
  <c r="G145" i="3"/>
  <c r="F145" i="3"/>
  <c r="E145" i="3"/>
  <c r="D145" i="3"/>
  <c r="C145" i="3"/>
  <c r="B145" i="3"/>
  <c r="A145" i="3" s="1"/>
  <c r="Q144" i="3"/>
  <c r="P144" i="3"/>
  <c r="O144" i="3"/>
  <c r="N144" i="3"/>
  <c r="L144" i="3"/>
  <c r="K144" i="3"/>
  <c r="J144" i="3"/>
  <c r="I144" i="3"/>
  <c r="H144" i="3"/>
  <c r="G144" i="3"/>
  <c r="F144" i="3"/>
  <c r="E144" i="3"/>
  <c r="D144" i="3"/>
  <c r="C144" i="3"/>
  <c r="B144" i="3"/>
  <c r="A144" i="3" s="1"/>
  <c r="Q143" i="3"/>
  <c r="P143" i="3"/>
  <c r="O143" i="3"/>
  <c r="N143" i="3"/>
  <c r="L143" i="3"/>
  <c r="K143" i="3"/>
  <c r="J143" i="3"/>
  <c r="I143" i="3"/>
  <c r="H143" i="3"/>
  <c r="G143" i="3"/>
  <c r="F143" i="3"/>
  <c r="E143" i="3"/>
  <c r="D143" i="3"/>
  <c r="C143" i="3"/>
  <c r="B143" i="3"/>
  <c r="A143" i="3" s="1"/>
  <c r="Q142" i="3"/>
  <c r="P142" i="3"/>
  <c r="O142" i="3"/>
  <c r="N142" i="3"/>
  <c r="L142" i="3"/>
  <c r="K142" i="3"/>
  <c r="J142" i="3"/>
  <c r="I142" i="3"/>
  <c r="H142" i="3"/>
  <c r="G142" i="3"/>
  <c r="F142" i="3"/>
  <c r="E142" i="3"/>
  <c r="D142" i="3"/>
  <c r="C142" i="3"/>
  <c r="B142" i="3"/>
  <c r="A142" i="3" s="1"/>
  <c r="Q141" i="3"/>
  <c r="P141" i="3"/>
  <c r="O141" i="3"/>
  <c r="N141" i="3"/>
  <c r="L141" i="3"/>
  <c r="K141" i="3"/>
  <c r="J141" i="3"/>
  <c r="I141" i="3"/>
  <c r="H141" i="3"/>
  <c r="G141" i="3"/>
  <c r="F141" i="3"/>
  <c r="E141" i="3"/>
  <c r="D141" i="3"/>
  <c r="C141" i="3"/>
  <c r="B141" i="3"/>
  <c r="A141" i="3" s="1"/>
  <c r="Q140" i="3"/>
  <c r="P140" i="3"/>
  <c r="O140" i="3"/>
  <c r="N140" i="3"/>
  <c r="L140" i="3"/>
  <c r="K140" i="3"/>
  <c r="J140" i="3"/>
  <c r="I140" i="3"/>
  <c r="H140" i="3"/>
  <c r="G140" i="3"/>
  <c r="F140" i="3"/>
  <c r="E140" i="3"/>
  <c r="D140" i="3"/>
  <c r="C140" i="3"/>
  <c r="B140" i="3"/>
  <c r="A140" i="3" s="1"/>
  <c r="Q139" i="3"/>
  <c r="P139" i="3"/>
  <c r="O139" i="3"/>
  <c r="N139" i="3"/>
  <c r="L139" i="3"/>
  <c r="K139" i="3"/>
  <c r="J139" i="3"/>
  <c r="I139" i="3"/>
  <c r="H139" i="3"/>
  <c r="G139" i="3"/>
  <c r="F139" i="3"/>
  <c r="E139" i="3"/>
  <c r="D139" i="3"/>
  <c r="C139" i="3"/>
  <c r="B139" i="3"/>
  <c r="A139" i="3" s="1"/>
  <c r="Q138" i="3"/>
  <c r="P138" i="3"/>
  <c r="O138" i="3"/>
  <c r="N138" i="3"/>
  <c r="L138" i="3"/>
  <c r="K138" i="3"/>
  <c r="J138" i="3"/>
  <c r="I138" i="3"/>
  <c r="H138" i="3"/>
  <c r="G138" i="3"/>
  <c r="F138" i="3"/>
  <c r="E138" i="3"/>
  <c r="D138" i="3"/>
  <c r="C138" i="3"/>
  <c r="B138" i="3"/>
  <c r="A138" i="3" s="1"/>
  <c r="Q137" i="3"/>
  <c r="P137" i="3"/>
  <c r="O137" i="3"/>
  <c r="N137" i="3"/>
  <c r="L137" i="3"/>
  <c r="K137" i="3"/>
  <c r="J137" i="3"/>
  <c r="I137" i="3"/>
  <c r="H137" i="3"/>
  <c r="G137" i="3"/>
  <c r="F137" i="3"/>
  <c r="E137" i="3"/>
  <c r="D137" i="3"/>
  <c r="C137" i="3"/>
  <c r="B137" i="3"/>
  <c r="A137" i="3" s="1"/>
  <c r="Q136" i="3"/>
  <c r="P136" i="3"/>
  <c r="O136" i="3"/>
  <c r="N136" i="3"/>
  <c r="L136" i="3"/>
  <c r="K136" i="3"/>
  <c r="J136" i="3"/>
  <c r="I136" i="3"/>
  <c r="H136" i="3"/>
  <c r="G136" i="3"/>
  <c r="F136" i="3"/>
  <c r="E136" i="3"/>
  <c r="D136" i="3"/>
  <c r="C136" i="3"/>
  <c r="B136" i="3"/>
  <c r="A136" i="3" s="1"/>
  <c r="Q135" i="3"/>
  <c r="P135" i="3"/>
  <c r="O135" i="3"/>
  <c r="N135" i="3"/>
  <c r="L135" i="3"/>
  <c r="K135" i="3"/>
  <c r="J135" i="3"/>
  <c r="I135" i="3"/>
  <c r="H135" i="3"/>
  <c r="G135" i="3"/>
  <c r="F135" i="3"/>
  <c r="E135" i="3"/>
  <c r="D135" i="3"/>
  <c r="C135" i="3"/>
  <c r="B135" i="3"/>
  <c r="A135" i="3" s="1"/>
  <c r="Q134" i="3"/>
  <c r="P134" i="3"/>
  <c r="O134" i="3"/>
  <c r="N134" i="3"/>
  <c r="L134" i="3"/>
  <c r="K134" i="3"/>
  <c r="J134" i="3"/>
  <c r="I134" i="3"/>
  <c r="H134" i="3"/>
  <c r="G134" i="3"/>
  <c r="F134" i="3"/>
  <c r="E134" i="3"/>
  <c r="D134" i="3"/>
  <c r="C134" i="3"/>
  <c r="B134" i="3"/>
  <c r="A134" i="3" s="1"/>
  <c r="Q133" i="3"/>
  <c r="P133" i="3"/>
  <c r="O133" i="3"/>
  <c r="N133" i="3"/>
  <c r="L133" i="3"/>
  <c r="K133" i="3"/>
  <c r="J133" i="3"/>
  <c r="I133" i="3"/>
  <c r="H133" i="3"/>
  <c r="G133" i="3"/>
  <c r="F133" i="3"/>
  <c r="E133" i="3"/>
  <c r="D133" i="3"/>
  <c r="C133" i="3"/>
  <c r="B133" i="3"/>
  <c r="A133" i="3" s="1"/>
  <c r="Q132" i="3"/>
  <c r="P132" i="3"/>
  <c r="O132" i="3"/>
  <c r="N132" i="3"/>
  <c r="L132" i="3"/>
  <c r="K132" i="3"/>
  <c r="J132" i="3"/>
  <c r="I132" i="3"/>
  <c r="H132" i="3"/>
  <c r="G132" i="3"/>
  <c r="F132" i="3"/>
  <c r="E132" i="3"/>
  <c r="D132" i="3"/>
  <c r="C132" i="3"/>
  <c r="B132" i="3"/>
  <c r="A132" i="3" s="1"/>
  <c r="Q131" i="3"/>
  <c r="P131" i="3"/>
  <c r="O131" i="3"/>
  <c r="N131" i="3"/>
  <c r="L131" i="3"/>
  <c r="K131" i="3"/>
  <c r="J131" i="3"/>
  <c r="I131" i="3"/>
  <c r="H131" i="3"/>
  <c r="G131" i="3"/>
  <c r="F131" i="3"/>
  <c r="E131" i="3"/>
  <c r="D131" i="3"/>
  <c r="C131" i="3"/>
  <c r="B131" i="3"/>
  <c r="A131" i="3" s="1"/>
  <c r="Q130" i="3"/>
  <c r="P130" i="3"/>
  <c r="O130" i="3"/>
  <c r="N130" i="3"/>
  <c r="L130" i="3"/>
  <c r="K130" i="3"/>
  <c r="J130" i="3"/>
  <c r="I130" i="3"/>
  <c r="H130" i="3"/>
  <c r="G130" i="3"/>
  <c r="F130" i="3"/>
  <c r="E130" i="3"/>
  <c r="D130" i="3"/>
  <c r="C130" i="3"/>
  <c r="B130" i="3"/>
  <c r="A130" i="3" s="1"/>
  <c r="Q129" i="3"/>
  <c r="P129" i="3"/>
  <c r="O129" i="3"/>
  <c r="N129" i="3"/>
  <c r="L129" i="3"/>
  <c r="K129" i="3"/>
  <c r="J129" i="3"/>
  <c r="I129" i="3"/>
  <c r="H129" i="3"/>
  <c r="G129" i="3"/>
  <c r="F129" i="3"/>
  <c r="E129" i="3"/>
  <c r="D129" i="3"/>
  <c r="C129" i="3"/>
  <c r="B129" i="3"/>
  <c r="A129" i="3" s="1"/>
  <c r="Q128" i="3"/>
  <c r="P128" i="3"/>
  <c r="O128" i="3"/>
  <c r="N128" i="3"/>
  <c r="L128" i="3"/>
  <c r="K128" i="3"/>
  <c r="J128" i="3"/>
  <c r="I128" i="3"/>
  <c r="H128" i="3"/>
  <c r="G128" i="3"/>
  <c r="F128" i="3"/>
  <c r="E128" i="3"/>
  <c r="D128" i="3"/>
  <c r="C128" i="3"/>
  <c r="B128" i="3"/>
  <c r="A128" i="3" s="1"/>
  <c r="Q127" i="3"/>
  <c r="P127" i="3"/>
  <c r="O127" i="3"/>
  <c r="N127" i="3"/>
  <c r="L127" i="3"/>
  <c r="K127" i="3"/>
  <c r="J127" i="3"/>
  <c r="I127" i="3"/>
  <c r="H127" i="3"/>
  <c r="G127" i="3"/>
  <c r="F127" i="3"/>
  <c r="E127" i="3"/>
  <c r="D127" i="3"/>
  <c r="C127" i="3"/>
  <c r="B127" i="3"/>
  <c r="A127" i="3" s="1"/>
  <c r="Q126" i="3"/>
  <c r="P126" i="3"/>
  <c r="O126" i="3"/>
  <c r="N126" i="3"/>
  <c r="L126" i="3"/>
  <c r="K126" i="3"/>
  <c r="J126" i="3"/>
  <c r="I126" i="3"/>
  <c r="H126" i="3"/>
  <c r="G126" i="3"/>
  <c r="F126" i="3"/>
  <c r="E126" i="3"/>
  <c r="D126" i="3"/>
  <c r="C126" i="3"/>
  <c r="B126" i="3"/>
  <c r="A126" i="3" s="1"/>
  <c r="Q125" i="3"/>
  <c r="P125" i="3"/>
  <c r="O125" i="3"/>
  <c r="N125" i="3"/>
  <c r="L125" i="3"/>
  <c r="K125" i="3"/>
  <c r="J125" i="3"/>
  <c r="I125" i="3"/>
  <c r="H125" i="3"/>
  <c r="G125" i="3"/>
  <c r="F125" i="3"/>
  <c r="E125" i="3"/>
  <c r="D125" i="3"/>
  <c r="C125" i="3"/>
  <c r="B125" i="3"/>
  <c r="A125" i="3" s="1"/>
  <c r="Q124" i="3"/>
  <c r="P124" i="3"/>
  <c r="O124" i="3"/>
  <c r="N124" i="3"/>
  <c r="L124" i="3"/>
  <c r="K124" i="3"/>
  <c r="J124" i="3"/>
  <c r="I124" i="3"/>
  <c r="H124" i="3"/>
  <c r="G124" i="3"/>
  <c r="F124" i="3"/>
  <c r="E124" i="3"/>
  <c r="D124" i="3"/>
  <c r="C124" i="3"/>
  <c r="B124" i="3"/>
  <c r="A124" i="3" s="1"/>
  <c r="Q123" i="3"/>
  <c r="P123" i="3"/>
  <c r="O123" i="3"/>
  <c r="N123" i="3"/>
  <c r="L123" i="3"/>
  <c r="K123" i="3"/>
  <c r="J123" i="3"/>
  <c r="I123" i="3"/>
  <c r="H123" i="3"/>
  <c r="G123" i="3"/>
  <c r="F123" i="3"/>
  <c r="E123" i="3"/>
  <c r="D123" i="3"/>
  <c r="C123" i="3"/>
  <c r="B123" i="3"/>
  <c r="A123" i="3" s="1"/>
  <c r="Q122" i="3"/>
  <c r="P122" i="3"/>
  <c r="O122" i="3"/>
  <c r="N122" i="3"/>
  <c r="L122" i="3"/>
  <c r="K122" i="3"/>
  <c r="J122" i="3"/>
  <c r="I122" i="3"/>
  <c r="H122" i="3"/>
  <c r="G122" i="3"/>
  <c r="F122" i="3"/>
  <c r="E122" i="3"/>
  <c r="D122" i="3"/>
  <c r="C122" i="3"/>
  <c r="B122" i="3"/>
  <c r="A122" i="3" s="1"/>
  <c r="Q121" i="3"/>
  <c r="P121" i="3"/>
  <c r="O121" i="3"/>
  <c r="N121" i="3"/>
  <c r="L121" i="3"/>
  <c r="K121" i="3"/>
  <c r="J121" i="3"/>
  <c r="I121" i="3"/>
  <c r="H121" i="3"/>
  <c r="G121" i="3"/>
  <c r="F121" i="3"/>
  <c r="E121" i="3"/>
  <c r="D121" i="3"/>
  <c r="C121" i="3"/>
  <c r="B121" i="3"/>
  <c r="A121" i="3" s="1"/>
  <c r="Q120" i="3"/>
  <c r="P120" i="3"/>
  <c r="O120" i="3"/>
  <c r="N120" i="3"/>
  <c r="L120" i="3"/>
  <c r="K120" i="3"/>
  <c r="J120" i="3"/>
  <c r="I120" i="3"/>
  <c r="H120" i="3"/>
  <c r="G120" i="3"/>
  <c r="F120" i="3"/>
  <c r="E120" i="3"/>
  <c r="D120" i="3"/>
  <c r="C120" i="3"/>
  <c r="B120" i="3"/>
  <c r="A120" i="3" s="1"/>
  <c r="Q119" i="3"/>
  <c r="P119" i="3"/>
  <c r="O119" i="3"/>
  <c r="N119" i="3"/>
  <c r="L119" i="3"/>
  <c r="K119" i="3"/>
  <c r="J119" i="3"/>
  <c r="I119" i="3"/>
  <c r="H119" i="3"/>
  <c r="G119" i="3"/>
  <c r="F119" i="3"/>
  <c r="E119" i="3"/>
  <c r="D119" i="3"/>
  <c r="C119" i="3"/>
  <c r="B119" i="3"/>
  <c r="A119" i="3" s="1"/>
  <c r="Q118" i="3"/>
  <c r="P118" i="3"/>
  <c r="O118" i="3"/>
  <c r="N118" i="3"/>
  <c r="L118" i="3"/>
  <c r="K118" i="3"/>
  <c r="J118" i="3"/>
  <c r="I118" i="3"/>
  <c r="H118" i="3"/>
  <c r="G118" i="3"/>
  <c r="F118" i="3"/>
  <c r="E118" i="3"/>
  <c r="D118" i="3"/>
  <c r="C118" i="3"/>
  <c r="B118" i="3"/>
  <c r="A118" i="3" s="1"/>
  <c r="Q117" i="3"/>
  <c r="P117" i="3"/>
  <c r="O117" i="3"/>
  <c r="N117" i="3"/>
  <c r="L117" i="3"/>
  <c r="K117" i="3"/>
  <c r="J117" i="3"/>
  <c r="I117" i="3"/>
  <c r="H117" i="3"/>
  <c r="G117" i="3"/>
  <c r="F117" i="3"/>
  <c r="E117" i="3"/>
  <c r="D117" i="3"/>
  <c r="C117" i="3"/>
  <c r="B117" i="3"/>
  <c r="A117" i="3" s="1"/>
  <c r="Q116" i="3"/>
  <c r="P116" i="3"/>
  <c r="O116" i="3"/>
  <c r="N116" i="3"/>
  <c r="L116" i="3"/>
  <c r="K116" i="3"/>
  <c r="J116" i="3"/>
  <c r="I116" i="3"/>
  <c r="H116" i="3"/>
  <c r="G116" i="3"/>
  <c r="F116" i="3"/>
  <c r="E116" i="3"/>
  <c r="D116" i="3"/>
  <c r="C116" i="3"/>
  <c r="B116" i="3"/>
  <c r="A116" i="3" s="1"/>
  <c r="Q115" i="3"/>
  <c r="P115" i="3"/>
  <c r="O115" i="3"/>
  <c r="N115" i="3"/>
  <c r="L115" i="3"/>
  <c r="K115" i="3"/>
  <c r="J115" i="3"/>
  <c r="I115" i="3"/>
  <c r="H115" i="3"/>
  <c r="G115" i="3"/>
  <c r="F115" i="3"/>
  <c r="E115" i="3"/>
  <c r="D115" i="3"/>
  <c r="C115" i="3"/>
  <c r="B115" i="3"/>
  <c r="A115" i="3" s="1"/>
  <c r="Q114" i="3"/>
  <c r="P114" i="3"/>
  <c r="O114" i="3"/>
  <c r="N114" i="3"/>
  <c r="L114" i="3"/>
  <c r="K114" i="3"/>
  <c r="J114" i="3"/>
  <c r="I114" i="3"/>
  <c r="H114" i="3"/>
  <c r="G114" i="3"/>
  <c r="F114" i="3"/>
  <c r="E114" i="3"/>
  <c r="D114" i="3"/>
  <c r="C114" i="3"/>
  <c r="B114" i="3"/>
  <c r="A114" i="3" s="1"/>
  <c r="Q113" i="3"/>
  <c r="P113" i="3"/>
  <c r="O113" i="3"/>
  <c r="N113" i="3"/>
  <c r="L113" i="3"/>
  <c r="K113" i="3"/>
  <c r="J113" i="3"/>
  <c r="I113" i="3"/>
  <c r="H113" i="3"/>
  <c r="G113" i="3"/>
  <c r="F113" i="3"/>
  <c r="E113" i="3"/>
  <c r="D113" i="3"/>
  <c r="C113" i="3"/>
  <c r="B113" i="3"/>
  <c r="A113" i="3" s="1"/>
  <c r="Q112" i="3"/>
  <c r="P112" i="3"/>
  <c r="O112" i="3"/>
  <c r="N112" i="3"/>
  <c r="L112" i="3"/>
  <c r="K112" i="3"/>
  <c r="J112" i="3"/>
  <c r="I112" i="3"/>
  <c r="H112" i="3"/>
  <c r="G112" i="3"/>
  <c r="F112" i="3"/>
  <c r="E112" i="3"/>
  <c r="D112" i="3"/>
  <c r="C112" i="3"/>
  <c r="B112" i="3"/>
  <c r="A112" i="3" s="1"/>
  <c r="Q111" i="3"/>
  <c r="P111" i="3"/>
  <c r="O111" i="3"/>
  <c r="N111" i="3"/>
  <c r="L111" i="3"/>
  <c r="K111" i="3"/>
  <c r="J111" i="3"/>
  <c r="I111" i="3"/>
  <c r="H111" i="3"/>
  <c r="G111" i="3"/>
  <c r="F111" i="3"/>
  <c r="E111" i="3"/>
  <c r="D111" i="3"/>
  <c r="C111" i="3"/>
  <c r="B111" i="3"/>
  <c r="A111" i="3" s="1"/>
  <c r="Q110" i="3"/>
  <c r="P110" i="3"/>
  <c r="O110" i="3"/>
  <c r="N110" i="3"/>
  <c r="L110" i="3"/>
  <c r="K110" i="3"/>
  <c r="J110" i="3"/>
  <c r="I110" i="3"/>
  <c r="H110" i="3"/>
  <c r="G110" i="3"/>
  <c r="F110" i="3"/>
  <c r="E110" i="3"/>
  <c r="D110" i="3"/>
  <c r="C110" i="3"/>
  <c r="B110" i="3"/>
  <c r="A110" i="3" s="1"/>
  <c r="Q109" i="3"/>
  <c r="P109" i="3"/>
  <c r="O109" i="3"/>
  <c r="N109" i="3"/>
  <c r="L109" i="3"/>
  <c r="K109" i="3"/>
  <c r="J109" i="3"/>
  <c r="I109" i="3"/>
  <c r="H109" i="3"/>
  <c r="G109" i="3"/>
  <c r="F109" i="3"/>
  <c r="E109" i="3"/>
  <c r="D109" i="3"/>
  <c r="C109" i="3"/>
  <c r="B109" i="3"/>
  <c r="A109" i="3" s="1"/>
  <c r="Q108" i="3"/>
  <c r="P108" i="3"/>
  <c r="O108" i="3"/>
  <c r="N108" i="3"/>
  <c r="L108" i="3"/>
  <c r="K108" i="3"/>
  <c r="J108" i="3"/>
  <c r="I108" i="3"/>
  <c r="H108" i="3"/>
  <c r="G108" i="3"/>
  <c r="F108" i="3"/>
  <c r="E108" i="3"/>
  <c r="D108" i="3"/>
  <c r="C108" i="3"/>
  <c r="B108" i="3"/>
  <c r="A108" i="3" s="1"/>
  <c r="Q107" i="3"/>
  <c r="P107" i="3"/>
  <c r="O107" i="3"/>
  <c r="N107" i="3"/>
  <c r="L107" i="3"/>
  <c r="K107" i="3"/>
  <c r="J107" i="3"/>
  <c r="I107" i="3"/>
  <c r="H107" i="3"/>
  <c r="G107" i="3"/>
  <c r="F107" i="3"/>
  <c r="E107" i="3"/>
  <c r="D107" i="3"/>
  <c r="C107" i="3"/>
  <c r="B107" i="3"/>
  <c r="A107" i="3" s="1"/>
  <c r="Q106" i="3"/>
  <c r="P106" i="3"/>
  <c r="O106" i="3"/>
  <c r="N106" i="3"/>
  <c r="L106" i="3"/>
  <c r="K106" i="3"/>
  <c r="J106" i="3"/>
  <c r="I106" i="3"/>
  <c r="H106" i="3"/>
  <c r="G106" i="3"/>
  <c r="F106" i="3"/>
  <c r="E106" i="3"/>
  <c r="D106" i="3"/>
  <c r="C106" i="3"/>
  <c r="B106" i="3"/>
  <c r="A106" i="3" s="1"/>
  <c r="Q105" i="3"/>
  <c r="P105" i="3"/>
  <c r="O105" i="3"/>
  <c r="N105" i="3"/>
  <c r="L105" i="3"/>
  <c r="K105" i="3"/>
  <c r="J105" i="3"/>
  <c r="I105" i="3"/>
  <c r="H105" i="3"/>
  <c r="G105" i="3"/>
  <c r="F105" i="3"/>
  <c r="E105" i="3"/>
  <c r="D105" i="3"/>
  <c r="C105" i="3"/>
  <c r="B105" i="3"/>
  <c r="A105" i="3" s="1"/>
  <c r="Q104" i="3"/>
  <c r="P104" i="3"/>
  <c r="O104" i="3"/>
  <c r="N104" i="3"/>
  <c r="L104" i="3"/>
  <c r="K104" i="3"/>
  <c r="J104" i="3"/>
  <c r="I104" i="3"/>
  <c r="H104" i="3"/>
  <c r="G104" i="3"/>
  <c r="F104" i="3"/>
  <c r="E104" i="3"/>
  <c r="D104" i="3"/>
  <c r="C104" i="3"/>
  <c r="B104" i="3"/>
  <c r="A104" i="3" s="1"/>
  <c r="Q103" i="3"/>
  <c r="P103" i="3"/>
  <c r="O103" i="3"/>
  <c r="N103" i="3"/>
  <c r="L103" i="3"/>
  <c r="K103" i="3"/>
  <c r="J103" i="3"/>
  <c r="I103" i="3"/>
  <c r="H103" i="3"/>
  <c r="G103" i="3"/>
  <c r="F103" i="3"/>
  <c r="E103" i="3"/>
  <c r="D103" i="3"/>
  <c r="C103" i="3"/>
  <c r="B103" i="3"/>
  <c r="A103" i="3" s="1"/>
  <c r="Q102" i="3"/>
  <c r="P102" i="3"/>
  <c r="O102" i="3"/>
  <c r="N102" i="3"/>
  <c r="L102" i="3"/>
  <c r="K102" i="3"/>
  <c r="J102" i="3"/>
  <c r="I102" i="3"/>
  <c r="H102" i="3"/>
  <c r="G102" i="3"/>
  <c r="F102" i="3"/>
  <c r="E102" i="3"/>
  <c r="D102" i="3"/>
  <c r="C102" i="3"/>
  <c r="B102" i="3"/>
  <c r="A102" i="3" s="1"/>
  <c r="Q101" i="3"/>
  <c r="P101" i="3"/>
  <c r="O101" i="3"/>
  <c r="N101" i="3"/>
  <c r="L101" i="3"/>
  <c r="K101" i="3"/>
  <c r="J101" i="3"/>
  <c r="I101" i="3"/>
  <c r="H101" i="3"/>
  <c r="G101" i="3"/>
  <c r="F101" i="3"/>
  <c r="E101" i="3"/>
  <c r="D101" i="3"/>
  <c r="C101" i="3"/>
  <c r="B101" i="3"/>
  <c r="A101" i="3" s="1"/>
  <c r="Q100" i="3"/>
  <c r="P100" i="3"/>
  <c r="O100" i="3"/>
  <c r="N100" i="3"/>
  <c r="L100" i="3"/>
  <c r="K100" i="3"/>
  <c r="J100" i="3"/>
  <c r="I100" i="3"/>
  <c r="H100" i="3"/>
  <c r="G100" i="3"/>
  <c r="F100" i="3"/>
  <c r="E100" i="3"/>
  <c r="D100" i="3"/>
  <c r="C100" i="3"/>
  <c r="B100" i="3"/>
  <c r="A100" i="3" s="1"/>
  <c r="Q99" i="3"/>
  <c r="P99" i="3"/>
  <c r="O99" i="3"/>
  <c r="N99" i="3"/>
  <c r="L99" i="3"/>
  <c r="K99" i="3"/>
  <c r="J99" i="3"/>
  <c r="I99" i="3"/>
  <c r="H99" i="3"/>
  <c r="G99" i="3"/>
  <c r="F99" i="3"/>
  <c r="E99" i="3"/>
  <c r="D99" i="3"/>
  <c r="C99" i="3"/>
  <c r="B99" i="3"/>
  <c r="A99" i="3" s="1"/>
  <c r="Q98" i="3"/>
  <c r="P98" i="3"/>
  <c r="O98" i="3"/>
  <c r="N98" i="3"/>
  <c r="L98" i="3"/>
  <c r="K98" i="3"/>
  <c r="J98" i="3"/>
  <c r="I98" i="3"/>
  <c r="H98" i="3"/>
  <c r="G98" i="3"/>
  <c r="F98" i="3"/>
  <c r="E98" i="3"/>
  <c r="D98" i="3"/>
  <c r="C98" i="3"/>
  <c r="B98" i="3"/>
  <c r="A98" i="3" s="1"/>
  <c r="Q97" i="3"/>
  <c r="P97" i="3"/>
  <c r="O97" i="3"/>
  <c r="N97" i="3"/>
  <c r="L97" i="3"/>
  <c r="K97" i="3"/>
  <c r="J97" i="3"/>
  <c r="I97" i="3"/>
  <c r="H97" i="3"/>
  <c r="G97" i="3"/>
  <c r="F97" i="3"/>
  <c r="E97" i="3"/>
  <c r="D97" i="3"/>
  <c r="C97" i="3"/>
  <c r="B97" i="3"/>
  <c r="A97" i="3" s="1"/>
  <c r="Q96" i="3"/>
  <c r="P96" i="3"/>
  <c r="O96" i="3"/>
  <c r="N96" i="3"/>
  <c r="L96" i="3"/>
  <c r="K96" i="3"/>
  <c r="J96" i="3"/>
  <c r="I96" i="3"/>
  <c r="H96" i="3"/>
  <c r="G96" i="3"/>
  <c r="F96" i="3"/>
  <c r="E96" i="3"/>
  <c r="D96" i="3"/>
  <c r="C96" i="3"/>
  <c r="B96" i="3"/>
  <c r="A96" i="3" s="1"/>
  <c r="Q95" i="3"/>
  <c r="P95" i="3"/>
  <c r="O95" i="3"/>
  <c r="N95" i="3"/>
  <c r="L95" i="3"/>
  <c r="K95" i="3"/>
  <c r="J95" i="3"/>
  <c r="I95" i="3"/>
  <c r="H95" i="3"/>
  <c r="G95" i="3"/>
  <c r="F95" i="3"/>
  <c r="E95" i="3"/>
  <c r="D95" i="3"/>
  <c r="C95" i="3"/>
  <c r="B95" i="3"/>
  <c r="A95" i="3" s="1"/>
  <c r="Q94" i="3"/>
  <c r="P94" i="3"/>
  <c r="O94" i="3"/>
  <c r="N94" i="3"/>
  <c r="L94" i="3"/>
  <c r="K94" i="3"/>
  <c r="J94" i="3"/>
  <c r="I94" i="3"/>
  <c r="H94" i="3"/>
  <c r="G94" i="3"/>
  <c r="F94" i="3"/>
  <c r="E94" i="3"/>
  <c r="D94" i="3"/>
  <c r="C94" i="3"/>
  <c r="B94" i="3"/>
  <c r="A94" i="3" s="1"/>
  <c r="Q93" i="3"/>
  <c r="P93" i="3"/>
  <c r="O93" i="3"/>
  <c r="N93" i="3"/>
  <c r="L93" i="3"/>
  <c r="K93" i="3"/>
  <c r="J93" i="3"/>
  <c r="I93" i="3"/>
  <c r="H93" i="3"/>
  <c r="G93" i="3"/>
  <c r="F93" i="3"/>
  <c r="E93" i="3"/>
  <c r="D93" i="3"/>
  <c r="C93" i="3"/>
  <c r="B93" i="3"/>
  <c r="A93" i="3" s="1"/>
  <c r="Q92" i="3"/>
  <c r="P92" i="3"/>
  <c r="O92" i="3"/>
  <c r="N92" i="3"/>
  <c r="L92" i="3"/>
  <c r="K92" i="3"/>
  <c r="J92" i="3"/>
  <c r="I92" i="3"/>
  <c r="H92" i="3"/>
  <c r="G92" i="3"/>
  <c r="F92" i="3"/>
  <c r="E92" i="3"/>
  <c r="D92" i="3"/>
  <c r="C92" i="3"/>
  <c r="B92" i="3"/>
  <c r="A92" i="3" s="1"/>
  <c r="Q91" i="3"/>
  <c r="P91" i="3"/>
  <c r="O91" i="3"/>
  <c r="N91" i="3"/>
  <c r="L91" i="3"/>
  <c r="K91" i="3"/>
  <c r="J91" i="3"/>
  <c r="I91" i="3"/>
  <c r="H91" i="3"/>
  <c r="G91" i="3"/>
  <c r="F91" i="3"/>
  <c r="E91" i="3"/>
  <c r="D91" i="3"/>
  <c r="C91" i="3"/>
  <c r="B91" i="3"/>
  <c r="A91" i="3" s="1"/>
  <c r="Q90" i="3"/>
  <c r="P90" i="3"/>
  <c r="O90" i="3"/>
  <c r="N90" i="3"/>
  <c r="L90" i="3"/>
  <c r="K90" i="3"/>
  <c r="J90" i="3"/>
  <c r="I90" i="3"/>
  <c r="H90" i="3"/>
  <c r="G90" i="3"/>
  <c r="F90" i="3"/>
  <c r="E90" i="3"/>
  <c r="D90" i="3"/>
  <c r="C90" i="3"/>
  <c r="B90" i="3"/>
  <c r="A90" i="3" s="1"/>
  <c r="Q89" i="3"/>
  <c r="P89" i="3"/>
  <c r="O89" i="3"/>
  <c r="N89" i="3"/>
  <c r="L89" i="3"/>
  <c r="K89" i="3"/>
  <c r="J89" i="3"/>
  <c r="I89" i="3"/>
  <c r="H89" i="3"/>
  <c r="G89" i="3"/>
  <c r="F89" i="3"/>
  <c r="E89" i="3"/>
  <c r="D89" i="3"/>
  <c r="C89" i="3"/>
  <c r="B89" i="3"/>
  <c r="A89" i="3" s="1"/>
  <c r="Q88" i="3"/>
  <c r="P88" i="3"/>
  <c r="O88" i="3"/>
  <c r="N88" i="3"/>
  <c r="L88" i="3"/>
  <c r="K88" i="3"/>
  <c r="J88" i="3"/>
  <c r="I88" i="3"/>
  <c r="H88" i="3"/>
  <c r="G88" i="3"/>
  <c r="F88" i="3"/>
  <c r="E88" i="3"/>
  <c r="D88" i="3"/>
  <c r="C88" i="3"/>
  <c r="B88" i="3"/>
  <c r="A88" i="3" s="1"/>
  <c r="Q87" i="3"/>
  <c r="P87" i="3"/>
  <c r="O87" i="3"/>
  <c r="N87" i="3"/>
  <c r="L87" i="3"/>
  <c r="K87" i="3"/>
  <c r="J87" i="3"/>
  <c r="I87" i="3"/>
  <c r="H87" i="3"/>
  <c r="G87" i="3"/>
  <c r="F87" i="3"/>
  <c r="E87" i="3"/>
  <c r="D87" i="3"/>
  <c r="C87" i="3"/>
  <c r="B87" i="3"/>
  <c r="A87" i="3" s="1"/>
  <c r="Q86" i="3"/>
  <c r="P86" i="3"/>
  <c r="O86" i="3"/>
  <c r="N86" i="3"/>
  <c r="L86" i="3"/>
  <c r="K86" i="3"/>
  <c r="J86" i="3"/>
  <c r="I86" i="3"/>
  <c r="H86" i="3"/>
  <c r="G86" i="3"/>
  <c r="F86" i="3"/>
  <c r="E86" i="3"/>
  <c r="D86" i="3"/>
  <c r="C86" i="3"/>
  <c r="B86" i="3"/>
  <c r="A86" i="3" s="1"/>
  <c r="Q85" i="3"/>
  <c r="P85" i="3"/>
  <c r="O85" i="3"/>
  <c r="N85" i="3"/>
  <c r="L85" i="3"/>
  <c r="K85" i="3"/>
  <c r="J85" i="3"/>
  <c r="I85" i="3"/>
  <c r="H85" i="3"/>
  <c r="G85" i="3"/>
  <c r="F85" i="3"/>
  <c r="E85" i="3"/>
  <c r="D85" i="3"/>
  <c r="C85" i="3"/>
  <c r="B85" i="3"/>
  <c r="A85" i="3" s="1"/>
  <c r="Q84" i="3"/>
  <c r="P84" i="3"/>
  <c r="O84" i="3"/>
  <c r="N84" i="3"/>
  <c r="L84" i="3"/>
  <c r="K84" i="3"/>
  <c r="J84" i="3"/>
  <c r="I84" i="3"/>
  <c r="H84" i="3"/>
  <c r="G84" i="3"/>
  <c r="F84" i="3"/>
  <c r="E84" i="3"/>
  <c r="D84" i="3"/>
  <c r="C84" i="3"/>
  <c r="B84" i="3"/>
  <c r="A84" i="3" s="1"/>
  <c r="Q83" i="3"/>
  <c r="P83" i="3"/>
  <c r="O83" i="3"/>
  <c r="N83" i="3"/>
  <c r="L83" i="3"/>
  <c r="K83" i="3"/>
  <c r="J83" i="3"/>
  <c r="I83" i="3"/>
  <c r="H83" i="3"/>
  <c r="G83" i="3"/>
  <c r="F83" i="3"/>
  <c r="E83" i="3"/>
  <c r="D83" i="3"/>
  <c r="C83" i="3"/>
  <c r="B83" i="3"/>
  <c r="A83" i="3" s="1"/>
  <c r="Q82" i="3"/>
  <c r="P82" i="3"/>
  <c r="O82" i="3"/>
  <c r="N82" i="3"/>
  <c r="L82" i="3"/>
  <c r="K82" i="3"/>
  <c r="J82" i="3"/>
  <c r="I82" i="3"/>
  <c r="H82" i="3"/>
  <c r="G82" i="3"/>
  <c r="F82" i="3"/>
  <c r="E82" i="3"/>
  <c r="D82" i="3"/>
  <c r="C82" i="3"/>
  <c r="B82" i="3"/>
  <c r="A82" i="3" s="1"/>
  <c r="Q81" i="3"/>
  <c r="P81" i="3"/>
  <c r="O81" i="3"/>
  <c r="N81" i="3"/>
  <c r="L81" i="3"/>
  <c r="K81" i="3"/>
  <c r="J81" i="3"/>
  <c r="I81" i="3"/>
  <c r="H81" i="3"/>
  <c r="G81" i="3"/>
  <c r="F81" i="3"/>
  <c r="E81" i="3"/>
  <c r="D81" i="3"/>
  <c r="C81" i="3"/>
  <c r="B81" i="3"/>
  <c r="A81" i="3" s="1"/>
  <c r="Q80" i="3"/>
  <c r="P80" i="3"/>
  <c r="O80" i="3"/>
  <c r="N80" i="3"/>
  <c r="L80" i="3"/>
  <c r="K80" i="3"/>
  <c r="J80" i="3"/>
  <c r="I80" i="3"/>
  <c r="H80" i="3"/>
  <c r="G80" i="3"/>
  <c r="F80" i="3"/>
  <c r="E80" i="3"/>
  <c r="D80" i="3"/>
  <c r="C80" i="3"/>
  <c r="B80" i="3"/>
  <c r="A80" i="3" s="1"/>
  <c r="O71" i="1" l="1"/>
  <c r="L71" i="3" s="1"/>
  <c r="N63" i="1"/>
  <c r="K63" i="3" s="1"/>
  <c r="N2" i="1"/>
  <c r="O2" i="3"/>
  <c r="P2" i="3"/>
  <c r="Q2" i="3"/>
  <c r="N2" i="3"/>
  <c r="B2" i="3" l="1"/>
  <c r="A2" i="3" s="1"/>
  <c r="C2" i="3"/>
  <c r="D2" i="3"/>
  <c r="E2" i="3"/>
  <c r="F2" i="3"/>
  <c r="G2" i="3" l="1"/>
  <c r="H2" i="3"/>
  <c r="I2" i="3"/>
  <c r="J2" i="3" l="1"/>
  <c r="K2" i="3" l="1"/>
  <c r="L2" i="3" l="1"/>
</calcChain>
</file>

<file path=xl/sharedStrings.xml><?xml version="1.0" encoding="utf-8"?>
<sst xmlns="http://schemas.openxmlformats.org/spreadsheetml/2006/main" count="1803" uniqueCount="658">
  <si>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</si>
  <si>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</si>
  <si>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</si>
  <si>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</si>
  <si>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</si>
  <si>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</si>
  <si>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</si>
  <si>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</si>
  <si>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</si>
  <si>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</si>
  <si>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</si>
  <si>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</si>
  <si>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</si>
  <si>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</si>
  <si>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</si>
  <si>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</si>
  <si>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</si>
  <si>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</si>
  <si>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</si>
  <si>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</si>
  <si>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</si>
  <si>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</si>
  <si>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</si>
  <si>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</si>
  <si>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</si>
  <si>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</si>
  <si>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</si>
  <si>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</si>
  <si>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</si>
  <si>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</si>
  <si>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</si>
  <si>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</si>
  <si>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</si>
  <si>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</si>
  <si>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</si>
  <si>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</si>
  <si>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</si>
  <si>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</si>
  <si>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</si>
  <si>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</si>
  <si>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</si>
  <si>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</si>
  <si>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</si>
  <si>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</si>
  <si>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</si>
  <si>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</si>
  <si>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</si>
  <si>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</si>
  <si>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</si>
  <si>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</si>
  <si>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</si>
  <si>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</si>
  <si>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</si>
  <si>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</si>
  <si>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</si>
  <si>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</si>
  <si>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</si>
  <si>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</si>
  <si>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</si>
  <si>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</si>
  <si>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</si>
  <si>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</si>
  <si>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</si>
  <si>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</si>
  <si>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</si>
  <si>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</si>
  <si>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</si>
  <si>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</si>
  <si>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</si>
  <si>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</si>
  <si>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</si>
  <si>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</si>
  <si>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</si>
  <si>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</si>
  <si>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</si>
  <si>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</si>
  <si>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</si>
  <si>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</si>
  <si>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</si>
  <si>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</si>
  <si>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</si>
  <si>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</si>
  <si>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</si>
  <si>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</si>
  <si>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</si>
  <si>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</si>
  <si>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</si>
  <si>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</si>
  <si>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</si>
  <si>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</si>
  <si>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</si>
  <si>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</si>
  <si>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</si>
  <si>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</si>
  <si>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</si>
  <si>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</si>
  <si>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</si>
  <si>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</si>
  <si>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</si>
  <si>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</si>
  <si>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</si>
  <si>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</si>
  <si>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</si>
  <si>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</si>
  <si>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</si>
  <si>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</si>
  <si>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</si>
  <si>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</si>
  <si>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</si>
  <si>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</si>
  <si>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</si>
  <si>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</si>
  <si>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</si>
  <si>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</si>
  <si>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</si>
  <si>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</si>
  <si>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</si>
  <si>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</si>
  <si>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</si>
  <si>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</si>
  <si>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</si>
  <si>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</si>
  <si>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</si>
  <si>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</si>
  <si>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</si>
  <si>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</si>
  <si>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</si>
  <si>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</si>
  <si>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</si>
  <si>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</si>
  <si>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</si>
  <si>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</si>
  <si>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</si>
  <si>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</si>
  <si>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</si>
  <si>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</si>
  <si>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</si>
  <si>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</si>
  <si>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</si>
  <si>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</si>
  <si>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</si>
  <si>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</si>
  <si>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</si>
  <si>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</si>
  <si>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</si>
  <si>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</si>
  <si>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</si>
  <si>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</si>
  <si>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</si>
  <si>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</si>
  <si>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</si>
  <si>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</si>
  <si>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</si>
  <si>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</si>
  <si>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</si>
  <si>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</si>
  <si>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</si>
  <si>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</si>
  <si>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</si>
  <si>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</si>
  <si>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</si>
  <si>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</si>
  <si>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</si>
  <si>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</si>
  <si>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</si>
  <si>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</si>
  <si>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</si>
  <si>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</si>
  <si>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</si>
  <si>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</si>
  <si>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</si>
  <si>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</si>
  <si>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</si>
  <si>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</si>
  <si>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</si>
  <si>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</si>
  <si>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</si>
  <si>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</si>
  <si>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</si>
  <si>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</si>
  <si>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</si>
  <si>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</si>
  <si>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</si>
  <si>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</si>
  <si>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</si>
  <si>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</si>
  <si>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</si>
  <si>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</si>
  <si>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</si>
  <si>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</si>
  <si>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</si>
  <si>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</si>
  <si>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</si>
  <si>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</si>
  <si>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</si>
  <si>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</si>
  <si>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</si>
  <si>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</si>
  <si>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</si>
  <si>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</si>
  <si>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</si>
  <si>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</si>
  <si>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</si>
  <si>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</si>
  <si>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</si>
  <si>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</si>
  <si>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</si>
  <si>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</si>
  <si>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</si>
  <si>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</si>
  <si>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</si>
  <si>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</si>
  <si>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</si>
  <si>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</si>
  <si>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</si>
  <si>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</si>
  <si>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</si>
  <si>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</si>
  <si>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</si>
  <si>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</si>
  <si>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</si>
  <si>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</si>
  <si>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</si>
  <si>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</si>
  <si>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</si>
  <si>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</si>
  <si>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Time
(hh:mm)</t>
  </si>
  <si>
    <t>Honduras, 2013</t>
  </si>
  <si>
    <t xml:space="preserve">Occasion data must be entered for each sighting (there is no option for number of individuals).  </t>
  </si>
  <si>
    <t>Please do not attempt to fix or change anything yourself.</t>
  </si>
  <si>
    <t/>
  </si>
  <si>
    <t>Method</t>
  </si>
  <si>
    <t>Seen</t>
  </si>
  <si>
    <t>Heard</t>
  </si>
  <si>
    <t>Seen and Heard</t>
  </si>
  <si>
    <t>Year_BiOP</t>
  </si>
  <si>
    <t>Day_BiOP</t>
  </si>
  <si>
    <t>Time_BiOP</t>
  </si>
  <si>
    <t>Camp_BiOP</t>
  </si>
  <si>
    <t>Transect_BiOP</t>
  </si>
  <si>
    <t>Observer_BiOP</t>
  </si>
  <si>
    <t>NoObs_BiOP</t>
  </si>
  <si>
    <t>Rain_BiOP</t>
  </si>
  <si>
    <t>Wind_BiOP</t>
  </si>
  <si>
    <t>DistTrans_BiOP</t>
  </si>
  <si>
    <t>Genus_BiOP</t>
  </si>
  <si>
    <t>Species_BiOP</t>
  </si>
  <si>
    <t>NoIndvs_BiOP</t>
  </si>
  <si>
    <t>CoordN_BiOP</t>
  </si>
  <si>
    <t>CoordE_BiOP</t>
  </si>
  <si>
    <t>Notes_BiOP</t>
  </si>
  <si>
    <t>Method_BiOP</t>
  </si>
  <si>
    <t xml:space="preserve">Aulacorhynchus </t>
  </si>
  <si>
    <t>prasinus</t>
  </si>
  <si>
    <t xml:space="preserve">Empidonax </t>
  </si>
  <si>
    <t>flavescens</t>
  </si>
  <si>
    <t xml:space="preserve">Chlorospingus </t>
  </si>
  <si>
    <t>ophthalmicus</t>
  </si>
  <si>
    <t xml:space="preserve">Piranga </t>
  </si>
  <si>
    <t>flava</t>
  </si>
  <si>
    <t xml:space="preserve">Xiphorhynchus </t>
  </si>
  <si>
    <t>erythropygius</t>
  </si>
  <si>
    <t xml:space="preserve">Pharomachrus </t>
  </si>
  <si>
    <t>mocinno</t>
  </si>
  <si>
    <t xml:space="preserve">Henicorhina </t>
  </si>
  <si>
    <t>leucophrys</t>
  </si>
  <si>
    <t xml:space="preserve">Catharus </t>
  </si>
  <si>
    <t>mexicanus</t>
  </si>
  <si>
    <t xml:space="preserve">Myioborus </t>
  </si>
  <si>
    <t>miniatus</t>
  </si>
  <si>
    <t xml:space="preserve">Mitrephanes </t>
  </si>
  <si>
    <t>phaeocercus</t>
  </si>
  <si>
    <t xml:space="preserve">Trogon </t>
  </si>
  <si>
    <t>collaris</t>
  </si>
  <si>
    <t xml:space="preserve">Anabacerthia </t>
  </si>
  <si>
    <t>variegaticeps</t>
  </si>
  <si>
    <t xml:space="preserve">Mionectes </t>
  </si>
  <si>
    <t>oleagineus</t>
  </si>
  <si>
    <t xml:space="preserve">Ramphastos </t>
  </si>
  <si>
    <t>sulfuratus</t>
  </si>
  <si>
    <t xml:space="preserve">Crypturellus </t>
  </si>
  <si>
    <t xml:space="preserve">Sittasomus </t>
  </si>
  <si>
    <t>griseicapillus</t>
  </si>
  <si>
    <t xml:space="preserve">Ciccaba </t>
  </si>
  <si>
    <t>virgata</t>
  </si>
  <si>
    <t xml:space="preserve">Campylopterus </t>
  </si>
  <si>
    <t>hemileucurus</t>
  </si>
  <si>
    <t xml:space="preserve">Ortalis </t>
  </si>
  <si>
    <t>vetula</t>
  </si>
  <si>
    <t xml:space="preserve">Dendrocincla </t>
  </si>
  <si>
    <t>homochroa</t>
  </si>
  <si>
    <t>graciae</t>
  </si>
  <si>
    <t xml:space="preserve">Arremon </t>
  </si>
  <si>
    <t>brunneinucha</t>
  </si>
  <si>
    <t xml:space="preserve">Geotrygon </t>
  </si>
  <si>
    <t xml:space="preserve">Lepidocolaptes </t>
  </si>
  <si>
    <t>affinis</t>
  </si>
  <si>
    <t>mentalis</t>
  </si>
  <si>
    <t xml:space="preserve">Elanoides </t>
  </si>
  <si>
    <t xml:space="preserve">Eumomota </t>
  </si>
  <si>
    <t>superciliosa</t>
  </si>
  <si>
    <t xml:space="preserve">Pionus </t>
  </si>
  <si>
    <t>senilis</t>
  </si>
  <si>
    <t xml:space="preserve">Pipra </t>
  </si>
  <si>
    <t xml:space="preserve">Chlorophonia </t>
  </si>
  <si>
    <t>occipitalis</t>
  </si>
  <si>
    <t xml:space="preserve">Volatinia </t>
  </si>
  <si>
    <t>jacarina</t>
  </si>
  <si>
    <t xml:space="preserve">Sporophila </t>
  </si>
  <si>
    <t>torqueola</t>
  </si>
  <si>
    <t xml:space="preserve">Tangara </t>
  </si>
  <si>
    <t>larvata</t>
  </si>
  <si>
    <t xml:space="preserve">Thraupis </t>
  </si>
  <si>
    <t xml:space="preserve">Cyanocorax </t>
  </si>
  <si>
    <t>yncas</t>
  </si>
  <si>
    <t xml:space="preserve">Pteroglossus </t>
  </si>
  <si>
    <t>torquatus</t>
  </si>
  <si>
    <t>soui</t>
  </si>
  <si>
    <t>abbas</t>
  </si>
  <si>
    <t xml:space="preserve">Picoides </t>
  </si>
  <si>
    <t>villosus</t>
  </si>
  <si>
    <t xml:space="preserve">Microcerculus </t>
  </si>
  <si>
    <t>philomela</t>
  </si>
  <si>
    <t xml:space="preserve">Micrastur </t>
  </si>
  <si>
    <t xml:space="preserve">Myadestes </t>
  </si>
  <si>
    <t>unicolor</t>
  </si>
  <si>
    <t>albifacies</t>
  </si>
  <si>
    <t>bidentata</t>
  </si>
  <si>
    <t xml:space="preserve">Lophornis </t>
  </si>
  <si>
    <t>helenae</t>
  </si>
  <si>
    <t xml:space="preserve">Operation Wallacea, Bird Opportunistic Mini-Database </t>
  </si>
  <si>
    <t>Welcome to the Bird Opportunistic mini-database.  This database is designed to receive data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</si>
  <si>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</si>
  <si>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</si>
  <si>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</si>
  <si>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</si>
  <si>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</si>
  <si>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</si>
  <si>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</si>
  <si>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Abeillia abeillei</t>
  </si>
  <si>
    <t>Accipiter striatus chionogaster</t>
  </si>
  <si>
    <t>Agyrtria candida</t>
  </si>
  <si>
    <t>Aimophila rufescens</t>
  </si>
  <si>
    <t>Amazilia beryllina</t>
  </si>
  <si>
    <t>Amazilia candida</t>
  </si>
  <si>
    <t>Amazilia cyanocephala</t>
  </si>
  <si>
    <t>Amazilia luciae</t>
  </si>
  <si>
    <t>Amazilia rutila</t>
  </si>
  <si>
    <t>Amazilia tzacatl</t>
  </si>
  <si>
    <t>Amazona albifrons</t>
  </si>
  <si>
    <t>Amazona auropalliata</t>
  </si>
  <si>
    <t>Amazona autumnalis</t>
  </si>
  <si>
    <t>Amblycercus holosericeus</t>
  </si>
  <si>
    <t>Anabacerthia variegaticeps</t>
  </si>
  <si>
    <t>Aratinga astec</t>
  </si>
  <si>
    <t>Aratinga nana</t>
  </si>
  <si>
    <t>Arremon aurantiirostris</t>
  </si>
  <si>
    <t>Arremon brunneinucha</t>
  </si>
  <si>
    <t>Atlapetes albinucha</t>
  </si>
  <si>
    <t>Atlapetes g. griseipectus</t>
  </si>
  <si>
    <t>Atthis ellioti</t>
  </si>
  <si>
    <t>Attila spadiceus</t>
  </si>
  <si>
    <t>Aulacorhynchus prasinus</t>
  </si>
  <si>
    <t>Automolus ochrolaemus</t>
  </si>
  <si>
    <t>Automolus rubiginosus</t>
  </si>
  <si>
    <t>Basileuterus culicivorus</t>
  </si>
  <si>
    <t>Basileuterus r. delattrii</t>
  </si>
  <si>
    <t>Basileuterus rufifrons delattrii</t>
  </si>
  <si>
    <t>Basilinna leucotis</t>
  </si>
  <si>
    <t>Bolborhynchus lineola</t>
  </si>
  <si>
    <t>Buteo albicaudatus</t>
  </si>
  <si>
    <t>Buteo albonotatus</t>
  </si>
  <si>
    <t>Buteo brachyurus</t>
  </si>
  <si>
    <t>Buteo jamaicensis</t>
  </si>
  <si>
    <t>Buteo nitidus</t>
  </si>
  <si>
    <t>Buteogallus anthracinus</t>
  </si>
  <si>
    <t>Buteogallus urubitinga</t>
  </si>
  <si>
    <t>Campephilus guatemalensis</t>
  </si>
  <si>
    <t>Campylopterus hemileucurus</t>
  </si>
  <si>
    <t>Campylorhynchus zonatus</t>
  </si>
  <si>
    <t>Carduelis notata</t>
  </si>
  <si>
    <t>Carduelis psaltria</t>
  </si>
  <si>
    <t>Caryothraustes poliogaster</t>
  </si>
  <si>
    <t>Cathartes aura</t>
  </si>
  <si>
    <t>Catharus dryas</t>
  </si>
  <si>
    <t>Catharus frantzii</t>
  </si>
  <si>
    <t>Catharus mexicanus</t>
  </si>
  <si>
    <t>Celeus castaneus</t>
  </si>
  <si>
    <t>Centurus aurifrons</t>
  </si>
  <si>
    <t>Chaetura vauxi</t>
  </si>
  <si>
    <t>Chloroceryle americana</t>
  </si>
  <si>
    <t>Chlorophanes spiza</t>
  </si>
  <si>
    <t>Chlorophonia occipitalis</t>
  </si>
  <si>
    <t>Chlorospingus ophthalmicus</t>
  </si>
  <si>
    <t>Chlorostilbon canivetii</t>
  </si>
  <si>
    <t>Chondrohierax uncinatus</t>
  </si>
  <si>
    <t>Ciccaba virgata</t>
  </si>
  <si>
    <t>Cinclus mexicanus</t>
  </si>
  <si>
    <t>Claravis mondetoura</t>
  </si>
  <si>
    <t>Coereba flaveola</t>
  </si>
  <si>
    <t>Colaptes rubiginosus</t>
  </si>
  <si>
    <t>Colibri delphinae</t>
  </si>
  <si>
    <t>Colibri thalassinus</t>
  </si>
  <si>
    <t>Columba nigrirostris</t>
  </si>
  <si>
    <t>Columbina talpacoti</t>
  </si>
  <si>
    <t>Contopus cinereus</t>
  </si>
  <si>
    <t>Coragyps atratus</t>
  </si>
  <si>
    <t>Cotinga amabilis</t>
  </si>
  <si>
    <t>Crax rubra</t>
  </si>
  <si>
    <t>Crotophaga sulcirostris</t>
  </si>
  <si>
    <t>Crypturellus boucardi</t>
  </si>
  <si>
    <t>Crypturellus soui</t>
  </si>
  <si>
    <t>Cyanerpes cyaneus</t>
  </si>
  <si>
    <t>Cyanocompsa cyanoides</t>
  </si>
  <si>
    <t>Cyanocorax morio</t>
  </si>
  <si>
    <t>Cyanocorax yncas</t>
  </si>
  <si>
    <t>Cyanolyca cucullata</t>
  </si>
  <si>
    <t>Cypseloides cryptus</t>
  </si>
  <si>
    <t>Cypseloides niger</t>
  </si>
  <si>
    <t>Cypseloides rutilus</t>
  </si>
  <si>
    <t>Dendrocincla anabatina</t>
  </si>
  <si>
    <t>Dendrocincla homochroa</t>
  </si>
  <si>
    <t>Dendrocolaptes certhia</t>
  </si>
  <si>
    <t>Dendrocolaptes picumnus</t>
  </si>
  <si>
    <t>Dendrocolaptes sanctithomae</t>
  </si>
  <si>
    <t>Dendroica chrysoparia</t>
  </si>
  <si>
    <t>Dendroica dominica</t>
  </si>
  <si>
    <t>Dendroica graciae</t>
  </si>
  <si>
    <t>Dendroica nigrescens</t>
  </si>
  <si>
    <t>Dendroica occidentalis</t>
  </si>
  <si>
    <t>Dendrortyx leucophrys</t>
  </si>
  <si>
    <t>Diglossa baritula</t>
  </si>
  <si>
    <t>Dives dives</t>
  </si>
  <si>
    <t>Dromococcyx phasianellus</t>
  </si>
  <si>
    <t>Dryocopus lineatus</t>
  </si>
  <si>
    <t>Dysithamnus mentalis</t>
  </si>
  <si>
    <t>Elaenia flavogaster</t>
  </si>
  <si>
    <t>Elaenia frantzii</t>
  </si>
  <si>
    <t>Elanoides forficatus</t>
  </si>
  <si>
    <t>Electron carinatum</t>
  </si>
  <si>
    <t>Empidonax albigularis</t>
  </si>
  <si>
    <t>Empidonax flavescens</t>
  </si>
  <si>
    <t>Eugenes fulgens</t>
  </si>
  <si>
    <t>Eumomota superciliosa</t>
  </si>
  <si>
    <t>Eupherusa eximia</t>
  </si>
  <si>
    <t>Euphonia affinis</t>
  </si>
  <si>
    <t>Euphonia elegantissima</t>
  </si>
  <si>
    <t>Euphonia gouldi</t>
  </si>
  <si>
    <t>Euphonia hirundinacea</t>
  </si>
  <si>
    <t>Eurypyga helias</t>
  </si>
  <si>
    <t>Falco deiroleucus</t>
  </si>
  <si>
    <t>Falco rufigularis</t>
  </si>
  <si>
    <t>Falco sparverius</t>
  </si>
  <si>
    <t>Formicarius moniliger</t>
  </si>
  <si>
    <t>Geococcyx velox</t>
  </si>
  <si>
    <t>Geothlypis poliocephala</t>
  </si>
  <si>
    <t>Geothlypis trichas</t>
  </si>
  <si>
    <t>Geotrygon albifacies</t>
  </si>
  <si>
    <t>Geotrygon montana</t>
  </si>
  <si>
    <t>Glaucidium brasilianum</t>
  </si>
  <si>
    <t>Glaucidium gnoma</t>
  </si>
  <si>
    <t>Glyphorynchus spirurus</t>
  </si>
  <si>
    <t>Grallaria guatimalensis</t>
  </si>
  <si>
    <t>Habia fuscicauda</t>
  </si>
  <si>
    <t>Habia rubica</t>
  </si>
  <si>
    <t>Henicorhina leucophrys</t>
  </si>
  <si>
    <t>Henicorhina leucosticta</t>
  </si>
  <si>
    <t>Hylocharis eliciae</t>
  </si>
  <si>
    <t>Hylocharis leucotis</t>
  </si>
  <si>
    <t>Hylomanes momotula</t>
  </si>
  <si>
    <t>Hylophilus decurtatus</t>
  </si>
  <si>
    <t>Hylophilus ochraceiceps</t>
  </si>
  <si>
    <t>Icterus chrysater</t>
  </si>
  <si>
    <t>Icterus pectoralis</t>
  </si>
  <si>
    <t>Icterus prosthemelas</t>
  </si>
  <si>
    <t>Lampornis sybillae</t>
  </si>
  <si>
    <t>Lampornis viridipallens</t>
  </si>
  <si>
    <t>Legatus leucophaius</t>
  </si>
  <si>
    <t>Lepidocolaptes affinis</t>
  </si>
  <si>
    <t>Lepidocolaptes souleyetii</t>
  </si>
  <si>
    <t>Leptopogon amaurocephalus</t>
  </si>
  <si>
    <t>Leptotila cassini</t>
  </si>
  <si>
    <t>Leptotila plumbeiceps</t>
  </si>
  <si>
    <t>Leptotila verreauxi</t>
  </si>
  <si>
    <t>Leucopternis albicollis</t>
  </si>
  <si>
    <t>Lophornis helenae</t>
  </si>
  <si>
    <t>Lophostrix cristata</t>
  </si>
  <si>
    <t>Manacus candei</t>
  </si>
  <si>
    <t>Megarynchus pitangua</t>
  </si>
  <si>
    <t>Melanerpes aurifrons</t>
  </si>
  <si>
    <t>Melanerpes formicivorus</t>
  </si>
  <si>
    <t>Melanerpes pucherani</t>
  </si>
  <si>
    <t>Melozone biarcuata</t>
  </si>
  <si>
    <t>Micrastur ruficollis</t>
  </si>
  <si>
    <t>Micrastur semitorquatus</t>
  </si>
  <si>
    <t>Microcerculus philomela</t>
  </si>
  <si>
    <t>Mionectes oleagineus</t>
  </si>
  <si>
    <t>Mitrephanes phaeocercus</t>
  </si>
  <si>
    <t>Mniotilta varia</t>
  </si>
  <si>
    <t>Molothrus aeneus</t>
  </si>
  <si>
    <t>Momotus momota</t>
  </si>
  <si>
    <t>Myadestes unicolor</t>
  </si>
  <si>
    <t>Myiarchus tuberculifer</t>
  </si>
  <si>
    <t>Myiobius sulphureipygius</t>
  </si>
  <si>
    <t>Myioborus miniatus</t>
  </si>
  <si>
    <t>Myioborus pictus</t>
  </si>
  <si>
    <t>Myiodynastes luteiventris</t>
  </si>
  <si>
    <t>Myiozetetes similis</t>
  </si>
  <si>
    <t>Myrmotherula schisticolor</t>
  </si>
  <si>
    <t>Nyctidromus albicollis</t>
  </si>
  <si>
    <t>Odontophorus guttatus</t>
  </si>
  <si>
    <t>Oncostoma cinereigulare</t>
  </si>
  <si>
    <t>Oreothlypis superciliosa</t>
  </si>
  <si>
    <t>Ortalis vetula</t>
  </si>
  <si>
    <t>Oryzoborus funeresus</t>
  </si>
  <si>
    <t>Oryzoborus funereus</t>
  </si>
  <si>
    <t>Pachyramphus aglaiae</t>
  </si>
  <si>
    <t>Parula pitiayumi</t>
  </si>
  <si>
    <t>Passerina caerulea</t>
  </si>
  <si>
    <t>Patagioenas fasciata</t>
  </si>
  <si>
    <t>Patagioenas flavirostris</t>
  </si>
  <si>
    <t>Patagioenas leucocephala</t>
  </si>
  <si>
    <t>Patagioenas nigrirostris</t>
  </si>
  <si>
    <t>Penelope purpurascens</t>
  </si>
  <si>
    <t>Penelopina nigra</t>
  </si>
  <si>
    <t>Phaethornis longirostris</t>
  </si>
  <si>
    <t>Phaethornis longuemareus</t>
  </si>
  <si>
    <t>Phaethornis striigularis</t>
  </si>
  <si>
    <t>Phaethornis superciliosus</t>
  </si>
  <si>
    <t>Pharomachrus mocinno</t>
  </si>
  <si>
    <t>Phlogothraupis sanguinolenta</t>
  </si>
  <si>
    <t>Piaya cayana</t>
  </si>
  <si>
    <t>Picoides fumigatus</t>
  </si>
  <si>
    <t>Picoides scalaris</t>
  </si>
  <si>
    <t>Picoides villosus</t>
  </si>
  <si>
    <t>Piculus rubiginosus</t>
  </si>
  <si>
    <t>Pionopsitta haematotis</t>
  </si>
  <si>
    <t>Pionus senilis</t>
  </si>
  <si>
    <t>Pipra mentalis</t>
  </si>
  <si>
    <t>Piranga bidentata</t>
  </si>
  <si>
    <t>Piranga flava</t>
  </si>
  <si>
    <t>Piranga leucoptera</t>
  </si>
  <si>
    <t>Piranga olivacea</t>
  </si>
  <si>
    <t>Pitangus sulphuratus</t>
  </si>
  <si>
    <t>Platyrinchus cancrominus</t>
  </si>
  <si>
    <t>Poecilotriccus sylvia</t>
  </si>
  <si>
    <t>Psarcolius montezuma</t>
  </si>
  <si>
    <t>Psarocolius montezuma</t>
  </si>
  <si>
    <t>Psarocolius wagleri</t>
  </si>
  <si>
    <t>Pseudoscops clamator</t>
  </si>
  <si>
    <t>Pteroglossus torquatus</t>
  </si>
  <si>
    <t>Quiscalus mexicanus</t>
  </si>
  <si>
    <t>Ramphastos sulfuratus</t>
  </si>
  <si>
    <t>Ramphocaenus melanurus</t>
  </si>
  <si>
    <t>Ramphocelus passerinii</t>
  </si>
  <si>
    <t>Ramphocelus sanguinolentus</t>
  </si>
  <si>
    <t>Rhynchocyclus brevirostris</t>
  </si>
  <si>
    <t>Saltator atriceps</t>
  </si>
  <si>
    <t>Saltator maximus</t>
  </si>
  <si>
    <t>Sarcoramphus papa</t>
  </si>
  <si>
    <t>Saucerottia beryllina</t>
  </si>
  <si>
    <t>Sayornis nigricans</t>
  </si>
  <si>
    <t>Sclerurus guatemalensis</t>
  </si>
  <si>
    <t>Sclerurus mexicanus</t>
  </si>
  <si>
    <t>Seiurus motacilla</t>
  </si>
  <si>
    <t>Setophaga ruticilla</t>
  </si>
  <si>
    <t>Sittasomus griseicapillus</t>
  </si>
  <si>
    <t>Spizaetus tyrannus</t>
  </si>
  <si>
    <t>Sporophila corvina</t>
  </si>
  <si>
    <t>Sporophila schistacea</t>
  </si>
  <si>
    <t>Sporophila torqueola</t>
  </si>
  <si>
    <t>Streptoprocne rutila</t>
  </si>
  <si>
    <t>Streptoprocne zonaris</t>
  </si>
  <si>
    <t>Strix virgata</t>
  </si>
  <si>
    <t>Tangara larvata</t>
  </si>
  <si>
    <t>Thalurania colombica</t>
  </si>
  <si>
    <t>Thamnophilus doliatus</t>
  </si>
  <si>
    <t>Thraupis abbas</t>
  </si>
  <si>
    <t>Thraupis episcopus</t>
  </si>
  <si>
    <t>Thryothorus maculipectus</t>
  </si>
  <si>
    <t>Thryothorus modestus</t>
  </si>
  <si>
    <t>Tiaris olivacea</t>
  </si>
  <si>
    <t>Tiaris olivaceus</t>
  </si>
  <si>
    <t>Tilmatura dupontii</t>
  </si>
  <si>
    <t>Tinamus major</t>
  </si>
  <si>
    <t>Tityra inquisitor</t>
  </si>
  <si>
    <t>Tityra semifasciata</t>
  </si>
  <si>
    <t>Tolmomyias sulphurescens</t>
  </si>
  <si>
    <t>Troglodytes aedon</t>
  </si>
  <si>
    <t>Troglodytes rufociliatus</t>
  </si>
  <si>
    <t>Trogon caligatus</t>
  </si>
  <si>
    <t>Trogon collaris</t>
  </si>
  <si>
    <t>Trogon massena</t>
  </si>
  <si>
    <t>Trogon melanocephalus</t>
  </si>
  <si>
    <t>Trogon mexicanus</t>
  </si>
  <si>
    <t>Trogon violaceus</t>
  </si>
  <si>
    <t>Trrogon collaris</t>
  </si>
  <si>
    <t>Turdus assimilis</t>
  </si>
  <si>
    <t>Turdus grayi</t>
  </si>
  <si>
    <t>Turdus infuscatus</t>
  </si>
  <si>
    <t>Turdus plebejus</t>
  </si>
  <si>
    <t>Tyrannus melancholicus</t>
  </si>
  <si>
    <t>Veniliornis fumigatus</t>
  </si>
  <si>
    <t>Vermivora pinus</t>
  </si>
  <si>
    <t>Vireo leucophrys</t>
  </si>
  <si>
    <t>Vireolanius pulchellus</t>
  </si>
  <si>
    <t>Volatinia jacarina</t>
  </si>
  <si>
    <t>Xenops minutus</t>
  </si>
  <si>
    <t>Xiphocolaptes promeropirhynchus</t>
  </si>
  <si>
    <t>Xiphorhynchus erythropygius</t>
  </si>
  <si>
    <t>Xiphorhynchus flavigaster</t>
  </si>
  <si>
    <t>Zenaida asiatica</t>
  </si>
  <si>
    <t>Megascops guatemalae</t>
  </si>
  <si>
    <t xml:space="preserve">Fred </t>
  </si>
  <si>
    <t>Nate</t>
  </si>
  <si>
    <t>Willie Peppey</t>
  </si>
  <si>
    <t>Miguel Bonilla</t>
  </si>
  <si>
    <t xml:space="preserve">ST1A </t>
  </si>
  <si>
    <t>Basecamp</t>
  </si>
  <si>
    <t>Daniel Kelly</t>
  </si>
  <si>
    <t>Elanoides forficaturs</t>
  </si>
  <si>
    <t>Alex Laking</t>
  </si>
  <si>
    <t>Setophaga graciae</t>
  </si>
  <si>
    <t>Neil Reid</t>
  </si>
  <si>
    <t>Seen in display of territoriality</t>
  </si>
  <si>
    <t>Seen in camp</t>
  </si>
  <si>
    <t>New?</t>
  </si>
  <si>
    <t>Male and female in nest</t>
  </si>
  <si>
    <t>Female in nest</t>
  </si>
  <si>
    <t>Male feeding off Heliconia sp.</t>
  </si>
  <si>
    <t>SS1</t>
  </si>
  <si>
    <t>Las Minas</t>
  </si>
  <si>
    <t>Road to Buenos Aires</t>
  </si>
  <si>
    <t xml:space="preserve">Megascops </t>
  </si>
  <si>
    <t>guatemalae</t>
  </si>
  <si>
    <t>semitorquatus</t>
  </si>
  <si>
    <t xml:space="preserve">Caryothraustes </t>
  </si>
  <si>
    <t>poliogaster</t>
  </si>
  <si>
    <t xml:space="preserve">Penelope </t>
  </si>
  <si>
    <t>purpurascens</t>
  </si>
  <si>
    <t xml:space="preserve">Piculus </t>
  </si>
  <si>
    <t>rubiginosus</t>
  </si>
  <si>
    <t xml:space="preserve">Attila </t>
  </si>
  <si>
    <t>spadiceus</t>
  </si>
  <si>
    <t xml:space="preserve">Veniliornis </t>
  </si>
  <si>
    <t>fumigatus</t>
  </si>
  <si>
    <t xml:space="preserve">Chlorostilbon </t>
  </si>
  <si>
    <t>canivetii</t>
  </si>
  <si>
    <t xml:space="preserve">Glaucidium </t>
  </si>
  <si>
    <t>brasilianum</t>
  </si>
  <si>
    <t xml:space="preserve">Celeus </t>
  </si>
  <si>
    <t>castaneus</t>
  </si>
  <si>
    <t xml:space="preserve">Dryocopus </t>
  </si>
  <si>
    <t>lineatus</t>
  </si>
  <si>
    <t xml:space="preserve">Piaya </t>
  </si>
  <si>
    <t>cayana</t>
  </si>
  <si>
    <t>forficaturs</t>
  </si>
  <si>
    <t xml:space="preserve">Setophaga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</si>
</sst>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[$-409]d\-mmm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2" fillId="0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Border="1"/>
    <xf numFmtId="1" fontId="0" fillId="0" borderId="0" xfId="0" applyNumberFormat="1" applyAlignment="1">
      <alignment wrapText="1"/>
    </xf>
    <xf numFmtId="49" fontId="0" fillId="0" borderId="0" xfId="0" applyNumberFormat="1" applyAlignment="1"/>
    <xf numFmtId="1" fontId="0" fillId="0" borderId="0" xfId="0" applyNumberFormat="1"/>
    <xf numFmtId="0" fontId="3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 applyProtection="1">
      <alignment horizontal="center"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0" borderId="0" xfId="0" applyAlignment="1"/>
    <xf numFmtId="0" fontId="0" fillId="0" borderId="0" xfId="0" applyBorder="1" applyProtection="1">
      <protection locked="0"/>
    </xf>
    <xf numFmtId="166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>
      <alignment horizontal="right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166" fontId="0" fillId="8" borderId="0" xfId="0" applyNumberFormat="1" applyFill="1" applyAlignment="1" applyProtection="1">
      <alignment horizontal="center" vertical="center" wrapText="1"/>
    </xf>
    <xf numFmtId="165" fontId="0" fillId="8" borderId="0" xfId="0" applyNumberFormat="1" applyFill="1" applyAlignment="1" applyProtection="1">
      <alignment horizontal="center" vertical="center" wrapText="1"/>
    </xf>
    <xf numFmtId="49" fontId="0" fillId="8" borderId="0" xfId="0" applyNumberFormat="1" applyFill="1" applyAlignment="1" applyProtection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 wrapText="1"/>
    </xf>
    <xf numFmtId="49" fontId="0" fillId="6" borderId="0" xfId="0" applyNumberFormat="1" applyFont="1" applyFill="1" applyAlignment="1" applyProtection="1">
      <alignment horizontal="center" vertical="center" wrapText="1"/>
    </xf>
    <xf numFmtId="0" fontId="0" fillId="7" borderId="0" xfId="0" applyFill="1" applyAlignment="1" applyProtection="1">
      <alignment horizontal="center" vertical="center" wrapText="1"/>
    </xf>
    <xf numFmtId="0" fontId="0" fillId="7" borderId="0" xfId="0" applyNumberFormat="1" applyFill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85725</xdr:rowOff>
    </xdr:from>
    <xdr:to>
      <xdr:col>14</xdr:col>
      <xdr:colOff>428625</xdr:colOff>
      <xdr:row>24</xdr:row>
      <xdr:rowOff>133350</xdr:rowOff>
    </xdr:to>
    <xdr:sp macro="" textlink="">
      <xdr:nvSpPr>
        <xdr:cNvPr id="7" name="Rounded Rectangle 6"/>
        <xdr:cNvSpPr/>
      </xdr:nvSpPr>
      <xdr:spPr>
        <a:xfrm>
          <a:off x="104775" y="276225"/>
          <a:ext cx="8858250" cy="47720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21</xdr:row>
      <xdr:rowOff>90600</xdr:rowOff>
    </xdr:from>
    <xdr:to>
      <xdr:col>3</xdr:col>
      <xdr:colOff>266700</xdr:colOff>
      <xdr:row>23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21</xdr:row>
      <xdr:rowOff>104775</xdr:rowOff>
    </xdr:from>
    <xdr:to>
      <xdr:col>12</xdr:col>
      <xdr:colOff>514350</xdr:colOff>
      <xdr:row>22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21</xdr:row>
          <xdr:rowOff>0</xdr:rowOff>
        </xdr:from>
        <xdr:to>
          <xdr:col>6</xdr:col>
          <xdr:colOff>419100</xdr:colOff>
          <xdr:row>23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21</xdr:row>
          <xdr:rowOff>0</xdr:rowOff>
        </xdr:from>
        <xdr:to>
          <xdr:col>9</xdr:col>
          <xdr:colOff>514350</xdr:colOff>
          <xdr:row>23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2:D19"/>
  <sheetViews>
    <sheetView workbookViewId="0"/>
  </sheetViews>
  <sheetFormatPr defaultRowHeight="15" x14ac:dyDescent="0.25"/>
  <cols>
    <col min="1" max="16384" width="9.140625" style="26"/>
  </cols>
  <sheetData>
    <row r="2" spans="4:4" ht="21" x14ac:dyDescent="0.35">
      <c r="D2" s="24" t="s">
        <v>330</v>
      </c>
    </row>
    <row r="3" spans="4:4" ht="21" x14ac:dyDescent="0.35">
      <c r="D3" s="24" t="s">
        <v>227</v>
      </c>
    </row>
    <row r="4" spans="4:4" x14ac:dyDescent="0.25">
      <c r="D4" s="25" t="s">
        <v>331</v>
      </c>
    </row>
    <row r="5" spans="4:4" x14ac:dyDescent="0.25">
      <c r="D5" s="25" t="s">
        <v>219</v>
      </c>
    </row>
    <row r="6" spans="4:4" x14ac:dyDescent="0.25">
      <c r="D6" s="25"/>
    </row>
    <row r="7" spans="4:4" x14ac:dyDescent="0.25">
      <c r="D7" s="25" t="s">
        <v>224</v>
      </c>
    </row>
    <row r="8" spans="4:4" x14ac:dyDescent="0.25">
      <c r="D8" s="25"/>
    </row>
    <row r="9" spans="4:4" x14ac:dyDescent="0.25">
      <c r="D9" s="25" t="s">
        <v>220</v>
      </c>
    </row>
    <row r="10" spans="4:4" x14ac:dyDescent="0.25">
      <c r="D10" s="25"/>
    </row>
    <row r="11" spans="4:4" x14ac:dyDescent="0.25">
      <c r="D11" s="25" t="s">
        <v>221</v>
      </c>
    </row>
    <row r="12" spans="4:4" x14ac:dyDescent="0.25">
      <c r="D12" s="25" t="s">
        <v>222</v>
      </c>
    </row>
    <row r="13" spans="4:4" x14ac:dyDescent="0.25">
      <c r="D13" s="25"/>
    </row>
    <row r="14" spans="4:4" x14ac:dyDescent="0.25">
      <c r="D14" s="25" t="s">
        <v>228</v>
      </c>
    </row>
    <row r="15" spans="4:4" x14ac:dyDescent="0.25">
      <c r="D15" s="25"/>
    </row>
    <row r="16" spans="4:4" x14ac:dyDescent="0.25">
      <c r="D16" s="25" t="s">
        <v>223</v>
      </c>
    </row>
    <row r="18" spans="4:4" x14ac:dyDescent="0.25">
      <c r="D18" s="25" t="s">
        <v>225</v>
      </c>
    </row>
    <row r="19" spans="4:4" x14ac:dyDescent="0.25">
      <c r="D19" s="26" t="s">
        <v>229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21</xdr:row>
                    <xdr:rowOff>0</xdr:rowOff>
                  </from>
                  <to>
                    <xdr:col>6</xdr:col>
                    <xdr:colOff>419100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21</xdr:row>
                    <xdr:rowOff>0</xdr:rowOff>
                  </from>
                  <to>
                    <xdr:col>9</xdr:col>
                    <xdr:colOff>514350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79"/>
  <sheetViews>
    <sheetView tabSelected="1" workbookViewId="0">
      <selection activeCell="O6" sqref="O6"/>
    </sheetView>
  </sheetViews>
  <sheetFormatPr defaultRowHeight="15" x14ac:dyDescent="0.25"/>
  <cols>
    <col min="1" max="1" width="13.7109375" style="51" customWidth="1"/>
    <col min="2" max="2" width="11.42578125" style="35" bestFit="1" customWidth="1"/>
    <col min="3" max="3" width="16.85546875" style="36" customWidth="1"/>
    <col min="4" max="4" width="14.5703125" style="36" bestFit="1" customWidth="1"/>
    <col min="5" max="5" width="15.28515625" style="36" customWidth="1"/>
    <col min="6" max="6" width="13.140625" style="37" customWidth="1"/>
    <col min="7" max="7" width="10.85546875" style="37" customWidth="1"/>
    <col min="8" max="8" width="11.7109375" style="37" customWidth="1"/>
    <col min="9" max="9" width="15.28515625" style="37" bestFit="1" customWidth="1"/>
    <col min="10" max="11" width="16.7109375" style="36" customWidth="1"/>
    <col min="12" max="13" width="16.7109375" style="40" customWidth="1"/>
    <col min="14" max="15" width="16.7109375" style="45" customWidth="1"/>
    <col min="16" max="16" width="13.85546875" style="37" customWidth="1"/>
    <col min="17" max="17" width="13.42578125" style="37" customWidth="1"/>
    <col min="18" max="18" width="12.28515625" style="36" customWidth="1"/>
    <col min="19" max="16384" width="9.140625" style="33"/>
  </cols>
  <sheetData>
    <row r="1" spans="1:23" s="32" customFormat="1" ht="45" x14ac:dyDescent="0.25">
      <c r="A1" s="57" t="s">
        <v>11</v>
      </c>
      <c r="B1" s="58" t="s">
        <v>226</v>
      </c>
      <c r="C1" s="59" t="s">
        <v>0</v>
      </c>
      <c r="D1" s="59" t="s">
        <v>1</v>
      </c>
      <c r="E1" s="59" t="s">
        <v>2</v>
      </c>
      <c r="F1" s="60" t="s">
        <v>3</v>
      </c>
      <c r="G1" s="60" t="s">
        <v>7</v>
      </c>
      <c r="H1" s="60" t="s">
        <v>8</v>
      </c>
      <c r="I1" s="55" t="s">
        <v>217</v>
      </c>
      <c r="J1" s="61" t="s">
        <v>4</v>
      </c>
      <c r="K1" s="55" t="s">
        <v>12</v>
      </c>
      <c r="L1" s="62" t="s">
        <v>14</v>
      </c>
      <c r="M1" s="62" t="s">
        <v>15</v>
      </c>
      <c r="N1" s="63" t="s">
        <v>16</v>
      </c>
      <c r="O1" s="63" t="s">
        <v>17</v>
      </c>
      <c r="P1" s="56" t="s">
        <v>231</v>
      </c>
      <c r="Q1" s="56" t="s">
        <v>9</v>
      </c>
      <c r="R1" s="56" t="s">
        <v>10</v>
      </c>
      <c r="S1" s="55" t="s">
        <v>6</v>
      </c>
      <c r="T1" s="53"/>
      <c r="U1" s="53"/>
      <c r="V1" s="53"/>
      <c r="W1" s="53"/>
    </row>
    <row r="2" spans="1:23" x14ac:dyDescent="0.25">
      <c r="A2" s="54">
        <v>41470</v>
      </c>
      <c r="C2" s="36" t="s">
        <v>24</v>
      </c>
      <c r="D2" s="36" t="s">
        <v>204</v>
      </c>
      <c r="E2" s="50" t="s">
        <v>334</v>
      </c>
      <c r="F2" s="37">
        <v>2</v>
      </c>
      <c r="G2" s="37">
        <v>0</v>
      </c>
      <c r="H2" s="37">
        <v>0</v>
      </c>
      <c r="J2" s="33" t="s">
        <v>612</v>
      </c>
      <c r="K2" s="38"/>
      <c r="L2" s="39" t="str">
        <f t="shared" ref="L2" si="0">IF(ISBLANK(J2),CONCATENATE(J2,K2),J2)</f>
        <v>Megascops guatemalae</v>
      </c>
      <c r="M2" s="39">
        <f t="shared" ref="M2" si="1">IF(AND(ISBLANK(J2),ISBLANK(K2)),"",FIND(" ",L2))</f>
        <v>10</v>
      </c>
      <c r="N2" s="44" t="str">
        <f t="shared" ref="N2" si="2">IF(AND(ISBLANK(J2),ISBLANK(K2)),"",MID(L2,1,M2))</f>
        <v xml:space="preserve">Megascops </v>
      </c>
      <c r="O2" s="44" t="str">
        <f t="shared" ref="O2" si="3">IF(AND(ISBLANK(J2),ISBLANK(K2)),"",MID(L2,M2+1,99))</f>
        <v>guatemalae</v>
      </c>
      <c r="P2" s="37" t="s">
        <v>233</v>
      </c>
      <c r="R2" s="37"/>
      <c r="T2" s="54"/>
    </row>
    <row r="3" spans="1:23" ht="30" x14ac:dyDescent="0.25">
      <c r="A3" s="51">
        <v>41470</v>
      </c>
      <c r="C3" s="36" t="s">
        <v>24</v>
      </c>
      <c r="D3" s="36" t="s">
        <v>204</v>
      </c>
      <c r="E3" s="36" t="s">
        <v>334</v>
      </c>
      <c r="F3" s="37">
        <v>2</v>
      </c>
      <c r="G3" s="37">
        <v>0</v>
      </c>
      <c r="H3" s="37">
        <v>0</v>
      </c>
      <c r="J3" s="36" t="s">
        <v>396</v>
      </c>
      <c r="L3" s="39" t="str">
        <f t="shared" ref="L3:L66" si="4">IF(ISBLANK(J3),CONCATENATE(J3,K3),J3)</f>
        <v>Ciccaba virgata</v>
      </c>
      <c r="M3" s="39">
        <f t="shared" ref="M3:M66" si="5">IF(AND(ISBLANK(J3),ISBLANK(K3)),"",FIND(" ",L3))</f>
        <v>8</v>
      </c>
      <c r="N3" s="44" t="str">
        <f t="shared" ref="N3:N66" si="6">IF(AND(ISBLANK(J3),ISBLANK(K3)),"",MID(L3,1,M3))</f>
        <v xml:space="preserve">Ciccaba </v>
      </c>
      <c r="O3" s="44" t="str">
        <f t="shared" ref="O3:O66" si="7">IF(AND(ISBLANK(J3),ISBLANK(K3)),"",MID(L3,M3+1,99))</f>
        <v>virgata</v>
      </c>
      <c r="P3" s="37" t="s">
        <v>233</v>
      </c>
    </row>
    <row r="4" spans="1:23" ht="30" x14ac:dyDescent="0.25">
      <c r="A4" s="51">
        <v>41470</v>
      </c>
      <c r="C4" s="36" t="s">
        <v>24</v>
      </c>
      <c r="D4" s="36" t="s">
        <v>204</v>
      </c>
      <c r="E4" s="36" t="s">
        <v>334</v>
      </c>
      <c r="F4" s="37">
        <v>2</v>
      </c>
      <c r="G4" s="37">
        <v>0</v>
      </c>
      <c r="H4" s="37">
        <v>0</v>
      </c>
      <c r="J4" s="36" t="s">
        <v>494</v>
      </c>
      <c r="L4" s="39" t="str">
        <f t="shared" si="4"/>
        <v>Micrastur semitorquatus</v>
      </c>
      <c r="M4" s="39">
        <f t="shared" si="5"/>
        <v>10</v>
      </c>
      <c r="N4" s="44" t="str">
        <f t="shared" si="6"/>
        <v xml:space="preserve">Micrastur </v>
      </c>
      <c r="O4" s="44" t="str">
        <f t="shared" si="7"/>
        <v>semitorquatus</v>
      </c>
      <c r="P4" s="37" t="s">
        <v>233</v>
      </c>
    </row>
    <row r="5" spans="1:23" ht="30" x14ac:dyDescent="0.25">
      <c r="A5" s="51">
        <v>41470</v>
      </c>
      <c r="C5" s="36" t="s">
        <v>24</v>
      </c>
      <c r="D5" s="36" t="s">
        <v>204</v>
      </c>
      <c r="E5" s="36" t="s">
        <v>334</v>
      </c>
      <c r="F5" s="37">
        <v>2</v>
      </c>
      <c r="G5" s="37">
        <v>0</v>
      </c>
      <c r="H5" s="37">
        <v>0</v>
      </c>
      <c r="J5" s="36" t="s">
        <v>378</v>
      </c>
      <c r="L5" s="39" t="str">
        <f t="shared" si="4"/>
        <v>Campylopterus hemileucurus</v>
      </c>
      <c r="M5" s="39">
        <f t="shared" si="5"/>
        <v>14</v>
      </c>
      <c r="N5" s="44" t="str">
        <f t="shared" si="6"/>
        <v xml:space="preserve">Campylopterus </v>
      </c>
      <c r="O5" s="44" t="str">
        <f t="shared" si="7"/>
        <v>hemileucurus</v>
      </c>
      <c r="P5" s="37" t="s">
        <v>232</v>
      </c>
      <c r="S5" s="33" t="s">
        <v>624</v>
      </c>
    </row>
    <row r="6" spans="1:23" ht="30" x14ac:dyDescent="0.25">
      <c r="A6" s="51">
        <v>41470</v>
      </c>
      <c r="C6" s="36" t="s">
        <v>24</v>
      </c>
      <c r="D6" s="36" t="s">
        <v>204</v>
      </c>
      <c r="E6" s="36" t="s">
        <v>334</v>
      </c>
      <c r="F6" s="37">
        <v>2</v>
      </c>
      <c r="G6" s="37">
        <v>0</v>
      </c>
      <c r="H6" s="37">
        <v>0</v>
      </c>
      <c r="J6" s="36" t="s">
        <v>378</v>
      </c>
      <c r="L6" s="39" t="str">
        <f t="shared" si="4"/>
        <v>Campylopterus hemileucurus</v>
      </c>
      <c r="M6" s="39">
        <f t="shared" si="5"/>
        <v>14</v>
      </c>
      <c r="N6" s="44" t="str">
        <f t="shared" si="6"/>
        <v xml:space="preserve">Campylopterus </v>
      </c>
      <c r="O6" s="44" t="str">
        <f t="shared" si="7"/>
        <v>hemileucurus</v>
      </c>
      <c r="P6" s="37" t="s">
        <v>232</v>
      </c>
      <c r="S6" s="33" t="s">
        <v>624</v>
      </c>
    </row>
    <row r="7" spans="1:23" ht="30" x14ac:dyDescent="0.25">
      <c r="A7" s="51">
        <v>41469</v>
      </c>
      <c r="C7" s="36" t="s">
        <v>24</v>
      </c>
      <c r="D7" s="36" t="s">
        <v>205</v>
      </c>
      <c r="E7" s="36" t="s">
        <v>334</v>
      </c>
      <c r="F7" s="37">
        <v>2</v>
      </c>
      <c r="G7" s="37">
        <v>0</v>
      </c>
      <c r="H7" s="37">
        <v>0</v>
      </c>
      <c r="J7" s="36" t="s">
        <v>392</v>
      </c>
      <c r="L7" s="39" t="str">
        <f t="shared" si="4"/>
        <v>Chlorophonia occipitalis</v>
      </c>
      <c r="M7" s="39">
        <f t="shared" si="5"/>
        <v>13</v>
      </c>
      <c r="N7" s="44" t="str">
        <f t="shared" si="6"/>
        <v xml:space="preserve">Chlorophonia </v>
      </c>
      <c r="O7" s="44" t="str">
        <f t="shared" si="7"/>
        <v>occipitalis</v>
      </c>
      <c r="P7" s="37" t="s">
        <v>233</v>
      </c>
      <c r="S7" s="33" t="s">
        <v>625</v>
      </c>
    </row>
    <row r="8" spans="1:23" ht="30" x14ac:dyDescent="0.25">
      <c r="A8" s="51">
        <v>41460</v>
      </c>
      <c r="C8" s="36" t="s">
        <v>25</v>
      </c>
      <c r="D8" s="36" t="s">
        <v>200</v>
      </c>
      <c r="E8" s="36" t="s">
        <v>333</v>
      </c>
      <c r="F8" s="37">
        <v>1</v>
      </c>
      <c r="G8" s="37">
        <v>0</v>
      </c>
      <c r="H8" s="37">
        <v>0</v>
      </c>
      <c r="J8" s="36" t="s">
        <v>382</v>
      </c>
      <c r="L8" s="39" t="str">
        <f t="shared" si="4"/>
        <v>Caryothraustes poliogaster</v>
      </c>
      <c r="M8" s="39">
        <f t="shared" si="5"/>
        <v>15</v>
      </c>
      <c r="N8" s="44" t="str">
        <f t="shared" si="6"/>
        <v xml:space="preserve">Caryothraustes </v>
      </c>
      <c r="O8" s="44" t="str">
        <f t="shared" si="7"/>
        <v>poliogaster</v>
      </c>
      <c r="P8" s="37" t="s">
        <v>232</v>
      </c>
      <c r="S8" s="33" t="s">
        <v>626</v>
      </c>
    </row>
    <row r="9" spans="1:23" ht="30" x14ac:dyDescent="0.25">
      <c r="A9" s="51">
        <v>41460</v>
      </c>
      <c r="C9" s="36" t="s">
        <v>25</v>
      </c>
      <c r="D9" s="36" t="s">
        <v>200</v>
      </c>
      <c r="E9" s="36" t="s">
        <v>333</v>
      </c>
      <c r="F9" s="37">
        <v>1</v>
      </c>
      <c r="G9" s="37">
        <v>0</v>
      </c>
      <c r="H9" s="37">
        <v>0</v>
      </c>
      <c r="J9" s="36" t="s">
        <v>497</v>
      </c>
      <c r="L9" s="39" t="str">
        <f t="shared" si="4"/>
        <v>Mitrephanes phaeocercus</v>
      </c>
      <c r="M9" s="39">
        <f t="shared" si="5"/>
        <v>12</v>
      </c>
      <c r="N9" s="44" t="str">
        <f t="shared" si="6"/>
        <v xml:space="preserve">Mitrephanes </v>
      </c>
      <c r="O9" s="44" t="str">
        <f t="shared" si="7"/>
        <v>phaeocercus</v>
      </c>
      <c r="P9" s="37" t="s">
        <v>232</v>
      </c>
    </row>
    <row r="10" spans="1:23" x14ac:dyDescent="0.25">
      <c r="A10" s="51">
        <v>41460</v>
      </c>
      <c r="C10" s="36" t="s">
        <v>25</v>
      </c>
      <c r="D10" s="36" t="s">
        <v>200</v>
      </c>
      <c r="E10" s="36" t="s">
        <v>333</v>
      </c>
      <c r="F10" s="37">
        <v>1</v>
      </c>
      <c r="G10" s="37">
        <v>0</v>
      </c>
      <c r="H10" s="37">
        <v>0</v>
      </c>
      <c r="J10" s="36" t="s">
        <v>577</v>
      </c>
      <c r="L10" s="39" t="str">
        <f t="shared" si="4"/>
        <v>Thraupis abbas</v>
      </c>
      <c r="M10" s="39">
        <f t="shared" si="5"/>
        <v>9</v>
      </c>
      <c r="N10" s="44" t="str">
        <f t="shared" si="6"/>
        <v xml:space="preserve">Thraupis </v>
      </c>
      <c r="O10" s="44" t="str">
        <f t="shared" si="7"/>
        <v>abbas</v>
      </c>
      <c r="P10" s="37" t="s">
        <v>232</v>
      </c>
    </row>
    <row r="11" spans="1:23" ht="30" x14ac:dyDescent="0.25">
      <c r="A11" s="51">
        <v>41460</v>
      </c>
      <c r="C11" s="36" t="s">
        <v>25</v>
      </c>
      <c r="D11" s="36" t="s">
        <v>200</v>
      </c>
      <c r="E11" s="36" t="s">
        <v>333</v>
      </c>
      <c r="F11" s="37">
        <v>1</v>
      </c>
      <c r="G11" s="37">
        <v>0</v>
      </c>
      <c r="H11" s="37">
        <v>0</v>
      </c>
      <c r="J11" s="36" t="s">
        <v>566</v>
      </c>
      <c r="L11" s="39" t="str">
        <f t="shared" si="4"/>
        <v>Sittasomus griseicapillus</v>
      </c>
      <c r="M11" s="39">
        <f t="shared" si="5"/>
        <v>11</v>
      </c>
      <c r="N11" s="44" t="str">
        <f t="shared" si="6"/>
        <v xml:space="preserve">Sittasomus </v>
      </c>
      <c r="O11" s="44" t="str">
        <f t="shared" si="7"/>
        <v>griseicapillus</v>
      </c>
      <c r="P11" s="37" t="s">
        <v>233</v>
      </c>
    </row>
    <row r="12" spans="1:23" ht="30" x14ac:dyDescent="0.25">
      <c r="A12" s="51">
        <v>41460</v>
      </c>
      <c r="C12" s="36" t="s">
        <v>25</v>
      </c>
      <c r="D12" s="36" t="s">
        <v>200</v>
      </c>
      <c r="E12" s="36" t="s">
        <v>333</v>
      </c>
      <c r="F12" s="37">
        <v>1</v>
      </c>
      <c r="G12" s="37">
        <v>0</v>
      </c>
      <c r="H12" s="37">
        <v>0</v>
      </c>
      <c r="J12" s="36" t="s">
        <v>392</v>
      </c>
      <c r="L12" s="39" t="str">
        <f t="shared" si="4"/>
        <v>Chlorophonia occipitalis</v>
      </c>
      <c r="M12" s="39">
        <f t="shared" si="5"/>
        <v>13</v>
      </c>
      <c r="N12" s="44" t="str">
        <f t="shared" si="6"/>
        <v xml:space="preserve">Chlorophonia </v>
      </c>
      <c r="O12" s="44" t="str">
        <f t="shared" si="7"/>
        <v>occipitalis</v>
      </c>
      <c r="P12" s="37" t="s">
        <v>232</v>
      </c>
      <c r="S12" s="33" t="s">
        <v>627</v>
      </c>
    </row>
    <row r="13" spans="1:23" ht="30" x14ac:dyDescent="0.25">
      <c r="A13" s="51">
        <v>41460</v>
      </c>
      <c r="C13" s="36" t="s">
        <v>25</v>
      </c>
      <c r="D13" s="36" t="s">
        <v>200</v>
      </c>
      <c r="E13" s="36" t="s">
        <v>333</v>
      </c>
      <c r="F13" s="37">
        <v>1</v>
      </c>
      <c r="G13" s="37">
        <v>0</v>
      </c>
      <c r="H13" s="37">
        <v>0</v>
      </c>
      <c r="J13" s="36" t="s">
        <v>478</v>
      </c>
      <c r="L13" s="39" t="str">
        <f t="shared" si="4"/>
        <v>Lepidocolaptes affinis</v>
      </c>
      <c r="M13" s="39">
        <f t="shared" si="5"/>
        <v>15</v>
      </c>
      <c r="N13" s="44" t="str">
        <f t="shared" si="6"/>
        <v xml:space="preserve">Lepidocolaptes </v>
      </c>
      <c r="O13" s="44" t="str">
        <f t="shared" si="7"/>
        <v>affinis</v>
      </c>
      <c r="P13" s="37" t="s">
        <v>233</v>
      </c>
    </row>
    <row r="14" spans="1:23" ht="30" x14ac:dyDescent="0.25">
      <c r="A14" s="51">
        <v>41460</v>
      </c>
      <c r="C14" s="36" t="s">
        <v>25</v>
      </c>
      <c r="D14" s="36" t="s">
        <v>200</v>
      </c>
      <c r="E14" s="36" t="s">
        <v>333</v>
      </c>
      <c r="F14" s="37">
        <v>1</v>
      </c>
      <c r="G14" s="37">
        <v>0</v>
      </c>
      <c r="H14" s="37">
        <v>0</v>
      </c>
      <c r="J14" s="36" t="s">
        <v>501</v>
      </c>
      <c r="L14" s="39" t="str">
        <f t="shared" si="4"/>
        <v>Myadestes unicolor</v>
      </c>
      <c r="M14" s="39">
        <f t="shared" si="5"/>
        <v>10</v>
      </c>
      <c r="N14" s="44" t="str">
        <f t="shared" si="6"/>
        <v xml:space="preserve">Myadestes </v>
      </c>
      <c r="O14" s="44" t="str">
        <f t="shared" si="7"/>
        <v>unicolor</v>
      </c>
      <c r="P14" s="37" t="s">
        <v>232</v>
      </c>
    </row>
    <row r="15" spans="1:23" ht="30" x14ac:dyDescent="0.25">
      <c r="A15" s="51">
        <v>41460</v>
      </c>
      <c r="C15" s="36" t="s">
        <v>25</v>
      </c>
      <c r="D15" s="36" t="s">
        <v>200</v>
      </c>
      <c r="E15" s="36" t="s">
        <v>333</v>
      </c>
      <c r="F15" s="37">
        <v>1</v>
      </c>
      <c r="G15" s="37">
        <v>0</v>
      </c>
      <c r="H15" s="37">
        <v>0</v>
      </c>
      <c r="J15" s="36" t="s">
        <v>353</v>
      </c>
      <c r="L15" s="39" t="str">
        <f t="shared" si="4"/>
        <v>Anabacerthia variegaticeps</v>
      </c>
      <c r="M15" s="39">
        <f t="shared" si="5"/>
        <v>13</v>
      </c>
      <c r="N15" s="44" t="str">
        <f t="shared" si="6"/>
        <v xml:space="preserve">Anabacerthia </v>
      </c>
      <c r="O15" s="44" t="str">
        <f t="shared" si="7"/>
        <v>variegaticeps</v>
      </c>
      <c r="P15" s="37" t="s">
        <v>233</v>
      </c>
    </row>
    <row r="16" spans="1:23" ht="30" x14ac:dyDescent="0.25">
      <c r="A16" s="51">
        <v>41460</v>
      </c>
      <c r="C16" s="36" t="s">
        <v>25</v>
      </c>
      <c r="D16" s="36" t="s">
        <v>200</v>
      </c>
      <c r="E16" s="36" t="s">
        <v>333</v>
      </c>
      <c r="F16" s="37">
        <v>1</v>
      </c>
      <c r="G16" s="37">
        <v>0</v>
      </c>
      <c r="H16" s="37">
        <v>0</v>
      </c>
      <c r="J16" s="36" t="s">
        <v>529</v>
      </c>
      <c r="L16" s="39" t="str">
        <f t="shared" si="4"/>
        <v>Pharomachrus mocinno</v>
      </c>
      <c r="M16" s="39">
        <f t="shared" si="5"/>
        <v>13</v>
      </c>
      <c r="N16" s="44" t="str">
        <f t="shared" si="6"/>
        <v xml:space="preserve">Pharomachrus </v>
      </c>
      <c r="O16" s="44" t="str">
        <f t="shared" si="7"/>
        <v>mocinno</v>
      </c>
      <c r="P16" s="37" t="s">
        <v>233</v>
      </c>
    </row>
    <row r="17" spans="1:19" ht="30" x14ac:dyDescent="0.25">
      <c r="A17" s="51">
        <v>41460</v>
      </c>
      <c r="C17" s="36" t="s">
        <v>25</v>
      </c>
      <c r="D17" s="36" t="s">
        <v>200</v>
      </c>
      <c r="E17" s="36" t="s">
        <v>333</v>
      </c>
      <c r="F17" s="37">
        <v>1</v>
      </c>
      <c r="G17" s="37">
        <v>0</v>
      </c>
      <c r="H17" s="37">
        <v>0</v>
      </c>
      <c r="J17" s="36" t="s">
        <v>393</v>
      </c>
      <c r="L17" s="39" t="str">
        <f t="shared" si="4"/>
        <v>Chlorospingus ophthalmicus</v>
      </c>
      <c r="M17" s="39">
        <f t="shared" si="5"/>
        <v>14</v>
      </c>
      <c r="N17" s="44" t="str">
        <f t="shared" si="6"/>
        <v xml:space="preserve">Chlorospingus </v>
      </c>
      <c r="O17" s="44" t="str">
        <f t="shared" si="7"/>
        <v>ophthalmicus</v>
      </c>
      <c r="P17" s="37" t="s">
        <v>232</v>
      </c>
    </row>
    <row r="18" spans="1:19" x14ac:dyDescent="0.25">
      <c r="A18" s="51">
        <v>41460</v>
      </c>
      <c r="C18" s="36" t="s">
        <v>25</v>
      </c>
      <c r="D18" s="36" t="s">
        <v>200</v>
      </c>
      <c r="E18" s="36" t="s">
        <v>333</v>
      </c>
      <c r="F18" s="37">
        <v>1</v>
      </c>
      <c r="G18" s="37">
        <v>0</v>
      </c>
      <c r="H18" s="37">
        <v>0</v>
      </c>
      <c r="J18" s="36" t="s">
        <v>537</v>
      </c>
      <c r="L18" s="39" t="str">
        <f t="shared" si="4"/>
        <v>Pionus senilis</v>
      </c>
      <c r="M18" s="39">
        <f t="shared" si="5"/>
        <v>7</v>
      </c>
      <c r="N18" s="44" t="str">
        <f t="shared" si="6"/>
        <v xml:space="preserve">Pionus </v>
      </c>
      <c r="O18" s="44" t="str">
        <f t="shared" si="7"/>
        <v>senilis</v>
      </c>
      <c r="P18" s="37" t="s">
        <v>233</v>
      </c>
    </row>
    <row r="19" spans="1:19" ht="30" x14ac:dyDescent="0.25">
      <c r="A19" s="51">
        <v>41460</v>
      </c>
      <c r="C19" s="36" t="s">
        <v>25</v>
      </c>
      <c r="D19" s="36" t="s">
        <v>200</v>
      </c>
      <c r="E19" s="36" t="s">
        <v>333</v>
      </c>
      <c r="F19" s="37">
        <v>1</v>
      </c>
      <c r="G19" s="37">
        <v>0</v>
      </c>
      <c r="H19" s="37">
        <v>0</v>
      </c>
      <c r="J19" s="36" t="s">
        <v>523</v>
      </c>
      <c r="L19" s="39" t="str">
        <f t="shared" si="4"/>
        <v>Penelope purpurascens</v>
      </c>
      <c r="M19" s="39">
        <f t="shared" si="5"/>
        <v>9</v>
      </c>
      <c r="N19" s="44" t="str">
        <f t="shared" si="6"/>
        <v xml:space="preserve">Penelope </v>
      </c>
      <c r="O19" s="44" t="str">
        <f t="shared" si="7"/>
        <v>purpurascens</v>
      </c>
      <c r="P19" s="37" t="s">
        <v>232</v>
      </c>
    </row>
    <row r="20" spans="1:19" ht="30" x14ac:dyDescent="0.25">
      <c r="A20" s="51">
        <v>41460</v>
      </c>
      <c r="C20" s="36" t="s">
        <v>25</v>
      </c>
      <c r="D20" s="36" t="s">
        <v>200</v>
      </c>
      <c r="E20" s="36" t="s">
        <v>333</v>
      </c>
      <c r="F20" s="37">
        <v>1</v>
      </c>
      <c r="G20" s="37">
        <v>0</v>
      </c>
      <c r="H20" s="37">
        <v>0</v>
      </c>
      <c r="J20" s="36" t="s">
        <v>609</v>
      </c>
      <c r="L20" s="39" t="str">
        <f t="shared" si="4"/>
        <v>Xiphorhynchus erythropygius</v>
      </c>
      <c r="M20" s="39">
        <f t="shared" si="5"/>
        <v>14</v>
      </c>
      <c r="N20" s="44" t="str">
        <f t="shared" si="6"/>
        <v xml:space="preserve">Xiphorhynchus </v>
      </c>
      <c r="O20" s="44" t="str">
        <f t="shared" si="7"/>
        <v>erythropygius</v>
      </c>
      <c r="P20" s="37" t="s">
        <v>233</v>
      </c>
    </row>
    <row r="21" spans="1:19" ht="30" x14ac:dyDescent="0.25">
      <c r="A21" s="51">
        <v>41460</v>
      </c>
      <c r="C21" s="36" t="s">
        <v>25</v>
      </c>
      <c r="D21" s="36" t="s">
        <v>200</v>
      </c>
      <c r="E21" s="36" t="s">
        <v>333</v>
      </c>
      <c r="F21" s="37">
        <v>1</v>
      </c>
      <c r="G21" s="37">
        <v>0</v>
      </c>
      <c r="H21" s="37">
        <v>0</v>
      </c>
      <c r="J21" s="36" t="s">
        <v>552</v>
      </c>
      <c r="L21" s="39" t="str">
        <f t="shared" si="4"/>
        <v>Ramphastos sulfuratus</v>
      </c>
      <c r="M21" s="39">
        <f t="shared" si="5"/>
        <v>11</v>
      </c>
      <c r="N21" s="44" t="str">
        <f t="shared" si="6"/>
        <v xml:space="preserve">Ramphastos </v>
      </c>
      <c r="O21" s="44" t="str">
        <f t="shared" si="7"/>
        <v>sulfuratus</v>
      </c>
    </row>
    <row r="22" spans="1:19" ht="30" x14ac:dyDescent="0.25">
      <c r="A22" s="51">
        <v>41460</v>
      </c>
      <c r="C22" s="36" t="s">
        <v>25</v>
      </c>
      <c r="D22" s="36" t="s">
        <v>200</v>
      </c>
      <c r="E22" s="36" t="s">
        <v>333</v>
      </c>
      <c r="F22" s="37">
        <v>1</v>
      </c>
      <c r="G22" s="37">
        <v>0</v>
      </c>
      <c r="H22" s="37">
        <v>0</v>
      </c>
      <c r="J22" s="36" t="s">
        <v>535</v>
      </c>
      <c r="L22" s="39" t="str">
        <f t="shared" si="4"/>
        <v>Piculus rubiginosus</v>
      </c>
      <c r="M22" s="39">
        <f t="shared" si="5"/>
        <v>8</v>
      </c>
      <c r="N22" s="44" t="str">
        <f t="shared" si="6"/>
        <v xml:space="preserve">Piculus </v>
      </c>
      <c r="O22" s="44" t="str">
        <f t="shared" si="7"/>
        <v>rubiginosus</v>
      </c>
      <c r="P22" s="37" t="s">
        <v>233</v>
      </c>
    </row>
    <row r="23" spans="1:19" x14ac:dyDescent="0.25">
      <c r="A23" s="51">
        <v>41460</v>
      </c>
      <c r="C23" s="36" t="s">
        <v>25</v>
      </c>
      <c r="D23" s="36" t="s">
        <v>200</v>
      </c>
      <c r="E23" s="36" t="s">
        <v>333</v>
      </c>
      <c r="F23" s="37">
        <v>1</v>
      </c>
      <c r="G23" s="37">
        <v>0</v>
      </c>
      <c r="H23" s="37">
        <v>0</v>
      </c>
      <c r="J23" s="36" t="s">
        <v>538</v>
      </c>
      <c r="L23" s="39" t="str">
        <f t="shared" si="4"/>
        <v>Pipra mentalis</v>
      </c>
      <c r="M23" s="39">
        <f t="shared" si="5"/>
        <v>6</v>
      </c>
      <c r="N23" s="44" t="str">
        <f t="shared" si="6"/>
        <v xml:space="preserve">Pipra </v>
      </c>
      <c r="O23" s="44" t="str">
        <f t="shared" si="7"/>
        <v>mentalis</v>
      </c>
      <c r="P23" s="37" t="s">
        <v>233</v>
      </c>
    </row>
    <row r="24" spans="1:19" ht="30" x14ac:dyDescent="0.25">
      <c r="A24" s="51">
        <v>41461</v>
      </c>
      <c r="C24" s="36" t="s">
        <v>25</v>
      </c>
      <c r="D24" s="36" t="s">
        <v>203</v>
      </c>
      <c r="E24" s="36" t="s">
        <v>613</v>
      </c>
      <c r="F24" s="37">
        <v>1</v>
      </c>
      <c r="G24" s="37">
        <v>0</v>
      </c>
      <c r="H24" s="37">
        <v>0</v>
      </c>
      <c r="J24" s="36" t="s">
        <v>378</v>
      </c>
      <c r="L24" s="39" t="str">
        <f t="shared" si="4"/>
        <v>Campylopterus hemileucurus</v>
      </c>
      <c r="M24" s="39">
        <f t="shared" si="5"/>
        <v>14</v>
      </c>
      <c r="N24" s="44" t="str">
        <f t="shared" si="6"/>
        <v xml:space="preserve">Campylopterus </v>
      </c>
      <c r="O24" s="44" t="str">
        <f t="shared" si="7"/>
        <v>hemileucurus</v>
      </c>
      <c r="P24" s="37" t="s">
        <v>232</v>
      </c>
    </row>
    <row r="25" spans="1:19" ht="30" x14ac:dyDescent="0.25">
      <c r="A25" s="51">
        <v>41461</v>
      </c>
      <c r="C25" s="36" t="s">
        <v>25</v>
      </c>
      <c r="D25" s="36" t="s">
        <v>203</v>
      </c>
      <c r="E25" s="36" t="s">
        <v>613</v>
      </c>
      <c r="F25" s="37">
        <v>1</v>
      </c>
      <c r="G25" s="37">
        <v>0</v>
      </c>
      <c r="H25" s="37">
        <v>0</v>
      </c>
      <c r="J25" s="36" t="s">
        <v>393</v>
      </c>
      <c r="L25" s="39" t="str">
        <f t="shared" si="4"/>
        <v>Chlorospingus ophthalmicus</v>
      </c>
      <c r="M25" s="39">
        <f t="shared" si="5"/>
        <v>14</v>
      </c>
      <c r="N25" s="44" t="str">
        <f t="shared" si="6"/>
        <v xml:space="preserve">Chlorospingus </v>
      </c>
      <c r="O25" s="44" t="str">
        <f t="shared" si="7"/>
        <v>ophthalmicus</v>
      </c>
      <c r="P25" s="37" t="s">
        <v>232</v>
      </c>
    </row>
    <row r="26" spans="1:19" ht="30" x14ac:dyDescent="0.25">
      <c r="A26" s="51">
        <v>41461</v>
      </c>
      <c r="C26" s="36" t="s">
        <v>25</v>
      </c>
      <c r="D26" s="36" t="s">
        <v>203</v>
      </c>
      <c r="E26" s="36" t="s">
        <v>613</v>
      </c>
      <c r="F26" s="37">
        <v>1</v>
      </c>
      <c r="G26" s="37">
        <v>0</v>
      </c>
      <c r="H26" s="37">
        <v>0</v>
      </c>
      <c r="J26" s="36" t="s">
        <v>552</v>
      </c>
      <c r="L26" s="39" t="str">
        <f t="shared" si="4"/>
        <v>Ramphastos sulfuratus</v>
      </c>
      <c r="M26" s="39">
        <f t="shared" si="5"/>
        <v>11</v>
      </c>
      <c r="N26" s="44" t="str">
        <f t="shared" si="6"/>
        <v xml:space="preserve">Ramphastos </v>
      </c>
      <c r="O26" s="44" t="str">
        <f t="shared" si="7"/>
        <v>sulfuratus</v>
      </c>
      <c r="P26" s="37" t="s">
        <v>233</v>
      </c>
    </row>
    <row r="27" spans="1:19" ht="30" x14ac:dyDescent="0.25">
      <c r="A27" s="51">
        <v>41461</v>
      </c>
      <c r="C27" s="36" t="s">
        <v>25</v>
      </c>
      <c r="D27" s="36" t="s">
        <v>203</v>
      </c>
      <c r="E27" s="36" t="s">
        <v>613</v>
      </c>
      <c r="F27" s="37">
        <v>1</v>
      </c>
      <c r="G27" s="37">
        <v>0</v>
      </c>
      <c r="H27" s="37">
        <v>0</v>
      </c>
      <c r="J27" s="36" t="s">
        <v>457</v>
      </c>
      <c r="L27" s="39" t="str">
        <f t="shared" si="4"/>
        <v>Geotrygon albifacies</v>
      </c>
      <c r="M27" s="39">
        <f t="shared" si="5"/>
        <v>10</v>
      </c>
      <c r="N27" s="44" t="str">
        <f t="shared" si="6"/>
        <v xml:space="preserve">Geotrygon </v>
      </c>
      <c r="O27" s="44" t="str">
        <f t="shared" si="7"/>
        <v>albifacies</v>
      </c>
      <c r="P27" s="37" t="s">
        <v>233</v>
      </c>
    </row>
    <row r="28" spans="1:19" ht="30" x14ac:dyDescent="0.25">
      <c r="A28" s="51">
        <v>41461</v>
      </c>
      <c r="C28" s="36" t="s">
        <v>25</v>
      </c>
      <c r="D28" s="36" t="s">
        <v>203</v>
      </c>
      <c r="E28" s="36" t="s">
        <v>613</v>
      </c>
      <c r="F28" s="37">
        <v>1</v>
      </c>
      <c r="G28" s="37">
        <v>0</v>
      </c>
      <c r="H28" s="37">
        <v>0</v>
      </c>
      <c r="J28" s="36" t="s">
        <v>501</v>
      </c>
      <c r="L28" s="39" t="str">
        <f t="shared" si="4"/>
        <v>Myadestes unicolor</v>
      </c>
      <c r="M28" s="39">
        <f t="shared" si="5"/>
        <v>10</v>
      </c>
      <c r="N28" s="44" t="str">
        <f t="shared" si="6"/>
        <v xml:space="preserve">Myadestes </v>
      </c>
      <c r="O28" s="44" t="str">
        <f t="shared" si="7"/>
        <v>unicolor</v>
      </c>
      <c r="P28" s="37" t="s">
        <v>233</v>
      </c>
    </row>
    <row r="29" spans="1:19" ht="30" x14ac:dyDescent="0.25">
      <c r="A29" s="51">
        <v>41461</v>
      </c>
      <c r="C29" s="36" t="s">
        <v>25</v>
      </c>
      <c r="D29" s="36" t="s">
        <v>203</v>
      </c>
      <c r="E29" s="36" t="s">
        <v>613</v>
      </c>
      <c r="F29" s="37">
        <v>1</v>
      </c>
      <c r="G29" s="37">
        <v>0</v>
      </c>
      <c r="H29" s="37">
        <v>0</v>
      </c>
      <c r="J29" s="36" t="s">
        <v>496</v>
      </c>
      <c r="L29" s="39" t="str">
        <f t="shared" si="4"/>
        <v>Mionectes oleagineus</v>
      </c>
      <c r="M29" s="39">
        <f t="shared" si="5"/>
        <v>10</v>
      </c>
      <c r="N29" s="44" t="str">
        <f t="shared" si="6"/>
        <v xml:space="preserve">Mionectes </v>
      </c>
      <c r="O29" s="44" t="str">
        <f t="shared" si="7"/>
        <v>oleagineus</v>
      </c>
      <c r="P29" s="37" t="s">
        <v>233</v>
      </c>
    </row>
    <row r="30" spans="1:19" ht="30" x14ac:dyDescent="0.25">
      <c r="A30" s="51">
        <v>41461</v>
      </c>
      <c r="C30" s="36" t="s">
        <v>25</v>
      </c>
      <c r="D30" s="36" t="s">
        <v>203</v>
      </c>
      <c r="E30" s="36" t="s">
        <v>613</v>
      </c>
      <c r="F30" s="37">
        <v>1</v>
      </c>
      <c r="G30" s="37">
        <v>0</v>
      </c>
      <c r="H30" s="37">
        <v>0</v>
      </c>
      <c r="J30" s="36" t="s">
        <v>386</v>
      </c>
      <c r="L30" s="39" t="str">
        <f t="shared" si="4"/>
        <v>Catharus mexicanus</v>
      </c>
      <c r="M30" s="39">
        <f t="shared" si="5"/>
        <v>9</v>
      </c>
      <c r="N30" s="44" t="str">
        <f t="shared" si="6"/>
        <v xml:space="preserve">Catharus </v>
      </c>
      <c r="O30" s="44" t="str">
        <f t="shared" si="7"/>
        <v>mexicanus</v>
      </c>
      <c r="P30" s="37" t="s">
        <v>233</v>
      </c>
    </row>
    <row r="31" spans="1:19" ht="30" x14ac:dyDescent="0.25">
      <c r="A31" s="51">
        <v>41461</v>
      </c>
      <c r="C31" s="36" t="s">
        <v>25</v>
      </c>
      <c r="D31" s="36" t="s">
        <v>203</v>
      </c>
      <c r="E31" s="36" t="s">
        <v>613</v>
      </c>
      <c r="F31" s="37">
        <v>1</v>
      </c>
      <c r="G31" s="37">
        <v>0</v>
      </c>
      <c r="H31" s="37">
        <v>0</v>
      </c>
      <c r="J31" s="36" t="s">
        <v>495</v>
      </c>
      <c r="L31" s="39" t="str">
        <f t="shared" si="4"/>
        <v>Microcerculus philomela</v>
      </c>
      <c r="M31" s="39">
        <f t="shared" si="5"/>
        <v>14</v>
      </c>
      <c r="N31" s="44" t="str">
        <f t="shared" si="6"/>
        <v xml:space="preserve">Microcerculus </v>
      </c>
      <c r="O31" s="44" t="str">
        <f t="shared" si="7"/>
        <v>philomela</v>
      </c>
      <c r="P31" s="37" t="s">
        <v>233</v>
      </c>
    </row>
    <row r="32" spans="1:19" ht="30" x14ac:dyDescent="0.25">
      <c r="A32" s="51">
        <v>41457</v>
      </c>
      <c r="C32" s="36" t="s">
        <v>25</v>
      </c>
      <c r="E32" s="36" t="s">
        <v>334</v>
      </c>
      <c r="F32" s="37">
        <v>2</v>
      </c>
      <c r="G32" s="37">
        <v>0</v>
      </c>
      <c r="H32" s="37">
        <v>0</v>
      </c>
      <c r="J32" s="36" t="s">
        <v>386</v>
      </c>
      <c r="L32" s="39" t="str">
        <f t="shared" si="4"/>
        <v>Catharus mexicanus</v>
      </c>
      <c r="M32" s="39">
        <f t="shared" si="5"/>
        <v>9</v>
      </c>
      <c r="N32" s="44" t="str">
        <f t="shared" si="6"/>
        <v xml:space="preserve">Catharus </v>
      </c>
      <c r="O32" s="44" t="str">
        <f t="shared" si="7"/>
        <v>mexicanus</v>
      </c>
      <c r="P32" s="37" t="s">
        <v>232</v>
      </c>
      <c r="S32" s="33" t="s">
        <v>628</v>
      </c>
    </row>
    <row r="33" spans="1:19" ht="30" x14ac:dyDescent="0.25">
      <c r="A33" s="51">
        <v>41458</v>
      </c>
      <c r="C33" s="36" t="s">
        <v>25</v>
      </c>
      <c r="E33" s="36" t="s">
        <v>334</v>
      </c>
      <c r="F33" s="37">
        <v>1</v>
      </c>
      <c r="G33" s="37">
        <v>0</v>
      </c>
      <c r="H33" s="37">
        <v>0</v>
      </c>
      <c r="J33" s="36" t="s">
        <v>378</v>
      </c>
      <c r="L33" s="39" t="str">
        <f t="shared" si="4"/>
        <v>Campylopterus hemileucurus</v>
      </c>
      <c r="M33" s="39">
        <f t="shared" si="5"/>
        <v>14</v>
      </c>
      <c r="N33" s="44" t="str">
        <f t="shared" si="6"/>
        <v xml:space="preserve">Campylopterus </v>
      </c>
      <c r="O33" s="44" t="str">
        <f t="shared" si="7"/>
        <v>hemileucurus</v>
      </c>
      <c r="P33" s="37" t="s">
        <v>232</v>
      </c>
      <c r="S33" s="33" t="s">
        <v>629</v>
      </c>
    </row>
    <row r="34" spans="1:19" ht="30" x14ac:dyDescent="0.25">
      <c r="A34" s="51">
        <v>41459</v>
      </c>
      <c r="C34" s="36" t="s">
        <v>25</v>
      </c>
      <c r="D34" s="36" t="s">
        <v>201</v>
      </c>
      <c r="E34" s="36" t="s">
        <v>334</v>
      </c>
      <c r="F34" s="37">
        <v>4</v>
      </c>
      <c r="G34" s="37">
        <v>0</v>
      </c>
      <c r="H34" s="37">
        <v>0</v>
      </c>
      <c r="J34" s="36" t="s">
        <v>495</v>
      </c>
      <c r="L34" s="39" t="str">
        <f t="shared" si="4"/>
        <v>Microcerculus philomela</v>
      </c>
      <c r="M34" s="39">
        <f t="shared" si="5"/>
        <v>14</v>
      </c>
      <c r="N34" s="44" t="str">
        <f t="shared" si="6"/>
        <v xml:space="preserve">Microcerculus </v>
      </c>
      <c r="O34" s="44" t="str">
        <f t="shared" si="7"/>
        <v>philomela</v>
      </c>
      <c r="P34" s="37" t="s">
        <v>233</v>
      </c>
    </row>
    <row r="35" spans="1:19" ht="30" x14ac:dyDescent="0.25">
      <c r="A35" s="51">
        <v>41459</v>
      </c>
      <c r="C35" s="36" t="s">
        <v>25</v>
      </c>
      <c r="D35" s="36" t="s">
        <v>201</v>
      </c>
      <c r="E35" s="36" t="s">
        <v>334</v>
      </c>
      <c r="F35" s="37">
        <v>4</v>
      </c>
      <c r="G35" s="37">
        <v>0</v>
      </c>
      <c r="H35" s="37">
        <v>0</v>
      </c>
      <c r="J35" s="36" t="s">
        <v>529</v>
      </c>
      <c r="L35" s="39" t="str">
        <f t="shared" si="4"/>
        <v>Pharomachrus mocinno</v>
      </c>
      <c r="M35" s="39">
        <f t="shared" si="5"/>
        <v>13</v>
      </c>
      <c r="N35" s="44" t="str">
        <f t="shared" si="6"/>
        <v xml:space="preserve">Pharomachrus </v>
      </c>
      <c r="O35" s="44" t="str">
        <f t="shared" si="7"/>
        <v>mocinno</v>
      </c>
      <c r="P35" s="37" t="s">
        <v>233</v>
      </c>
    </row>
    <row r="36" spans="1:19" ht="30" x14ac:dyDescent="0.25">
      <c r="A36" s="51">
        <v>41459</v>
      </c>
      <c r="C36" s="36" t="s">
        <v>25</v>
      </c>
      <c r="D36" s="36" t="s">
        <v>201</v>
      </c>
      <c r="E36" s="36" t="s">
        <v>334</v>
      </c>
      <c r="F36" s="37">
        <v>4</v>
      </c>
      <c r="G36" s="37">
        <v>0</v>
      </c>
      <c r="H36" s="37">
        <v>0</v>
      </c>
      <c r="J36" s="36" t="s">
        <v>591</v>
      </c>
      <c r="L36" s="39" t="str">
        <f t="shared" si="4"/>
        <v>Trogon collaris</v>
      </c>
      <c r="M36" s="39">
        <f t="shared" si="5"/>
        <v>7</v>
      </c>
      <c r="N36" s="44" t="str">
        <f t="shared" si="6"/>
        <v xml:space="preserve">Trogon </v>
      </c>
      <c r="O36" s="44" t="str">
        <f t="shared" si="7"/>
        <v>collaris</v>
      </c>
      <c r="P36" s="37" t="s">
        <v>233</v>
      </c>
    </row>
    <row r="37" spans="1:19" ht="30" x14ac:dyDescent="0.25">
      <c r="A37" s="51">
        <v>41459</v>
      </c>
      <c r="C37" s="36" t="s">
        <v>25</v>
      </c>
      <c r="D37" s="36" t="s">
        <v>201</v>
      </c>
      <c r="E37" s="36" t="s">
        <v>334</v>
      </c>
      <c r="F37" s="37">
        <v>4</v>
      </c>
      <c r="G37" s="37">
        <v>0</v>
      </c>
      <c r="H37" s="37">
        <v>0</v>
      </c>
      <c r="J37" s="36" t="s">
        <v>552</v>
      </c>
      <c r="L37" s="39" t="str">
        <f t="shared" si="4"/>
        <v>Ramphastos sulfuratus</v>
      </c>
      <c r="M37" s="39">
        <f t="shared" si="5"/>
        <v>11</v>
      </c>
      <c r="N37" s="44" t="str">
        <f t="shared" si="6"/>
        <v xml:space="preserve">Ramphastos </v>
      </c>
      <c r="O37" s="44" t="str">
        <f t="shared" si="7"/>
        <v>sulfuratus</v>
      </c>
      <c r="P37" s="37" t="s">
        <v>233</v>
      </c>
    </row>
    <row r="38" spans="1:19" ht="30" x14ac:dyDescent="0.25">
      <c r="A38" s="51">
        <v>41459</v>
      </c>
      <c r="C38" s="36" t="s">
        <v>25</v>
      </c>
      <c r="D38" s="36" t="s">
        <v>201</v>
      </c>
      <c r="E38" s="36" t="s">
        <v>334</v>
      </c>
      <c r="F38" s="37">
        <v>4</v>
      </c>
      <c r="G38" s="37">
        <v>0</v>
      </c>
      <c r="H38" s="37">
        <v>0</v>
      </c>
      <c r="J38" s="36" t="s">
        <v>362</v>
      </c>
      <c r="L38" s="39" t="str">
        <f t="shared" si="4"/>
        <v>Aulacorhynchus prasinus</v>
      </c>
      <c r="M38" s="39">
        <f t="shared" si="5"/>
        <v>15</v>
      </c>
      <c r="N38" s="44" t="str">
        <f t="shared" si="6"/>
        <v xml:space="preserve">Aulacorhynchus </v>
      </c>
      <c r="O38" s="44" t="str">
        <f t="shared" si="7"/>
        <v>prasinus</v>
      </c>
      <c r="P38" s="37" t="s">
        <v>233</v>
      </c>
    </row>
    <row r="39" spans="1:19" ht="30" x14ac:dyDescent="0.25">
      <c r="A39" s="51">
        <v>41459</v>
      </c>
      <c r="C39" s="36" t="s">
        <v>25</v>
      </c>
      <c r="D39" s="36" t="s">
        <v>201</v>
      </c>
      <c r="E39" s="36" t="s">
        <v>334</v>
      </c>
      <c r="F39" s="37">
        <v>4</v>
      </c>
      <c r="G39" s="37">
        <v>0</v>
      </c>
      <c r="H39" s="37">
        <v>0</v>
      </c>
      <c r="J39" s="36" t="s">
        <v>609</v>
      </c>
      <c r="L39" s="39" t="str">
        <f t="shared" si="4"/>
        <v>Xiphorhynchus erythropygius</v>
      </c>
      <c r="M39" s="39">
        <f t="shared" si="5"/>
        <v>14</v>
      </c>
      <c r="N39" s="44" t="str">
        <f t="shared" si="6"/>
        <v xml:space="preserve">Xiphorhynchus </v>
      </c>
      <c r="O39" s="44" t="str">
        <f t="shared" si="7"/>
        <v>erythropygius</v>
      </c>
      <c r="P39" s="37" t="s">
        <v>233</v>
      </c>
    </row>
    <row r="40" spans="1:19" ht="30" x14ac:dyDescent="0.25">
      <c r="A40" s="51">
        <v>41459</v>
      </c>
      <c r="C40" s="36" t="s">
        <v>25</v>
      </c>
      <c r="D40" s="36" t="s">
        <v>201</v>
      </c>
      <c r="E40" s="36" t="s">
        <v>334</v>
      </c>
      <c r="F40" s="37">
        <v>4</v>
      </c>
      <c r="G40" s="37">
        <v>0</v>
      </c>
      <c r="H40" s="37">
        <v>0</v>
      </c>
      <c r="J40" s="36" t="s">
        <v>566</v>
      </c>
      <c r="L40" s="39" t="str">
        <f t="shared" si="4"/>
        <v>Sittasomus griseicapillus</v>
      </c>
      <c r="M40" s="39">
        <f t="shared" si="5"/>
        <v>11</v>
      </c>
      <c r="N40" s="44" t="str">
        <f t="shared" si="6"/>
        <v xml:space="preserve">Sittasomus </v>
      </c>
      <c r="O40" s="44" t="str">
        <f t="shared" si="7"/>
        <v>griseicapillus</v>
      </c>
      <c r="P40" s="37" t="s">
        <v>233</v>
      </c>
    </row>
    <row r="41" spans="1:19" ht="30" x14ac:dyDescent="0.25">
      <c r="A41" s="51">
        <v>41459</v>
      </c>
      <c r="C41" s="36" t="s">
        <v>25</v>
      </c>
      <c r="D41" s="36" t="s">
        <v>201</v>
      </c>
      <c r="E41" s="36" t="s">
        <v>334</v>
      </c>
      <c r="F41" s="37">
        <v>4</v>
      </c>
      <c r="G41" s="37">
        <v>0</v>
      </c>
      <c r="H41" s="37">
        <v>0</v>
      </c>
      <c r="J41" s="36" t="s">
        <v>353</v>
      </c>
      <c r="L41" s="39" t="str">
        <f t="shared" si="4"/>
        <v>Anabacerthia variegaticeps</v>
      </c>
      <c r="M41" s="39">
        <f t="shared" si="5"/>
        <v>13</v>
      </c>
      <c r="N41" s="44" t="str">
        <f t="shared" si="6"/>
        <v xml:space="preserve">Anabacerthia </v>
      </c>
      <c r="O41" s="44" t="str">
        <f t="shared" si="7"/>
        <v>variegaticeps</v>
      </c>
      <c r="P41" s="37" t="s">
        <v>233</v>
      </c>
    </row>
    <row r="42" spans="1:19" ht="30" x14ac:dyDescent="0.25">
      <c r="A42" s="51">
        <v>41459</v>
      </c>
      <c r="C42" s="36" t="s">
        <v>25</v>
      </c>
      <c r="D42" s="36" t="s">
        <v>201</v>
      </c>
      <c r="E42" s="36" t="s">
        <v>334</v>
      </c>
      <c r="F42" s="37">
        <v>4</v>
      </c>
      <c r="G42" s="37">
        <v>0</v>
      </c>
      <c r="H42" s="37">
        <v>0</v>
      </c>
      <c r="J42" s="36" t="s">
        <v>441</v>
      </c>
      <c r="L42" s="39" t="str">
        <f t="shared" si="4"/>
        <v>Empidonax flavescens</v>
      </c>
      <c r="M42" s="39">
        <f t="shared" si="5"/>
        <v>10</v>
      </c>
      <c r="N42" s="44" t="str">
        <f t="shared" si="6"/>
        <v xml:space="preserve">Empidonax </v>
      </c>
      <c r="O42" s="44" t="str">
        <f t="shared" si="7"/>
        <v>flavescens</v>
      </c>
      <c r="P42" s="37" t="s">
        <v>233</v>
      </c>
    </row>
    <row r="43" spans="1:19" ht="30" x14ac:dyDescent="0.25">
      <c r="A43" s="51">
        <v>41459</v>
      </c>
      <c r="C43" s="36" t="s">
        <v>25</v>
      </c>
      <c r="D43" s="36" t="s">
        <v>201</v>
      </c>
      <c r="E43" s="36" t="s">
        <v>334</v>
      </c>
      <c r="F43" s="37">
        <v>4</v>
      </c>
      <c r="G43" s="37">
        <v>0</v>
      </c>
      <c r="H43" s="37">
        <v>0</v>
      </c>
      <c r="J43" s="36" t="s">
        <v>361</v>
      </c>
      <c r="L43" s="39" t="str">
        <f t="shared" si="4"/>
        <v>Attila spadiceus</v>
      </c>
      <c r="M43" s="39">
        <f t="shared" si="5"/>
        <v>7</v>
      </c>
      <c r="N43" s="44" t="str">
        <f t="shared" si="6"/>
        <v xml:space="preserve">Attila </v>
      </c>
      <c r="O43" s="44" t="str">
        <f t="shared" si="7"/>
        <v>spadiceus</v>
      </c>
      <c r="P43" s="37" t="s">
        <v>233</v>
      </c>
    </row>
    <row r="44" spans="1:19" ht="30" x14ac:dyDescent="0.25">
      <c r="A44" s="51">
        <v>41459</v>
      </c>
      <c r="C44" s="36" t="s">
        <v>25</v>
      </c>
      <c r="D44" s="36" t="s">
        <v>201</v>
      </c>
      <c r="E44" s="36" t="s">
        <v>334</v>
      </c>
      <c r="F44" s="37">
        <v>4</v>
      </c>
      <c r="G44" s="37">
        <v>0</v>
      </c>
      <c r="H44" s="37">
        <v>0</v>
      </c>
      <c r="J44" s="36" t="s">
        <v>465</v>
      </c>
      <c r="L44" s="39" t="str">
        <f t="shared" si="4"/>
        <v>Henicorhina leucophrys</v>
      </c>
      <c r="M44" s="39">
        <f t="shared" si="5"/>
        <v>12</v>
      </c>
      <c r="N44" s="44" t="str">
        <f t="shared" si="6"/>
        <v xml:space="preserve">Henicorhina </v>
      </c>
      <c r="O44" s="44" t="str">
        <f t="shared" si="7"/>
        <v>leucophrys</v>
      </c>
      <c r="P44" s="37" t="s">
        <v>233</v>
      </c>
    </row>
    <row r="45" spans="1:19" ht="30" x14ac:dyDescent="0.25">
      <c r="A45" s="51">
        <v>41459</v>
      </c>
      <c r="C45" s="36" t="s">
        <v>25</v>
      </c>
      <c r="D45" s="36" t="s">
        <v>201</v>
      </c>
      <c r="E45" s="36" t="s">
        <v>334</v>
      </c>
      <c r="F45" s="37">
        <v>4</v>
      </c>
      <c r="G45" s="37">
        <v>0</v>
      </c>
      <c r="H45" s="37">
        <v>0</v>
      </c>
      <c r="J45" s="36" t="s">
        <v>501</v>
      </c>
      <c r="L45" s="39" t="str">
        <f t="shared" si="4"/>
        <v>Myadestes unicolor</v>
      </c>
      <c r="M45" s="39">
        <f t="shared" si="5"/>
        <v>10</v>
      </c>
      <c r="N45" s="44" t="str">
        <f t="shared" si="6"/>
        <v xml:space="preserve">Myadestes </v>
      </c>
      <c r="O45" s="44" t="str">
        <f t="shared" si="7"/>
        <v>unicolor</v>
      </c>
      <c r="P45" s="37" t="s">
        <v>233</v>
      </c>
    </row>
    <row r="46" spans="1:19" ht="30" x14ac:dyDescent="0.25">
      <c r="A46" s="51">
        <v>41459</v>
      </c>
      <c r="C46" s="36" t="s">
        <v>25</v>
      </c>
      <c r="D46" s="36" t="s">
        <v>201</v>
      </c>
      <c r="E46" s="36" t="s">
        <v>334</v>
      </c>
      <c r="F46" s="37">
        <v>4</v>
      </c>
      <c r="G46" s="37">
        <v>0</v>
      </c>
      <c r="H46" s="37">
        <v>0</v>
      </c>
      <c r="J46" s="36" t="s">
        <v>504</v>
      </c>
      <c r="L46" s="39" t="str">
        <f t="shared" si="4"/>
        <v>Myioborus miniatus</v>
      </c>
      <c r="M46" s="39">
        <f t="shared" si="5"/>
        <v>10</v>
      </c>
      <c r="N46" s="44" t="str">
        <f t="shared" si="6"/>
        <v xml:space="preserve">Myioborus </v>
      </c>
      <c r="O46" s="44" t="str">
        <f t="shared" si="7"/>
        <v>miniatus</v>
      </c>
      <c r="P46" s="37" t="s">
        <v>233</v>
      </c>
    </row>
    <row r="47" spans="1:19" ht="30" x14ac:dyDescent="0.25">
      <c r="A47" s="51">
        <v>41459</v>
      </c>
      <c r="C47" s="36" t="s">
        <v>25</v>
      </c>
      <c r="D47" s="36" t="s">
        <v>201</v>
      </c>
      <c r="E47" s="36" t="s">
        <v>334</v>
      </c>
      <c r="F47" s="37">
        <v>4</v>
      </c>
      <c r="G47" s="37">
        <v>0</v>
      </c>
      <c r="H47" s="37">
        <v>0</v>
      </c>
      <c r="J47" s="36" t="s">
        <v>392</v>
      </c>
      <c r="L47" s="39" t="str">
        <f t="shared" si="4"/>
        <v>Chlorophonia occipitalis</v>
      </c>
      <c r="M47" s="39">
        <f t="shared" si="5"/>
        <v>13</v>
      </c>
      <c r="N47" s="44" t="str">
        <f t="shared" si="6"/>
        <v xml:space="preserve">Chlorophonia </v>
      </c>
      <c r="O47" s="44" t="str">
        <f t="shared" si="7"/>
        <v>occipitalis</v>
      </c>
      <c r="P47" s="37" t="s">
        <v>233</v>
      </c>
    </row>
    <row r="48" spans="1:19" ht="30" x14ac:dyDescent="0.25">
      <c r="A48" s="51">
        <v>41459</v>
      </c>
      <c r="C48" s="36" t="s">
        <v>25</v>
      </c>
      <c r="D48" s="36" t="s">
        <v>201</v>
      </c>
      <c r="E48" s="36" t="s">
        <v>334</v>
      </c>
      <c r="F48" s="37">
        <v>4</v>
      </c>
      <c r="G48" s="37">
        <v>0</v>
      </c>
      <c r="H48" s="37">
        <v>0</v>
      </c>
      <c r="J48" s="36" t="s">
        <v>393</v>
      </c>
      <c r="L48" s="39" t="str">
        <f t="shared" si="4"/>
        <v>Chlorospingus ophthalmicus</v>
      </c>
      <c r="M48" s="39">
        <f t="shared" si="5"/>
        <v>14</v>
      </c>
      <c r="N48" s="44" t="str">
        <f t="shared" si="6"/>
        <v xml:space="preserve">Chlorospingus </v>
      </c>
      <c r="O48" s="44" t="str">
        <f t="shared" si="7"/>
        <v>ophthalmicus</v>
      </c>
      <c r="P48" s="37" t="s">
        <v>233</v>
      </c>
    </row>
    <row r="49" spans="1:19" ht="30" x14ac:dyDescent="0.25">
      <c r="A49" s="51">
        <v>41459</v>
      </c>
      <c r="C49" s="36" t="s">
        <v>25</v>
      </c>
      <c r="D49" s="36" t="s">
        <v>201</v>
      </c>
      <c r="E49" s="36" t="s">
        <v>334</v>
      </c>
      <c r="F49" s="37">
        <v>4</v>
      </c>
      <c r="G49" s="37">
        <v>0</v>
      </c>
      <c r="H49" s="37">
        <v>0</v>
      </c>
      <c r="J49" s="36" t="s">
        <v>539</v>
      </c>
      <c r="L49" s="39" t="str">
        <f t="shared" si="4"/>
        <v>Piranga bidentata</v>
      </c>
      <c r="M49" s="39">
        <f t="shared" si="5"/>
        <v>8</v>
      </c>
      <c r="N49" s="44" t="str">
        <f t="shared" si="6"/>
        <v xml:space="preserve">Piranga </v>
      </c>
      <c r="O49" s="44" t="str">
        <f t="shared" si="7"/>
        <v>bidentata</v>
      </c>
      <c r="P49" s="37" t="s">
        <v>233</v>
      </c>
    </row>
    <row r="50" spans="1:19" ht="30" x14ac:dyDescent="0.25">
      <c r="A50" s="51">
        <v>41459</v>
      </c>
      <c r="C50" s="36" t="s">
        <v>25</v>
      </c>
      <c r="D50" s="36" t="s">
        <v>201</v>
      </c>
      <c r="E50" s="36" t="s">
        <v>334</v>
      </c>
      <c r="F50" s="37">
        <v>4</v>
      </c>
      <c r="G50" s="37">
        <v>0</v>
      </c>
      <c r="H50" s="37">
        <v>0</v>
      </c>
      <c r="J50" s="36" t="s">
        <v>357</v>
      </c>
      <c r="L50" s="39" t="str">
        <f t="shared" si="4"/>
        <v>Arremon brunneinucha</v>
      </c>
      <c r="M50" s="39">
        <f t="shared" si="5"/>
        <v>8</v>
      </c>
      <c r="N50" s="44" t="str">
        <f t="shared" si="6"/>
        <v xml:space="preserve">Arremon </v>
      </c>
      <c r="O50" s="44" t="str">
        <f t="shared" si="7"/>
        <v>brunneinucha</v>
      </c>
      <c r="P50" s="37" t="s">
        <v>233</v>
      </c>
    </row>
    <row r="51" spans="1:19" ht="30" x14ac:dyDescent="0.25">
      <c r="A51" s="51">
        <v>41460</v>
      </c>
      <c r="C51" s="36" t="s">
        <v>25</v>
      </c>
      <c r="D51" s="36" t="s">
        <v>200</v>
      </c>
      <c r="E51" s="36" t="s">
        <v>334</v>
      </c>
      <c r="F51" s="37">
        <v>2</v>
      </c>
      <c r="G51" s="37">
        <v>0</v>
      </c>
      <c r="H51" s="37">
        <v>0</v>
      </c>
      <c r="J51" s="36" t="s">
        <v>485</v>
      </c>
      <c r="L51" s="39" t="str">
        <f t="shared" si="4"/>
        <v>Lophornis helenae</v>
      </c>
      <c r="M51" s="39">
        <f t="shared" si="5"/>
        <v>10</v>
      </c>
      <c r="N51" s="44" t="str">
        <f t="shared" si="6"/>
        <v xml:space="preserve">Lophornis </v>
      </c>
      <c r="O51" s="44" t="str">
        <f t="shared" si="7"/>
        <v>helenae</v>
      </c>
      <c r="P51" s="37" t="s">
        <v>232</v>
      </c>
    </row>
    <row r="52" spans="1:19" ht="30" x14ac:dyDescent="0.25">
      <c r="A52" s="51">
        <v>41460</v>
      </c>
      <c r="C52" s="36" t="s">
        <v>25</v>
      </c>
      <c r="D52" s="36" t="s">
        <v>200</v>
      </c>
      <c r="E52" s="36" t="s">
        <v>334</v>
      </c>
      <c r="F52" s="37">
        <v>2</v>
      </c>
      <c r="G52" s="37">
        <v>0</v>
      </c>
      <c r="H52" s="37">
        <v>0</v>
      </c>
      <c r="J52" s="36" t="s">
        <v>497</v>
      </c>
      <c r="L52" s="39" t="str">
        <f t="shared" si="4"/>
        <v>Mitrephanes phaeocercus</v>
      </c>
      <c r="M52" s="39">
        <f t="shared" si="5"/>
        <v>12</v>
      </c>
      <c r="N52" s="44" t="str">
        <f t="shared" si="6"/>
        <v xml:space="preserve">Mitrephanes </v>
      </c>
      <c r="O52" s="44" t="str">
        <f t="shared" si="7"/>
        <v>phaeocercus</v>
      </c>
      <c r="P52" s="37" t="s">
        <v>232</v>
      </c>
    </row>
    <row r="53" spans="1:19" ht="30" x14ac:dyDescent="0.25">
      <c r="A53" s="51">
        <v>41462</v>
      </c>
      <c r="C53" s="36" t="s">
        <v>25</v>
      </c>
      <c r="D53" s="36" t="s">
        <v>200</v>
      </c>
      <c r="E53" s="36" t="s">
        <v>333</v>
      </c>
      <c r="F53" s="37">
        <v>1</v>
      </c>
      <c r="G53" s="37">
        <v>0</v>
      </c>
      <c r="H53" s="37">
        <v>0</v>
      </c>
      <c r="J53" s="36" t="s">
        <v>602</v>
      </c>
      <c r="L53" s="39" t="str">
        <f t="shared" si="4"/>
        <v>Veniliornis fumigatus</v>
      </c>
      <c r="M53" s="39">
        <f t="shared" si="5"/>
        <v>12</v>
      </c>
      <c r="N53" s="44" t="str">
        <f t="shared" si="6"/>
        <v xml:space="preserve">Veniliornis </v>
      </c>
      <c r="O53" s="44" t="str">
        <f t="shared" si="7"/>
        <v>fumigatus</v>
      </c>
      <c r="P53" s="37" t="s">
        <v>232</v>
      </c>
    </row>
    <row r="54" spans="1:19" x14ac:dyDescent="0.25">
      <c r="A54" s="51">
        <v>41462</v>
      </c>
      <c r="C54" s="36" t="s">
        <v>25</v>
      </c>
      <c r="D54" s="36" t="s">
        <v>200</v>
      </c>
      <c r="E54" s="36" t="s">
        <v>333</v>
      </c>
      <c r="F54" s="37">
        <v>1</v>
      </c>
      <c r="G54" s="37">
        <v>0</v>
      </c>
      <c r="H54" s="37">
        <v>0</v>
      </c>
      <c r="J54" s="36" t="s">
        <v>534</v>
      </c>
      <c r="L54" s="39" t="str">
        <f t="shared" si="4"/>
        <v>Picoides villosus</v>
      </c>
      <c r="M54" s="39">
        <f t="shared" si="5"/>
        <v>9</v>
      </c>
      <c r="N54" s="44" t="str">
        <f t="shared" si="6"/>
        <v xml:space="preserve">Picoides </v>
      </c>
      <c r="O54" s="44" t="str">
        <f t="shared" si="7"/>
        <v>villosus</v>
      </c>
      <c r="P54" s="37" t="s">
        <v>232</v>
      </c>
    </row>
    <row r="55" spans="1:19" ht="30" x14ac:dyDescent="0.25">
      <c r="A55" s="51">
        <v>41451</v>
      </c>
      <c r="C55" s="36" t="s">
        <v>23</v>
      </c>
      <c r="D55" s="36" t="s">
        <v>213</v>
      </c>
      <c r="E55" s="36" t="s">
        <v>333</v>
      </c>
      <c r="F55" s="37">
        <v>1</v>
      </c>
      <c r="G55" s="37">
        <v>0</v>
      </c>
      <c r="H55" s="37">
        <v>0</v>
      </c>
      <c r="J55" s="36" t="s">
        <v>394</v>
      </c>
      <c r="L55" s="39" t="str">
        <f t="shared" si="4"/>
        <v>Chlorostilbon canivetii</v>
      </c>
      <c r="M55" s="39">
        <f t="shared" si="5"/>
        <v>14</v>
      </c>
      <c r="N55" s="44" t="str">
        <f t="shared" si="6"/>
        <v xml:space="preserve">Chlorostilbon </v>
      </c>
      <c r="O55" s="44" t="str">
        <f t="shared" si="7"/>
        <v>canivetii</v>
      </c>
      <c r="P55" s="37" t="s">
        <v>232</v>
      </c>
      <c r="S55" s="33" t="s">
        <v>630</v>
      </c>
    </row>
    <row r="56" spans="1:19" ht="30" x14ac:dyDescent="0.25">
      <c r="A56" s="51">
        <v>41450</v>
      </c>
      <c r="C56" s="36" t="s">
        <v>23</v>
      </c>
      <c r="E56" s="36" t="s">
        <v>614</v>
      </c>
      <c r="F56" s="37">
        <v>1</v>
      </c>
      <c r="G56" s="37">
        <v>0</v>
      </c>
      <c r="H56" s="37">
        <v>0</v>
      </c>
      <c r="J56" s="36" t="s">
        <v>550</v>
      </c>
      <c r="L56" s="39" t="str">
        <f t="shared" si="4"/>
        <v>Pteroglossus torquatus</v>
      </c>
      <c r="M56" s="39">
        <f t="shared" si="5"/>
        <v>13</v>
      </c>
      <c r="N56" s="44" t="str">
        <f t="shared" si="6"/>
        <v xml:space="preserve">Pteroglossus </v>
      </c>
      <c r="O56" s="44" t="str">
        <f t="shared" si="7"/>
        <v>torquatus</v>
      </c>
      <c r="P56" s="37" t="s">
        <v>232</v>
      </c>
    </row>
    <row r="57" spans="1:19" ht="30" x14ac:dyDescent="0.25">
      <c r="A57" s="51">
        <v>41452</v>
      </c>
      <c r="C57" s="36" t="s">
        <v>23</v>
      </c>
      <c r="E57" s="36" t="s">
        <v>334</v>
      </c>
      <c r="F57" s="37">
        <v>2</v>
      </c>
      <c r="G57" s="37">
        <v>0</v>
      </c>
      <c r="H57" s="37">
        <v>0</v>
      </c>
      <c r="J57" s="36" t="s">
        <v>459</v>
      </c>
      <c r="L57" s="39" t="str">
        <f t="shared" si="4"/>
        <v>Glaucidium brasilianum</v>
      </c>
      <c r="M57" s="39">
        <f t="shared" si="5"/>
        <v>11</v>
      </c>
      <c r="N57" s="44" t="str">
        <f t="shared" si="6"/>
        <v xml:space="preserve">Glaucidium </v>
      </c>
      <c r="O57" s="44" t="str">
        <f t="shared" si="7"/>
        <v>brasilianum</v>
      </c>
      <c r="P57" s="37" t="s">
        <v>233</v>
      </c>
    </row>
    <row r="58" spans="1:19" x14ac:dyDescent="0.25">
      <c r="A58" s="51">
        <v>41453</v>
      </c>
      <c r="C58" s="36" t="s">
        <v>23</v>
      </c>
      <c r="D58" s="36" t="s">
        <v>213</v>
      </c>
      <c r="E58" s="36" t="s">
        <v>615</v>
      </c>
      <c r="F58" s="37">
        <v>1</v>
      </c>
      <c r="G58" s="37">
        <v>0</v>
      </c>
      <c r="H58" s="37">
        <v>0</v>
      </c>
      <c r="J58" s="36" t="s">
        <v>574</v>
      </c>
      <c r="L58" s="39" t="str">
        <f t="shared" si="4"/>
        <v>Tangara larvata</v>
      </c>
      <c r="M58" s="39">
        <f t="shared" si="5"/>
        <v>8</v>
      </c>
      <c r="N58" s="44" t="str">
        <f t="shared" si="6"/>
        <v xml:space="preserve">Tangara </v>
      </c>
      <c r="O58" s="44" t="str">
        <f t="shared" si="7"/>
        <v>larvata</v>
      </c>
      <c r="P58" s="37" t="s">
        <v>232</v>
      </c>
      <c r="S58" s="33" t="s">
        <v>630</v>
      </c>
    </row>
    <row r="59" spans="1:19" ht="30" x14ac:dyDescent="0.25">
      <c r="A59" s="51">
        <v>41454</v>
      </c>
      <c r="C59" s="36" t="s">
        <v>23</v>
      </c>
      <c r="D59" s="36" t="s">
        <v>216</v>
      </c>
      <c r="E59" s="36" t="s">
        <v>614</v>
      </c>
      <c r="F59" s="37">
        <v>1</v>
      </c>
      <c r="G59" s="37">
        <v>0</v>
      </c>
      <c r="H59" s="37">
        <v>0</v>
      </c>
      <c r="J59" s="36" t="s">
        <v>552</v>
      </c>
      <c r="L59" s="39" t="str">
        <f t="shared" si="4"/>
        <v>Ramphastos sulfuratus</v>
      </c>
      <c r="M59" s="39">
        <f t="shared" si="5"/>
        <v>11</v>
      </c>
      <c r="N59" s="44" t="str">
        <f t="shared" si="6"/>
        <v xml:space="preserve">Ramphastos </v>
      </c>
      <c r="O59" s="44" t="str">
        <f t="shared" si="7"/>
        <v>sulfuratus</v>
      </c>
      <c r="P59" s="37" t="s">
        <v>233</v>
      </c>
    </row>
    <row r="60" spans="1:19" x14ac:dyDescent="0.25">
      <c r="A60" s="51">
        <v>41474</v>
      </c>
      <c r="C60" s="36" t="s">
        <v>23</v>
      </c>
      <c r="E60" s="36" t="s">
        <v>333</v>
      </c>
      <c r="F60" s="37">
        <v>1</v>
      </c>
      <c r="G60" s="37">
        <v>0</v>
      </c>
      <c r="H60" s="37">
        <v>0</v>
      </c>
      <c r="J60" s="36" t="s">
        <v>415</v>
      </c>
      <c r="L60" s="39" t="str">
        <f t="shared" si="4"/>
        <v>Cyanocorax yncas</v>
      </c>
      <c r="M60" s="39">
        <f t="shared" si="5"/>
        <v>11</v>
      </c>
      <c r="N60" s="44" t="str">
        <f t="shared" si="6"/>
        <v xml:space="preserve">Cyanocorax </v>
      </c>
      <c r="O60" s="44" t="str">
        <f t="shared" si="7"/>
        <v>yncas</v>
      </c>
      <c r="P60" s="37" t="s">
        <v>232</v>
      </c>
    </row>
    <row r="61" spans="1:19" ht="30" x14ac:dyDescent="0.25">
      <c r="A61" s="51">
        <v>41476</v>
      </c>
      <c r="C61" s="36" t="s">
        <v>23</v>
      </c>
      <c r="E61" s="36" t="s">
        <v>333</v>
      </c>
      <c r="F61" s="37">
        <v>1</v>
      </c>
      <c r="G61" s="37">
        <v>0</v>
      </c>
      <c r="H61" s="37">
        <v>0</v>
      </c>
      <c r="J61" s="36" t="s">
        <v>612</v>
      </c>
      <c r="L61" s="39" t="str">
        <f t="shared" si="4"/>
        <v>Megascops guatemalae</v>
      </c>
      <c r="M61" s="39">
        <f t="shared" si="5"/>
        <v>10</v>
      </c>
      <c r="N61" s="44" t="str">
        <f t="shared" si="6"/>
        <v xml:space="preserve">Megascops </v>
      </c>
      <c r="O61" s="44" t="str">
        <f t="shared" si="7"/>
        <v>guatemalae</v>
      </c>
      <c r="P61" s="37" t="s">
        <v>233</v>
      </c>
    </row>
    <row r="62" spans="1:19" x14ac:dyDescent="0.25">
      <c r="A62" s="51">
        <v>41476</v>
      </c>
      <c r="C62" s="36" t="s">
        <v>23</v>
      </c>
      <c r="E62" s="36" t="s">
        <v>616</v>
      </c>
      <c r="F62" s="37">
        <v>1</v>
      </c>
      <c r="G62" s="37">
        <v>0</v>
      </c>
      <c r="H62" s="37">
        <v>0</v>
      </c>
      <c r="J62" s="36" t="s">
        <v>387</v>
      </c>
      <c r="L62" s="39" t="str">
        <f t="shared" si="4"/>
        <v>Celeus castaneus</v>
      </c>
      <c r="M62" s="39">
        <f t="shared" si="5"/>
        <v>7</v>
      </c>
      <c r="N62" s="44" t="str">
        <f t="shared" si="6"/>
        <v xml:space="preserve">Celeus </v>
      </c>
      <c r="O62" s="44" t="str">
        <f t="shared" si="7"/>
        <v>castaneus</v>
      </c>
      <c r="P62" s="37" t="s">
        <v>232</v>
      </c>
    </row>
    <row r="63" spans="1:19" ht="30" x14ac:dyDescent="0.25">
      <c r="A63" s="51">
        <v>41454</v>
      </c>
      <c r="C63" s="36" t="s">
        <v>23</v>
      </c>
      <c r="D63" s="36" t="s">
        <v>617</v>
      </c>
      <c r="E63" s="36" t="s">
        <v>334</v>
      </c>
      <c r="F63" s="37">
        <v>7</v>
      </c>
      <c r="G63" s="37">
        <v>0</v>
      </c>
      <c r="H63" s="37">
        <v>0</v>
      </c>
      <c r="J63" s="36" t="s">
        <v>411</v>
      </c>
      <c r="L63" s="39" t="str">
        <f t="shared" si="4"/>
        <v>Crypturellus soui</v>
      </c>
      <c r="M63" s="39">
        <f t="shared" si="5"/>
        <v>13</v>
      </c>
      <c r="N63" s="44" t="str">
        <f t="shared" si="6"/>
        <v xml:space="preserve">Crypturellus </v>
      </c>
      <c r="O63" s="44" t="str">
        <f t="shared" si="7"/>
        <v>soui</v>
      </c>
      <c r="P63" s="37" t="s">
        <v>233</v>
      </c>
    </row>
    <row r="64" spans="1:19" ht="30" x14ac:dyDescent="0.25">
      <c r="A64" s="51">
        <v>41454</v>
      </c>
      <c r="C64" s="36" t="s">
        <v>23</v>
      </c>
      <c r="D64" s="36" t="s">
        <v>617</v>
      </c>
      <c r="E64" s="36" t="s">
        <v>334</v>
      </c>
      <c r="F64" s="37">
        <v>7</v>
      </c>
      <c r="G64" s="37">
        <v>0</v>
      </c>
      <c r="H64" s="37">
        <v>0</v>
      </c>
      <c r="J64" s="36" t="s">
        <v>513</v>
      </c>
      <c r="L64" s="39" t="str">
        <f t="shared" si="4"/>
        <v>Ortalis vetula</v>
      </c>
      <c r="M64" s="39">
        <f t="shared" si="5"/>
        <v>8</v>
      </c>
      <c r="N64" s="44" t="str">
        <f t="shared" si="6"/>
        <v xml:space="preserve">Ortalis </v>
      </c>
      <c r="O64" s="44" t="str">
        <f t="shared" si="7"/>
        <v>vetula</v>
      </c>
      <c r="P64" s="37" t="s">
        <v>233</v>
      </c>
    </row>
    <row r="65" spans="1:19" ht="30" x14ac:dyDescent="0.25">
      <c r="A65" s="51">
        <v>41454</v>
      </c>
      <c r="C65" s="36" t="s">
        <v>23</v>
      </c>
      <c r="D65" s="36" t="s">
        <v>617</v>
      </c>
      <c r="E65" s="36" t="s">
        <v>334</v>
      </c>
      <c r="F65" s="37">
        <v>7</v>
      </c>
      <c r="G65" s="37">
        <v>0</v>
      </c>
      <c r="H65" s="37">
        <v>0</v>
      </c>
      <c r="J65" s="36" t="s">
        <v>434</v>
      </c>
      <c r="L65" s="39" t="str">
        <f t="shared" si="4"/>
        <v>Dryocopus lineatus</v>
      </c>
      <c r="M65" s="39">
        <f t="shared" si="5"/>
        <v>10</v>
      </c>
      <c r="N65" s="44" t="str">
        <f t="shared" si="6"/>
        <v xml:space="preserve">Dryocopus </v>
      </c>
      <c r="O65" s="44" t="str">
        <f t="shared" si="7"/>
        <v>lineatus</v>
      </c>
      <c r="P65" s="37" t="s">
        <v>232</v>
      </c>
    </row>
    <row r="66" spans="1:19" ht="30" x14ac:dyDescent="0.25">
      <c r="A66" s="51">
        <v>41454</v>
      </c>
      <c r="C66" s="36" t="s">
        <v>23</v>
      </c>
      <c r="D66" s="36" t="s">
        <v>617</v>
      </c>
      <c r="E66" s="36" t="s">
        <v>334</v>
      </c>
      <c r="F66" s="37">
        <v>6</v>
      </c>
      <c r="G66" s="37">
        <v>0</v>
      </c>
      <c r="H66" s="37">
        <v>0</v>
      </c>
      <c r="J66" s="36" t="s">
        <v>606</v>
      </c>
      <c r="L66" s="39" t="str">
        <f t="shared" si="4"/>
        <v>Volatinia jacarina</v>
      </c>
      <c r="M66" s="39">
        <f t="shared" si="5"/>
        <v>10</v>
      </c>
      <c r="N66" s="44" t="str">
        <f t="shared" si="6"/>
        <v xml:space="preserve">Volatinia </v>
      </c>
      <c r="O66" s="44" t="str">
        <f t="shared" si="7"/>
        <v>jacarina</v>
      </c>
      <c r="P66" s="37" t="s">
        <v>232</v>
      </c>
    </row>
    <row r="67" spans="1:19" ht="30" x14ac:dyDescent="0.25">
      <c r="A67" s="51">
        <v>41454</v>
      </c>
      <c r="C67" s="36" t="s">
        <v>23</v>
      </c>
      <c r="D67" s="36" t="s">
        <v>617</v>
      </c>
      <c r="E67" s="36" t="s">
        <v>334</v>
      </c>
      <c r="F67" s="37">
        <v>6</v>
      </c>
      <c r="G67" s="37">
        <v>0</v>
      </c>
      <c r="H67" s="37">
        <v>0</v>
      </c>
      <c r="J67" s="36" t="s">
        <v>570</v>
      </c>
      <c r="L67" s="39" t="str">
        <f t="shared" ref="L67:L79" si="8">IF(ISBLANK(J67),CONCATENATE(J67,K67),J67)</f>
        <v>Sporophila torqueola</v>
      </c>
      <c r="M67" s="39">
        <f t="shared" ref="M67:M79" si="9">IF(AND(ISBLANK(J67),ISBLANK(K67)),"",FIND(" ",L67))</f>
        <v>11</v>
      </c>
      <c r="N67" s="44" t="str">
        <f t="shared" ref="N67:N79" si="10">IF(AND(ISBLANK(J67),ISBLANK(K67)),"",MID(L67,1,M67))</f>
        <v xml:space="preserve">Sporophila </v>
      </c>
      <c r="O67" s="44" t="str">
        <f t="shared" ref="O67:O79" si="11">IF(AND(ISBLANK(J67),ISBLANK(K67)),"",MID(L67,M67+1,99))</f>
        <v>torqueola</v>
      </c>
      <c r="P67" s="37" t="s">
        <v>232</v>
      </c>
    </row>
    <row r="68" spans="1:19" ht="30" x14ac:dyDescent="0.25">
      <c r="A68" s="51">
        <v>41451</v>
      </c>
      <c r="C68" s="36" t="s">
        <v>23</v>
      </c>
      <c r="D68" s="36" t="s">
        <v>617</v>
      </c>
      <c r="E68" s="36" t="s">
        <v>334</v>
      </c>
      <c r="F68" s="37">
        <v>5</v>
      </c>
      <c r="G68" s="37">
        <v>0</v>
      </c>
      <c r="H68" s="37">
        <v>0</v>
      </c>
      <c r="J68" s="36" t="s">
        <v>531</v>
      </c>
      <c r="L68" s="39" t="str">
        <f t="shared" si="8"/>
        <v>Piaya cayana</v>
      </c>
      <c r="M68" s="39">
        <f t="shared" si="9"/>
        <v>6</v>
      </c>
      <c r="N68" s="44" t="str">
        <f t="shared" si="10"/>
        <v xml:space="preserve">Piaya </v>
      </c>
      <c r="O68" s="44" t="str">
        <f t="shared" si="11"/>
        <v>cayana</v>
      </c>
      <c r="P68" s="37" t="s">
        <v>233</v>
      </c>
    </row>
    <row r="69" spans="1:19" ht="30" x14ac:dyDescent="0.25">
      <c r="A69" s="51">
        <v>41451</v>
      </c>
      <c r="C69" s="36" t="s">
        <v>23</v>
      </c>
      <c r="D69" s="36" t="s">
        <v>617</v>
      </c>
      <c r="E69" s="36" t="s">
        <v>334</v>
      </c>
      <c r="F69" s="37">
        <v>5</v>
      </c>
      <c r="G69" s="37">
        <v>0</v>
      </c>
      <c r="H69" s="37">
        <v>0</v>
      </c>
      <c r="J69" s="36" t="s">
        <v>443</v>
      </c>
      <c r="L69" s="39" t="str">
        <f t="shared" si="8"/>
        <v>Eumomota superciliosa</v>
      </c>
      <c r="M69" s="39">
        <f t="shared" si="9"/>
        <v>9</v>
      </c>
      <c r="N69" s="44" t="str">
        <f t="shared" si="10"/>
        <v xml:space="preserve">Eumomota </v>
      </c>
      <c r="O69" s="44" t="str">
        <f t="shared" si="11"/>
        <v>superciliosa</v>
      </c>
      <c r="P69" s="37" t="s">
        <v>233</v>
      </c>
    </row>
    <row r="70" spans="1:19" ht="30" x14ac:dyDescent="0.25">
      <c r="A70" s="51">
        <v>41440</v>
      </c>
      <c r="C70" s="36" t="s">
        <v>618</v>
      </c>
      <c r="E70" s="36" t="s">
        <v>619</v>
      </c>
      <c r="F70" s="37">
        <v>1</v>
      </c>
      <c r="G70" s="37">
        <v>0</v>
      </c>
      <c r="H70" s="37">
        <v>0</v>
      </c>
      <c r="J70" s="36" t="s">
        <v>620</v>
      </c>
      <c r="L70" s="39" t="str">
        <f t="shared" si="8"/>
        <v>Elanoides forficaturs</v>
      </c>
      <c r="M70" s="39">
        <f t="shared" si="9"/>
        <v>10</v>
      </c>
      <c r="N70" s="44" t="str">
        <f t="shared" si="10"/>
        <v xml:space="preserve">Elanoides </v>
      </c>
      <c r="O70" s="44" t="str">
        <f t="shared" si="11"/>
        <v>forficaturs</v>
      </c>
      <c r="P70" s="37" t="s">
        <v>232</v>
      </c>
      <c r="S70" s="33" t="s">
        <v>13</v>
      </c>
    </row>
    <row r="71" spans="1:19" ht="30" x14ac:dyDescent="0.25">
      <c r="A71" s="51">
        <v>41440</v>
      </c>
      <c r="C71" s="36" t="s">
        <v>618</v>
      </c>
      <c r="E71" s="36" t="s">
        <v>621</v>
      </c>
      <c r="F71" s="37">
        <v>1</v>
      </c>
      <c r="G71" s="37">
        <v>0</v>
      </c>
      <c r="H71" s="37">
        <v>0</v>
      </c>
      <c r="J71" s="36" t="s">
        <v>622</v>
      </c>
      <c r="L71" s="39" t="str">
        <f t="shared" si="8"/>
        <v>Setophaga graciae</v>
      </c>
      <c r="M71" s="39">
        <f t="shared" si="9"/>
        <v>10</v>
      </c>
      <c r="N71" s="44" t="str">
        <f t="shared" si="10"/>
        <v xml:space="preserve">Setophaga </v>
      </c>
      <c r="O71" s="44" t="str">
        <f t="shared" si="11"/>
        <v>graciae</v>
      </c>
      <c r="P71" s="37" t="s">
        <v>232</v>
      </c>
      <c r="S71" s="33" t="s">
        <v>13</v>
      </c>
    </row>
    <row r="72" spans="1:19" ht="30" x14ac:dyDescent="0.25">
      <c r="A72" s="51">
        <v>41441</v>
      </c>
      <c r="C72" s="36" t="s">
        <v>618</v>
      </c>
      <c r="E72" s="36" t="s">
        <v>621</v>
      </c>
      <c r="F72" s="37">
        <v>2</v>
      </c>
      <c r="G72" s="37">
        <v>0</v>
      </c>
      <c r="H72" s="37">
        <v>0</v>
      </c>
      <c r="J72" s="36" t="s">
        <v>529</v>
      </c>
      <c r="L72" s="39" t="str">
        <f t="shared" si="8"/>
        <v>Pharomachrus mocinno</v>
      </c>
      <c r="M72" s="39">
        <f t="shared" si="9"/>
        <v>13</v>
      </c>
      <c r="N72" s="44" t="str">
        <f t="shared" si="10"/>
        <v xml:space="preserve">Pharomachrus </v>
      </c>
      <c r="O72" s="44" t="str">
        <f t="shared" si="11"/>
        <v>mocinno</v>
      </c>
      <c r="P72" s="37" t="s">
        <v>232</v>
      </c>
      <c r="S72" s="33" t="s">
        <v>13</v>
      </c>
    </row>
    <row r="73" spans="1:19" x14ac:dyDescent="0.25">
      <c r="A73" s="51">
        <v>41442</v>
      </c>
      <c r="C73" s="36" t="s">
        <v>618</v>
      </c>
      <c r="E73" s="36" t="s">
        <v>613</v>
      </c>
      <c r="F73" s="37">
        <v>1</v>
      </c>
      <c r="G73" s="37">
        <v>0</v>
      </c>
      <c r="H73" s="37">
        <v>0</v>
      </c>
      <c r="J73" s="36" t="s">
        <v>540</v>
      </c>
      <c r="L73" s="39" t="str">
        <f t="shared" si="8"/>
        <v>Piranga flava</v>
      </c>
      <c r="M73" s="39">
        <f t="shared" si="9"/>
        <v>8</v>
      </c>
      <c r="N73" s="44" t="str">
        <f t="shared" si="10"/>
        <v xml:space="preserve">Piranga </v>
      </c>
      <c r="O73" s="44" t="str">
        <f t="shared" si="11"/>
        <v>flava</v>
      </c>
      <c r="P73" s="37" t="s">
        <v>232</v>
      </c>
      <c r="S73" s="33" t="s">
        <v>13</v>
      </c>
    </row>
    <row r="74" spans="1:19" ht="30" x14ac:dyDescent="0.25">
      <c r="A74" s="51">
        <v>41446</v>
      </c>
      <c r="C74" s="36" t="s">
        <v>618</v>
      </c>
      <c r="F74" s="37">
        <v>1</v>
      </c>
      <c r="G74" s="37">
        <v>0</v>
      </c>
      <c r="H74" s="37">
        <v>0</v>
      </c>
      <c r="J74" s="36" t="s">
        <v>421</v>
      </c>
      <c r="L74" s="39" t="str">
        <f t="shared" si="8"/>
        <v>Dendrocincla homochroa</v>
      </c>
      <c r="M74" s="39">
        <f t="shared" si="9"/>
        <v>13</v>
      </c>
      <c r="N74" s="44" t="str">
        <f t="shared" si="10"/>
        <v xml:space="preserve">Dendrocincla </v>
      </c>
      <c r="O74" s="44" t="str">
        <f t="shared" si="11"/>
        <v>homochroa</v>
      </c>
      <c r="P74" s="37" t="s">
        <v>232</v>
      </c>
      <c r="S74" s="33" t="s">
        <v>13</v>
      </c>
    </row>
    <row r="75" spans="1:19" ht="30" x14ac:dyDescent="0.25">
      <c r="A75" s="51">
        <v>41454</v>
      </c>
      <c r="C75" s="36" t="s">
        <v>618</v>
      </c>
      <c r="E75" s="36" t="s">
        <v>335</v>
      </c>
      <c r="F75" s="37">
        <v>1</v>
      </c>
      <c r="G75" s="37">
        <v>0</v>
      </c>
      <c r="H75" s="37">
        <v>0</v>
      </c>
      <c r="J75" s="36" t="s">
        <v>552</v>
      </c>
      <c r="L75" s="39" t="str">
        <f t="shared" si="8"/>
        <v>Ramphastos sulfuratus</v>
      </c>
      <c r="M75" s="39">
        <f t="shared" si="9"/>
        <v>11</v>
      </c>
      <c r="N75" s="44" t="str">
        <f t="shared" si="10"/>
        <v xml:space="preserve">Ramphastos </v>
      </c>
      <c r="O75" s="44" t="str">
        <f t="shared" si="11"/>
        <v>sulfuratus</v>
      </c>
      <c r="P75" s="37" t="s">
        <v>232</v>
      </c>
      <c r="S75" s="33" t="s">
        <v>13</v>
      </c>
    </row>
    <row r="76" spans="1:19" ht="30" x14ac:dyDescent="0.25">
      <c r="A76" s="51">
        <v>41459</v>
      </c>
      <c r="C76" s="36" t="s">
        <v>618</v>
      </c>
      <c r="E76" s="36" t="s">
        <v>623</v>
      </c>
      <c r="F76" s="37">
        <v>1</v>
      </c>
      <c r="G76" s="37">
        <v>0</v>
      </c>
      <c r="H76" s="37">
        <v>0</v>
      </c>
      <c r="J76" s="36" t="s">
        <v>378</v>
      </c>
      <c r="L76" s="39" t="str">
        <f t="shared" si="8"/>
        <v>Campylopterus hemileucurus</v>
      </c>
      <c r="M76" s="39">
        <f t="shared" si="9"/>
        <v>14</v>
      </c>
      <c r="N76" s="44" t="str">
        <f t="shared" si="10"/>
        <v xml:space="preserve">Campylopterus </v>
      </c>
      <c r="O76" s="44" t="str">
        <f t="shared" si="11"/>
        <v>hemileucurus</v>
      </c>
      <c r="P76" s="37" t="s">
        <v>232</v>
      </c>
      <c r="S76" s="33" t="s">
        <v>631</v>
      </c>
    </row>
    <row r="77" spans="1:19" ht="30" x14ac:dyDescent="0.25">
      <c r="A77" s="51">
        <v>41459</v>
      </c>
      <c r="C77" s="36" t="s">
        <v>618</v>
      </c>
      <c r="E77" s="36" t="s">
        <v>623</v>
      </c>
      <c r="F77" s="37">
        <v>1</v>
      </c>
      <c r="G77" s="37">
        <v>0</v>
      </c>
      <c r="H77" s="37">
        <v>0</v>
      </c>
      <c r="J77" s="36" t="s">
        <v>504</v>
      </c>
      <c r="L77" s="39" t="str">
        <f t="shared" si="8"/>
        <v>Myioborus miniatus</v>
      </c>
      <c r="M77" s="39">
        <f t="shared" si="9"/>
        <v>10</v>
      </c>
      <c r="N77" s="44" t="str">
        <f t="shared" si="10"/>
        <v xml:space="preserve">Myioborus </v>
      </c>
      <c r="O77" s="44" t="str">
        <f t="shared" si="11"/>
        <v>miniatus</v>
      </c>
      <c r="P77" s="37" t="s">
        <v>232</v>
      </c>
      <c r="S77" s="33" t="s">
        <v>631</v>
      </c>
    </row>
    <row r="78" spans="1:19" ht="30" x14ac:dyDescent="0.25">
      <c r="A78" s="51">
        <v>41466</v>
      </c>
      <c r="C78" s="36" t="s">
        <v>618</v>
      </c>
      <c r="E78" s="36" t="s">
        <v>337</v>
      </c>
      <c r="F78" s="37">
        <v>1</v>
      </c>
      <c r="G78" s="37">
        <v>0</v>
      </c>
      <c r="H78" s="37">
        <v>0</v>
      </c>
      <c r="J78" s="36" t="s">
        <v>529</v>
      </c>
      <c r="L78" s="39" t="str">
        <f t="shared" si="8"/>
        <v>Pharomachrus mocinno</v>
      </c>
      <c r="M78" s="39">
        <f t="shared" si="9"/>
        <v>13</v>
      </c>
      <c r="N78" s="44" t="str">
        <f t="shared" si="10"/>
        <v xml:space="preserve">Pharomachrus </v>
      </c>
      <c r="O78" s="44" t="str">
        <f t="shared" si="11"/>
        <v>mocinno</v>
      </c>
      <c r="P78" s="37" t="s">
        <v>232</v>
      </c>
      <c r="S78" s="33" t="s">
        <v>632</v>
      </c>
    </row>
    <row r="79" spans="1:19" ht="30" x14ac:dyDescent="0.25">
      <c r="A79" s="51">
        <v>41466</v>
      </c>
      <c r="C79" s="36" t="s">
        <v>618</v>
      </c>
      <c r="E79" s="36" t="s">
        <v>337</v>
      </c>
      <c r="F79" s="37">
        <v>1</v>
      </c>
      <c r="G79" s="37">
        <v>0</v>
      </c>
      <c r="H79" s="37">
        <v>0</v>
      </c>
      <c r="J79" s="36" t="s">
        <v>504</v>
      </c>
      <c r="L79" s="39" t="str">
        <f t="shared" si="8"/>
        <v>Myioborus miniatus</v>
      </c>
      <c r="M79" s="39">
        <f t="shared" si="9"/>
        <v>10</v>
      </c>
      <c r="N79" s="44" t="str">
        <f t="shared" si="10"/>
        <v xml:space="preserve">Myioborus </v>
      </c>
      <c r="O79" s="44" t="str">
        <f t="shared" si="11"/>
        <v>miniatus</v>
      </c>
      <c r="P79" s="37" t="s">
        <v>232</v>
      </c>
      <c r="S79" s="33" t="s">
        <v>632</v>
      </c>
    </row>
  </sheetData>
  <dataValidations count="13">
    <dataValidation showInputMessage="1" showErrorMessage="1" sqref="P1"/>
    <dataValidation type="list" allowBlank="1" showInputMessage="1" showErrorMessage="1" sqref="E2">
      <formula1>Observers</formula1>
    </dataValidation>
    <dataValidation type="list" showInputMessage="1" showErrorMessage="1" sqref="E3:E1048576">
      <formula1>Observers</formula1>
    </dataValidation>
    <dataValidation type="list" showInputMessage="1" showErrorMessage="1" sqref="C2:C1048576">
      <formula1>Camp</formula1>
    </dataValidation>
    <dataValidation type="list" showInputMessage="1" showErrorMessage="1" sqref="D2:D1048576">
      <formula1>Transect</formula1>
    </dataValidation>
    <dataValidation type="whole" allowBlank="1" showInputMessage="1" showErrorMessage="1" sqref="I2:I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G2:G1048576">
      <formula1>0</formula1>
      <formula2>1</formula2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Date2013</formula1>
    </dataValidation>
    <dataValidation type="list" showInputMessage="1" showErrorMessage="1" sqref="P2:P1048576">
      <formula1>Sight</formula1>
    </dataValidation>
    <dataValidation type="list" allowBlank="1" showInputMessage="1" showErrorMessage="1" sqref="J2:J1048576">
      <formula1>Species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1"/>
  <sheetViews>
    <sheetView workbookViewId="0"/>
  </sheetViews>
  <sheetFormatPr defaultRowHeight="15" x14ac:dyDescent="0.25"/>
  <cols>
    <col min="1" max="1" width="15.28515625" style="21" bestFit="1" customWidth="1"/>
    <col min="2" max="2" width="13.7109375" style="34" customWidth="1"/>
    <col min="3" max="3" width="11.42578125" style="35" bestFit="1" customWidth="1"/>
    <col min="4" max="4" width="16.85546875" style="36" customWidth="1"/>
    <col min="5" max="5" width="14.5703125" style="36" bestFit="1" customWidth="1"/>
    <col min="6" max="6" width="15.28515625" style="36" bestFit="1" customWidth="1"/>
    <col min="7" max="7" width="13.140625" style="37" bestFit="1" customWidth="1"/>
    <col min="8" max="8" width="10.85546875" style="37" bestFit="1" customWidth="1"/>
    <col min="9" max="9" width="11.7109375" style="37" bestFit="1" customWidth="1"/>
    <col min="10" max="10" width="15.28515625" style="37" bestFit="1" customWidth="1"/>
    <col min="11" max="11" width="12" style="22" bestFit="1" customWidth="1"/>
    <col min="12" max="12" width="13.42578125" style="22" bestFit="1" customWidth="1"/>
    <col min="13" max="13" width="13.85546875" style="49" bestFit="1" customWidth="1"/>
    <col min="14" max="14" width="13.85546875" style="37" bestFit="1" customWidth="1"/>
    <col min="15" max="15" width="13.42578125" style="37" bestFit="1" customWidth="1"/>
    <col min="16" max="16" width="12.28515625" style="36" bestFit="1" customWidth="1"/>
    <col min="17" max="17" width="9.140625" style="33"/>
  </cols>
  <sheetData>
    <row r="1" spans="1:17" ht="30" x14ac:dyDescent="0.25">
      <c r="A1" s="46" t="s">
        <v>235</v>
      </c>
      <c r="B1" s="27" t="s">
        <v>236</v>
      </c>
      <c r="C1" s="28" t="s">
        <v>237</v>
      </c>
      <c r="D1" s="29" t="s">
        <v>238</v>
      </c>
      <c r="E1" s="29" t="s">
        <v>239</v>
      </c>
      <c r="F1" s="29" t="s">
        <v>240</v>
      </c>
      <c r="G1" s="30" t="s">
        <v>241</v>
      </c>
      <c r="H1" s="30" t="s">
        <v>242</v>
      </c>
      <c r="I1" s="30" t="s">
        <v>243</v>
      </c>
      <c r="J1" s="31" t="s">
        <v>244</v>
      </c>
      <c r="K1" s="48" t="s">
        <v>245</v>
      </c>
      <c r="L1" s="48" t="s">
        <v>246</v>
      </c>
      <c r="M1" s="47" t="s">
        <v>247</v>
      </c>
      <c r="N1" s="41" t="s">
        <v>251</v>
      </c>
      <c r="O1" s="41" t="s">
        <v>248</v>
      </c>
      <c r="P1" s="41" t="s">
        <v>249</v>
      </c>
      <c r="Q1" s="31" t="s">
        <v>250</v>
      </c>
    </row>
    <row r="2" spans="1:17" ht="30" x14ac:dyDescent="0.25">
      <c r="A2" s="23">
        <f>IF(B2="","",YEAR(B2))</f>
        <v>2013</v>
      </c>
      <c r="B2" s="42">
        <f>IF(ISBLANK(Data!A2),"",Data!A2)</f>
        <v>41470</v>
      </c>
      <c r="C2" s="35" t="str">
        <f>IF(ISBLANK(Data!B2),"",Data!B2)</f>
        <v/>
      </c>
      <c r="D2" s="36" t="str">
        <f>IF(ISBLANK(Data!C2),"",Data!C2)</f>
        <v>El Danto</v>
      </c>
      <c r="E2" s="36" t="str">
        <f>IF(ISBLANK(Data!D2),"",Data!D2)</f>
        <v>DA0</v>
      </c>
      <c r="F2" s="36" t="str">
        <f>IF(ISBLANK(Data!E2),"",Data!E2)</f>
        <v>Fabiola Rodríguez</v>
      </c>
      <c r="G2" s="37">
        <f>IF(ISBLANK(Data!F2),"",Data!F2)</f>
        <v>2</v>
      </c>
      <c r="H2" s="37">
        <f>IF(ISBLANK(Data!G2),"",Data!G2)</f>
        <v>0</v>
      </c>
      <c r="I2" s="37">
        <f>IF(ISBLANK(Data!H2),"",Data!H2)</f>
        <v>0</v>
      </c>
      <c r="J2" s="37" t="str">
        <f>IF(ISBLANK(Data!I2),"",Data!I2)</f>
        <v/>
      </c>
      <c r="K2" s="22" t="str">
        <f>IF(ISBLANK(Data!N2),"",Data!N2)</f>
        <v xml:space="preserve">Megascops </v>
      </c>
      <c r="L2" s="22" t="str">
        <f>IF(ISBLANK(Data!O2),"",Data!O2)</f>
        <v>guatemalae</v>
      </c>
      <c r="M2" s="22"/>
      <c r="N2" s="37" t="str">
        <f>IF(ISBLANK(Data!P2),"",Data!P2)</f>
        <v>Heard</v>
      </c>
      <c r="O2" s="37" t="str">
        <f>IF(ISBLANK(Data!Q2),"",Data!Q2)</f>
        <v/>
      </c>
      <c r="P2" s="37" t="str">
        <f>IF(ISBLANK(Data!R2),"",Data!R2)</f>
        <v/>
      </c>
      <c r="Q2" s="37" t="str">
        <f>IF(ISBLANK(Data!S2),"",Data!S2)</f>
        <v/>
      </c>
    </row>
    <row r="3" spans="1:17" ht="30" x14ac:dyDescent="0.25">
      <c r="A3" s="23">
        <f t="shared" ref="A3:A66" si="0">IF(B3="","",YEAR(B3))</f>
        <v>2013</v>
      </c>
      <c r="B3" s="42">
        <f>IF(ISBLANK(Data!A3),"",Data!A3)</f>
        <v>41470</v>
      </c>
      <c r="C3" s="35" t="str">
        <f>IF(ISBLANK(Data!B3),"",Data!B3)</f>
        <v/>
      </c>
      <c r="D3" s="36" t="str">
        <f>IF(ISBLANK(Data!C3),"",Data!C3)</f>
        <v>El Danto</v>
      </c>
      <c r="E3" s="36" t="str">
        <f>IF(ISBLANK(Data!D3),"",Data!D3)</f>
        <v>DA0</v>
      </c>
      <c r="F3" s="36" t="str">
        <f>IF(ISBLANK(Data!E3),"",Data!E3)</f>
        <v>Fabiola Rodríguez</v>
      </c>
      <c r="G3" s="37">
        <f>IF(ISBLANK(Data!F3),"",Data!F3)</f>
        <v>2</v>
      </c>
      <c r="H3" s="37">
        <f>IF(ISBLANK(Data!G3),"",Data!G3)</f>
        <v>0</v>
      </c>
      <c r="I3" s="37">
        <f>IF(ISBLANK(Data!H3),"",Data!H3)</f>
        <v>0</v>
      </c>
      <c r="J3" s="37" t="str">
        <f>IF(ISBLANK(Data!I3),"",Data!I3)</f>
        <v/>
      </c>
      <c r="K3" s="22" t="str">
        <f>IF(ISBLANK(Data!N3),"",Data!N3)</f>
        <v xml:space="preserve">Ciccaba </v>
      </c>
      <c r="L3" s="22" t="str">
        <f>IF(ISBLANK(Data!O3),"",Data!O3)</f>
        <v>virgata</v>
      </c>
      <c r="M3" s="22"/>
      <c r="N3" s="37" t="str">
        <f>IF(ISBLANK(Data!P3),"",Data!P3)</f>
        <v>Heard</v>
      </c>
      <c r="O3" s="37" t="str">
        <f>IF(ISBLANK(Data!Q3),"",Data!Q3)</f>
        <v/>
      </c>
      <c r="P3" s="37" t="str">
        <f>IF(ISBLANK(Data!R3),"",Data!R3)</f>
        <v/>
      </c>
      <c r="Q3" s="37" t="str">
        <f>IF(ISBLANK(Data!S3),"",Data!S3)</f>
        <v/>
      </c>
    </row>
    <row r="4" spans="1:17" ht="30" x14ac:dyDescent="0.25">
      <c r="A4" s="23">
        <f t="shared" si="0"/>
        <v>2013</v>
      </c>
      <c r="B4" s="42">
        <f>IF(ISBLANK(Data!A4),"",Data!A4)</f>
        <v>41470</v>
      </c>
      <c r="C4" s="35" t="str">
        <f>IF(ISBLANK(Data!B4),"",Data!B4)</f>
        <v/>
      </c>
      <c r="D4" s="36" t="str">
        <f>IF(ISBLANK(Data!C4),"",Data!C4)</f>
        <v>El Danto</v>
      </c>
      <c r="E4" s="36" t="str">
        <f>IF(ISBLANK(Data!D4),"",Data!D4)</f>
        <v>DA0</v>
      </c>
      <c r="F4" s="36" t="str">
        <f>IF(ISBLANK(Data!E4),"",Data!E4)</f>
        <v>Fabiola Rodríguez</v>
      </c>
      <c r="G4" s="37">
        <f>IF(ISBLANK(Data!F4),"",Data!F4)</f>
        <v>2</v>
      </c>
      <c r="H4" s="37">
        <f>IF(ISBLANK(Data!G4),"",Data!G4)</f>
        <v>0</v>
      </c>
      <c r="I4" s="37">
        <f>IF(ISBLANK(Data!H4),"",Data!H4)</f>
        <v>0</v>
      </c>
      <c r="J4" s="37" t="str">
        <f>IF(ISBLANK(Data!I4),"",Data!I4)</f>
        <v/>
      </c>
      <c r="K4" s="22" t="str">
        <f>IF(ISBLANK(Data!N4),"",Data!N4)</f>
        <v xml:space="preserve">Micrastur </v>
      </c>
      <c r="L4" s="22" t="str">
        <f>IF(ISBLANK(Data!O4),"",Data!O4)</f>
        <v>semitorquatus</v>
      </c>
      <c r="M4" s="22"/>
      <c r="N4" s="37" t="str">
        <f>IF(ISBLANK(Data!P4),"",Data!P4)</f>
        <v>Heard</v>
      </c>
      <c r="O4" s="37" t="str">
        <f>IF(ISBLANK(Data!Q4),"",Data!Q4)</f>
        <v/>
      </c>
      <c r="P4" s="37" t="str">
        <f>IF(ISBLANK(Data!R4),"",Data!R4)</f>
        <v/>
      </c>
      <c r="Q4" s="37" t="str">
        <f>IF(ISBLANK(Data!S4),"",Data!S4)</f>
        <v/>
      </c>
    </row>
    <row r="5" spans="1:17" ht="75" x14ac:dyDescent="0.25">
      <c r="A5" s="23">
        <f t="shared" si="0"/>
        <v>2013</v>
      </c>
      <c r="B5" s="42">
        <f>IF(ISBLANK(Data!A5),"",Data!A5)</f>
        <v>41470</v>
      </c>
      <c r="C5" s="35" t="str">
        <f>IF(ISBLANK(Data!B5),"",Data!B5)</f>
        <v/>
      </c>
      <c r="D5" s="36" t="str">
        <f>IF(ISBLANK(Data!C5),"",Data!C5)</f>
        <v>El Danto</v>
      </c>
      <c r="E5" s="36" t="str">
        <f>IF(ISBLANK(Data!D5),"",Data!D5)</f>
        <v>DA0</v>
      </c>
      <c r="F5" s="36" t="str">
        <f>IF(ISBLANK(Data!E5),"",Data!E5)</f>
        <v>Fabiola Rodríguez</v>
      </c>
      <c r="G5" s="37">
        <f>IF(ISBLANK(Data!F5),"",Data!F5)</f>
        <v>2</v>
      </c>
      <c r="H5" s="37">
        <f>IF(ISBLANK(Data!G5),"",Data!G5)</f>
        <v>0</v>
      </c>
      <c r="I5" s="37">
        <f>IF(ISBLANK(Data!H5),"",Data!H5)</f>
        <v>0</v>
      </c>
      <c r="J5" s="37" t="str">
        <f>IF(ISBLANK(Data!I5),"",Data!I5)</f>
        <v/>
      </c>
      <c r="K5" s="22" t="str">
        <f>IF(ISBLANK(Data!N5),"",Data!N5)</f>
        <v xml:space="preserve">Campylopterus </v>
      </c>
      <c r="L5" s="22" t="str">
        <f>IF(ISBLANK(Data!O5),"",Data!O5)</f>
        <v>hemileucurus</v>
      </c>
      <c r="M5" s="22"/>
      <c r="N5" s="37" t="str">
        <f>IF(ISBLANK(Data!P5),"",Data!P5)</f>
        <v>Seen</v>
      </c>
      <c r="O5" s="37" t="str">
        <f>IF(ISBLANK(Data!Q5),"",Data!Q5)</f>
        <v/>
      </c>
      <c r="P5" s="37" t="str">
        <f>IF(ISBLANK(Data!R5),"",Data!R5)</f>
        <v/>
      </c>
      <c r="Q5" s="37" t="str">
        <f>IF(ISBLANK(Data!S5),"",Data!S5)</f>
        <v>Seen in display of territoriality</v>
      </c>
    </row>
    <row r="6" spans="1:17" ht="75" x14ac:dyDescent="0.25">
      <c r="A6" s="23">
        <f t="shared" si="0"/>
        <v>2013</v>
      </c>
      <c r="B6" s="42">
        <f>IF(ISBLANK(Data!A6),"",Data!A6)</f>
        <v>41470</v>
      </c>
      <c r="C6" s="35" t="str">
        <f>IF(ISBLANK(Data!B6),"",Data!B6)</f>
        <v/>
      </c>
      <c r="D6" s="36" t="str">
        <f>IF(ISBLANK(Data!C6),"",Data!C6)</f>
        <v>El Danto</v>
      </c>
      <c r="E6" s="36" t="str">
        <f>IF(ISBLANK(Data!D6),"",Data!D6)</f>
        <v>DA0</v>
      </c>
      <c r="F6" s="36" t="str">
        <f>IF(ISBLANK(Data!E6),"",Data!E6)</f>
        <v>Fabiola Rodríguez</v>
      </c>
      <c r="G6" s="37">
        <f>IF(ISBLANK(Data!F6),"",Data!F6)</f>
        <v>2</v>
      </c>
      <c r="H6" s="37">
        <f>IF(ISBLANK(Data!G6),"",Data!G6)</f>
        <v>0</v>
      </c>
      <c r="I6" s="37">
        <f>IF(ISBLANK(Data!H6),"",Data!H6)</f>
        <v>0</v>
      </c>
      <c r="J6" s="37" t="str">
        <f>IF(ISBLANK(Data!I6),"",Data!I6)</f>
        <v/>
      </c>
      <c r="K6" s="22" t="str">
        <f>IF(ISBLANK(Data!N6),"",Data!N6)</f>
        <v xml:space="preserve">Campylopterus </v>
      </c>
      <c r="L6" s="22" t="str">
        <f>IF(ISBLANK(Data!O6),"",Data!O6)</f>
        <v>hemileucurus</v>
      </c>
      <c r="M6" s="22"/>
      <c r="N6" s="37" t="str">
        <f>IF(ISBLANK(Data!P6),"",Data!P6)</f>
        <v>Seen</v>
      </c>
      <c r="O6" s="37" t="str">
        <f>IF(ISBLANK(Data!Q6),"",Data!Q6)</f>
        <v/>
      </c>
      <c r="P6" s="37" t="str">
        <f>IF(ISBLANK(Data!R6),"",Data!R6)</f>
        <v/>
      </c>
      <c r="Q6" s="37" t="str">
        <f>IF(ISBLANK(Data!S6),"",Data!S6)</f>
        <v>Seen in display of territoriality</v>
      </c>
    </row>
    <row r="7" spans="1:17" ht="30" x14ac:dyDescent="0.25">
      <c r="A7" s="23">
        <f t="shared" si="0"/>
        <v>2013</v>
      </c>
      <c r="B7" s="42">
        <f>IF(ISBLANK(Data!A7),"",Data!A7)</f>
        <v>41469</v>
      </c>
      <c r="C7" s="35" t="str">
        <f>IF(ISBLANK(Data!B7),"",Data!B7)</f>
        <v/>
      </c>
      <c r="D7" s="36" t="str">
        <f>IF(ISBLANK(Data!C7),"",Data!C7)</f>
        <v>El Danto</v>
      </c>
      <c r="E7" s="36" t="str">
        <f>IF(ISBLANK(Data!D7),"",Data!D7)</f>
        <v>DA1</v>
      </c>
      <c r="F7" s="36" t="str">
        <f>IF(ISBLANK(Data!E7),"",Data!E7)</f>
        <v>Fabiola Rodríguez</v>
      </c>
      <c r="G7" s="37">
        <f>IF(ISBLANK(Data!F7),"",Data!F7)</f>
        <v>2</v>
      </c>
      <c r="H7" s="37">
        <f>IF(ISBLANK(Data!G7),"",Data!G7)</f>
        <v>0</v>
      </c>
      <c r="I7" s="37">
        <f>IF(ISBLANK(Data!H7),"",Data!H7)</f>
        <v>0</v>
      </c>
      <c r="J7" s="37" t="str">
        <f>IF(ISBLANK(Data!I7),"",Data!I7)</f>
        <v/>
      </c>
      <c r="K7" s="22" t="str">
        <f>IF(ISBLANK(Data!N7),"",Data!N7)</f>
        <v xml:space="preserve">Chlorophonia </v>
      </c>
      <c r="L7" s="22" t="str">
        <f>IF(ISBLANK(Data!O7),"",Data!O7)</f>
        <v>occipitalis</v>
      </c>
      <c r="M7" s="22"/>
      <c r="N7" s="37" t="str">
        <f>IF(ISBLANK(Data!P7),"",Data!P7)</f>
        <v>Heard</v>
      </c>
      <c r="O7" s="37" t="str">
        <f>IF(ISBLANK(Data!Q7),"",Data!Q7)</f>
        <v/>
      </c>
      <c r="P7" s="37" t="str">
        <f>IF(ISBLANK(Data!R7),"",Data!R7)</f>
        <v/>
      </c>
      <c r="Q7" s="37" t="str">
        <f>IF(ISBLANK(Data!S7),"",Data!S7)</f>
        <v>Seen in camp</v>
      </c>
    </row>
    <row r="8" spans="1:17" x14ac:dyDescent="0.25">
      <c r="A8" s="23">
        <f t="shared" si="0"/>
        <v>2013</v>
      </c>
      <c r="B8" s="42">
        <f>IF(ISBLANK(Data!A8),"",Data!A8)</f>
        <v>41460</v>
      </c>
      <c r="C8" s="35" t="str">
        <f>IF(ISBLANK(Data!B8),"",Data!B8)</f>
        <v/>
      </c>
      <c r="D8" s="36" t="str">
        <f>IF(ISBLANK(Data!C8),"",Data!C8)</f>
        <v>El Cortecito</v>
      </c>
      <c r="E8" s="36" t="str">
        <f>IF(ISBLANK(Data!D8),"",Data!D8)</f>
        <v>CO1</v>
      </c>
      <c r="F8" s="36" t="str">
        <f>IF(ISBLANK(Data!E8),"",Data!E8)</f>
        <v>Esdras López</v>
      </c>
      <c r="G8" s="37">
        <f>IF(ISBLANK(Data!F8),"",Data!F8)</f>
        <v>1</v>
      </c>
      <c r="H8" s="37">
        <f>IF(ISBLANK(Data!G8),"",Data!G8)</f>
        <v>0</v>
      </c>
      <c r="I8" s="37">
        <f>IF(ISBLANK(Data!H8),"",Data!H8)</f>
        <v>0</v>
      </c>
      <c r="J8" s="37" t="str">
        <f>IF(ISBLANK(Data!I8),"",Data!I8)</f>
        <v/>
      </c>
      <c r="K8" s="22" t="str">
        <f>IF(ISBLANK(Data!N8),"",Data!N8)</f>
        <v xml:space="preserve">Caryothraustes </v>
      </c>
      <c r="L8" s="22" t="str">
        <f>IF(ISBLANK(Data!O8),"",Data!O8)</f>
        <v>poliogaster</v>
      </c>
      <c r="M8" s="22"/>
      <c r="N8" s="37" t="str">
        <f>IF(ISBLANK(Data!P8),"",Data!P8)</f>
        <v>Seen</v>
      </c>
      <c r="O8" s="37" t="str">
        <f>IF(ISBLANK(Data!Q8),"",Data!Q8)</f>
        <v/>
      </c>
      <c r="P8" s="37" t="str">
        <f>IF(ISBLANK(Data!R8),"",Data!R8)</f>
        <v/>
      </c>
      <c r="Q8" s="37" t="str">
        <f>IF(ISBLANK(Data!S8),"",Data!S8)</f>
        <v>New?</v>
      </c>
    </row>
    <row r="9" spans="1:17" x14ac:dyDescent="0.25">
      <c r="A9" s="23">
        <f t="shared" si="0"/>
        <v>2013</v>
      </c>
      <c r="B9" s="42">
        <f>IF(ISBLANK(Data!A9),"",Data!A9)</f>
        <v>41460</v>
      </c>
      <c r="C9" s="35" t="str">
        <f>IF(ISBLANK(Data!B9),"",Data!B9)</f>
        <v/>
      </c>
      <c r="D9" s="36" t="str">
        <f>IF(ISBLANK(Data!C9),"",Data!C9)</f>
        <v>El Cortecito</v>
      </c>
      <c r="E9" s="36" t="str">
        <f>IF(ISBLANK(Data!D9),"",Data!D9)</f>
        <v>CO1</v>
      </c>
      <c r="F9" s="36" t="str">
        <f>IF(ISBLANK(Data!E9),"",Data!E9)</f>
        <v>Esdras López</v>
      </c>
      <c r="G9" s="37">
        <f>IF(ISBLANK(Data!F9),"",Data!F9)</f>
        <v>1</v>
      </c>
      <c r="H9" s="37">
        <f>IF(ISBLANK(Data!G9),"",Data!G9)</f>
        <v>0</v>
      </c>
      <c r="I9" s="37">
        <f>IF(ISBLANK(Data!H9),"",Data!H9)</f>
        <v>0</v>
      </c>
      <c r="J9" s="37" t="str">
        <f>IF(ISBLANK(Data!I9),"",Data!I9)</f>
        <v/>
      </c>
      <c r="K9" s="22" t="str">
        <f>IF(ISBLANK(Data!N9),"",Data!N9)</f>
        <v xml:space="preserve">Mitrephanes </v>
      </c>
      <c r="L9" s="22" t="str">
        <f>IF(ISBLANK(Data!O9),"",Data!O9)</f>
        <v>phaeocercus</v>
      </c>
      <c r="M9" s="22"/>
      <c r="N9" s="37" t="str">
        <f>IF(ISBLANK(Data!P9),"",Data!P9)</f>
        <v>Seen</v>
      </c>
      <c r="O9" s="37" t="str">
        <f>IF(ISBLANK(Data!Q9),"",Data!Q9)</f>
        <v/>
      </c>
      <c r="P9" s="37" t="str">
        <f>IF(ISBLANK(Data!R9),"",Data!R9)</f>
        <v/>
      </c>
      <c r="Q9" s="37" t="str">
        <f>IF(ISBLANK(Data!S9),"",Data!S9)</f>
        <v/>
      </c>
    </row>
    <row r="10" spans="1:17" x14ac:dyDescent="0.25">
      <c r="A10" s="23">
        <f t="shared" si="0"/>
        <v>2013</v>
      </c>
      <c r="B10" s="42">
        <f>IF(ISBLANK(Data!A10),"",Data!A10)</f>
        <v>41460</v>
      </c>
      <c r="C10" s="35" t="str">
        <f>IF(ISBLANK(Data!B10),"",Data!B10)</f>
        <v/>
      </c>
      <c r="D10" s="36" t="str">
        <f>IF(ISBLANK(Data!C10),"",Data!C10)</f>
        <v>El Cortecito</v>
      </c>
      <c r="E10" s="36" t="str">
        <f>IF(ISBLANK(Data!D10),"",Data!D10)</f>
        <v>CO1</v>
      </c>
      <c r="F10" s="36" t="str">
        <f>IF(ISBLANK(Data!E10),"",Data!E10)</f>
        <v>Esdras López</v>
      </c>
      <c r="G10" s="37">
        <f>IF(ISBLANK(Data!F10),"",Data!F10)</f>
        <v>1</v>
      </c>
      <c r="H10" s="37">
        <f>IF(ISBLANK(Data!G10),"",Data!G10)</f>
        <v>0</v>
      </c>
      <c r="I10" s="37">
        <f>IF(ISBLANK(Data!H10),"",Data!H10)</f>
        <v>0</v>
      </c>
      <c r="J10" s="37" t="str">
        <f>IF(ISBLANK(Data!I10),"",Data!I10)</f>
        <v/>
      </c>
      <c r="K10" s="22" t="str">
        <f>IF(ISBLANK(Data!N10),"",Data!N10)</f>
        <v xml:space="preserve">Thraupis </v>
      </c>
      <c r="L10" s="22" t="str">
        <f>IF(ISBLANK(Data!O10),"",Data!O10)</f>
        <v>abbas</v>
      </c>
      <c r="M10" s="22"/>
      <c r="N10" s="37" t="str">
        <f>IF(ISBLANK(Data!P10),"",Data!P10)</f>
        <v>Seen</v>
      </c>
      <c r="O10" s="37" t="str">
        <f>IF(ISBLANK(Data!Q10),"",Data!Q10)</f>
        <v/>
      </c>
      <c r="P10" s="37" t="str">
        <f>IF(ISBLANK(Data!R10),"",Data!R10)</f>
        <v/>
      </c>
      <c r="Q10" s="37" t="str">
        <f>IF(ISBLANK(Data!S10),"",Data!S10)</f>
        <v/>
      </c>
    </row>
    <row r="11" spans="1:17" x14ac:dyDescent="0.25">
      <c r="A11" s="23">
        <f t="shared" si="0"/>
        <v>2013</v>
      </c>
      <c r="B11" s="42">
        <f>IF(ISBLANK(Data!A11),"",Data!A11)</f>
        <v>41460</v>
      </c>
      <c r="C11" s="35" t="str">
        <f>IF(ISBLANK(Data!B11),"",Data!B11)</f>
        <v/>
      </c>
      <c r="D11" s="36" t="str">
        <f>IF(ISBLANK(Data!C11),"",Data!C11)</f>
        <v>El Cortecito</v>
      </c>
      <c r="E11" s="36" t="str">
        <f>IF(ISBLANK(Data!D11),"",Data!D11)</f>
        <v>CO1</v>
      </c>
      <c r="F11" s="36" t="str">
        <f>IF(ISBLANK(Data!E11),"",Data!E11)</f>
        <v>Esdras López</v>
      </c>
      <c r="G11" s="37">
        <f>IF(ISBLANK(Data!F11),"",Data!F11)</f>
        <v>1</v>
      </c>
      <c r="H11" s="37">
        <f>IF(ISBLANK(Data!G11),"",Data!G11)</f>
        <v>0</v>
      </c>
      <c r="I11" s="37">
        <f>IF(ISBLANK(Data!H11),"",Data!H11)</f>
        <v>0</v>
      </c>
      <c r="J11" s="37" t="str">
        <f>IF(ISBLANK(Data!I11),"",Data!I11)</f>
        <v/>
      </c>
      <c r="K11" s="22" t="str">
        <f>IF(ISBLANK(Data!N11),"",Data!N11)</f>
        <v xml:space="preserve">Sittasomus </v>
      </c>
      <c r="L11" s="22" t="str">
        <f>IF(ISBLANK(Data!O11),"",Data!O11)</f>
        <v>griseicapillus</v>
      </c>
      <c r="M11" s="22"/>
      <c r="N11" s="37" t="str">
        <f>IF(ISBLANK(Data!P11),"",Data!P11)</f>
        <v>Heard</v>
      </c>
      <c r="O11" s="37" t="str">
        <f>IF(ISBLANK(Data!Q11),"",Data!Q11)</f>
        <v/>
      </c>
      <c r="P11" s="37" t="str">
        <f>IF(ISBLANK(Data!R11),"",Data!R11)</f>
        <v/>
      </c>
      <c r="Q11" s="37" t="str">
        <f>IF(ISBLANK(Data!S11),"",Data!S11)</f>
        <v/>
      </c>
    </row>
    <row r="12" spans="1:17" ht="45" x14ac:dyDescent="0.25">
      <c r="A12" s="23">
        <f t="shared" si="0"/>
        <v>2013</v>
      </c>
      <c r="B12" s="42">
        <f>IF(ISBLANK(Data!A12),"",Data!A12)</f>
        <v>41460</v>
      </c>
      <c r="C12" s="35" t="str">
        <f>IF(ISBLANK(Data!B12),"",Data!B12)</f>
        <v/>
      </c>
      <c r="D12" s="36" t="str">
        <f>IF(ISBLANK(Data!C12),"",Data!C12)</f>
        <v>El Cortecito</v>
      </c>
      <c r="E12" s="36" t="str">
        <f>IF(ISBLANK(Data!D12),"",Data!D12)</f>
        <v>CO1</v>
      </c>
      <c r="F12" s="36" t="str">
        <f>IF(ISBLANK(Data!E12),"",Data!E12)</f>
        <v>Esdras López</v>
      </c>
      <c r="G12" s="37">
        <f>IF(ISBLANK(Data!F12),"",Data!F12)</f>
        <v>1</v>
      </c>
      <c r="H12" s="37">
        <f>IF(ISBLANK(Data!G12),"",Data!G12)</f>
        <v>0</v>
      </c>
      <c r="I12" s="37">
        <f>IF(ISBLANK(Data!H12),"",Data!H12)</f>
        <v>0</v>
      </c>
      <c r="J12" s="37" t="str">
        <f>IF(ISBLANK(Data!I12),"",Data!I12)</f>
        <v/>
      </c>
      <c r="K12" s="22" t="str">
        <f>IF(ISBLANK(Data!N12),"",Data!N12)</f>
        <v xml:space="preserve">Chlorophonia </v>
      </c>
      <c r="L12" s="22" t="str">
        <f>IF(ISBLANK(Data!O12),"",Data!O12)</f>
        <v>occipitalis</v>
      </c>
      <c r="M12" s="22"/>
      <c r="N12" s="37" t="str">
        <f>IF(ISBLANK(Data!P12),"",Data!P12)</f>
        <v>Seen</v>
      </c>
      <c r="O12" s="37" t="str">
        <f>IF(ISBLANK(Data!Q12),"",Data!Q12)</f>
        <v/>
      </c>
      <c r="P12" s="37" t="str">
        <f>IF(ISBLANK(Data!R12),"",Data!R12)</f>
        <v/>
      </c>
      <c r="Q12" s="37" t="str">
        <f>IF(ISBLANK(Data!S12),"",Data!S12)</f>
        <v>Male and female in nest</v>
      </c>
    </row>
    <row r="13" spans="1:17" x14ac:dyDescent="0.25">
      <c r="A13" s="23">
        <f t="shared" si="0"/>
        <v>2013</v>
      </c>
      <c r="B13" s="42">
        <f>IF(ISBLANK(Data!A13),"",Data!A13)</f>
        <v>41460</v>
      </c>
      <c r="C13" s="35" t="str">
        <f>IF(ISBLANK(Data!B13),"",Data!B13)</f>
        <v/>
      </c>
      <c r="D13" s="36" t="str">
        <f>IF(ISBLANK(Data!C13),"",Data!C13)</f>
        <v>El Cortecito</v>
      </c>
      <c r="E13" s="36" t="str">
        <f>IF(ISBLANK(Data!D13),"",Data!D13)</f>
        <v>CO1</v>
      </c>
      <c r="F13" s="36" t="str">
        <f>IF(ISBLANK(Data!E13),"",Data!E13)</f>
        <v>Esdras López</v>
      </c>
      <c r="G13" s="37">
        <f>IF(ISBLANK(Data!F13),"",Data!F13)</f>
        <v>1</v>
      </c>
      <c r="H13" s="37">
        <f>IF(ISBLANK(Data!G13),"",Data!G13)</f>
        <v>0</v>
      </c>
      <c r="I13" s="37">
        <f>IF(ISBLANK(Data!H13),"",Data!H13)</f>
        <v>0</v>
      </c>
      <c r="J13" s="37" t="str">
        <f>IF(ISBLANK(Data!I13),"",Data!I13)</f>
        <v/>
      </c>
      <c r="K13" s="22" t="str">
        <f>IF(ISBLANK(Data!N13),"",Data!N13)</f>
        <v xml:space="preserve">Lepidocolaptes </v>
      </c>
      <c r="L13" s="22" t="str">
        <f>IF(ISBLANK(Data!O13),"",Data!O13)</f>
        <v>affinis</v>
      </c>
      <c r="M13" s="22"/>
      <c r="N13" s="37" t="str">
        <f>IF(ISBLANK(Data!P13),"",Data!P13)</f>
        <v>Heard</v>
      </c>
      <c r="O13" s="37" t="str">
        <f>IF(ISBLANK(Data!Q13),"",Data!Q13)</f>
        <v/>
      </c>
      <c r="P13" s="37" t="str">
        <f>IF(ISBLANK(Data!R13),"",Data!R13)</f>
        <v/>
      </c>
      <c r="Q13" s="37" t="str">
        <f>IF(ISBLANK(Data!S13),"",Data!S13)</f>
        <v/>
      </c>
    </row>
    <row r="14" spans="1:17" x14ac:dyDescent="0.25">
      <c r="A14" s="23">
        <f t="shared" si="0"/>
        <v>2013</v>
      </c>
      <c r="B14" s="42">
        <f>IF(ISBLANK(Data!A14),"",Data!A14)</f>
        <v>41460</v>
      </c>
      <c r="C14" s="35" t="str">
        <f>IF(ISBLANK(Data!B14),"",Data!B14)</f>
        <v/>
      </c>
      <c r="D14" s="36" t="str">
        <f>IF(ISBLANK(Data!C14),"",Data!C14)</f>
        <v>El Cortecito</v>
      </c>
      <c r="E14" s="36" t="str">
        <f>IF(ISBLANK(Data!D14),"",Data!D14)</f>
        <v>CO1</v>
      </c>
      <c r="F14" s="36" t="str">
        <f>IF(ISBLANK(Data!E14),"",Data!E14)</f>
        <v>Esdras López</v>
      </c>
      <c r="G14" s="37">
        <f>IF(ISBLANK(Data!F14),"",Data!F14)</f>
        <v>1</v>
      </c>
      <c r="H14" s="37">
        <f>IF(ISBLANK(Data!G14),"",Data!G14)</f>
        <v>0</v>
      </c>
      <c r="I14" s="37">
        <f>IF(ISBLANK(Data!H14),"",Data!H14)</f>
        <v>0</v>
      </c>
      <c r="J14" s="37" t="str">
        <f>IF(ISBLANK(Data!I14),"",Data!I14)</f>
        <v/>
      </c>
      <c r="K14" s="22" t="str">
        <f>IF(ISBLANK(Data!N14),"",Data!N14)</f>
        <v xml:space="preserve">Myadestes </v>
      </c>
      <c r="L14" s="22" t="str">
        <f>IF(ISBLANK(Data!O14),"",Data!O14)</f>
        <v>unicolor</v>
      </c>
      <c r="M14" s="22"/>
      <c r="N14" s="37" t="str">
        <f>IF(ISBLANK(Data!P14),"",Data!P14)</f>
        <v>Seen</v>
      </c>
      <c r="O14" s="37" t="str">
        <f>IF(ISBLANK(Data!Q14),"",Data!Q14)</f>
        <v/>
      </c>
      <c r="P14" s="37" t="str">
        <f>IF(ISBLANK(Data!R14),"",Data!R14)</f>
        <v/>
      </c>
      <c r="Q14" s="37" t="str">
        <f>IF(ISBLANK(Data!S14),"",Data!S14)</f>
        <v/>
      </c>
    </row>
    <row r="15" spans="1:17" x14ac:dyDescent="0.25">
      <c r="A15" s="23">
        <f t="shared" si="0"/>
        <v>2013</v>
      </c>
      <c r="B15" s="42">
        <f>IF(ISBLANK(Data!A15),"",Data!A15)</f>
        <v>41460</v>
      </c>
      <c r="C15" s="35" t="str">
        <f>IF(ISBLANK(Data!B15),"",Data!B15)</f>
        <v/>
      </c>
      <c r="D15" s="36" t="str">
        <f>IF(ISBLANK(Data!C15),"",Data!C15)</f>
        <v>El Cortecito</v>
      </c>
      <c r="E15" s="36" t="str">
        <f>IF(ISBLANK(Data!D15),"",Data!D15)</f>
        <v>CO1</v>
      </c>
      <c r="F15" s="36" t="str">
        <f>IF(ISBLANK(Data!E15),"",Data!E15)</f>
        <v>Esdras López</v>
      </c>
      <c r="G15" s="37">
        <f>IF(ISBLANK(Data!F15),"",Data!F15)</f>
        <v>1</v>
      </c>
      <c r="H15" s="37">
        <f>IF(ISBLANK(Data!G15),"",Data!G15)</f>
        <v>0</v>
      </c>
      <c r="I15" s="37">
        <f>IF(ISBLANK(Data!H15),"",Data!H15)</f>
        <v>0</v>
      </c>
      <c r="J15" s="37" t="str">
        <f>IF(ISBLANK(Data!I15),"",Data!I15)</f>
        <v/>
      </c>
      <c r="K15" s="22" t="str">
        <f>IF(ISBLANK(Data!N15),"",Data!N15)</f>
        <v xml:space="preserve">Anabacerthia </v>
      </c>
      <c r="L15" s="22" t="str">
        <f>IF(ISBLANK(Data!O15),"",Data!O15)</f>
        <v>variegaticeps</v>
      </c>
      <c r="M15" s="22"/>
      <c r="N15" s="37" t="str">
        <f>IF(ISBLANK(Data!P15),"",Data!P15)</f>
        <v>Heard</v>
      </c>
      <c r="O15" s="37" t="str">
        <f>IF(ISBLANK(Data!Q15),"",Data!Q15)</f>
        <v/>
      </c>
      <c r="P15" s="37" t="str">
        <f>IF(ISBLANK(Data!R15),"",Data!R15)</f>
        <v/>
      </c>
      <c r="Q15" s="37" t="str">
        <f>IF(ISBLANK(Data!S15),"",Data!S15)</f>
        <v/>
      </c>
    </row>
    <row r="16" spans="1:17" x14ac:dyDescent="0.25">
      <c r="A16" s="23">
        <f t="shared" si="0"/>
        <v>2013</v>
      </c>
      <c r="B16" s="42">
        <f>IF(ISBLANK(Data!A16),"",Data!A16)</f>
        <v>41460</v>
      </c>
      <c r="C16" s="35" t="str">
        <f>IF(ISBLANK(Data!B16),"",Data!B16)</f>
        <v/>
      </c>
      <c r="D16" s="36" t="str">
        <f>IF(ISBLANK(Data!C16),"",Data!C16)</f>
        <v>El Cortecito</v>
      </c>
      <c r="E16" s="36" t="str">
        <f>IF(ISBLANK(Data!D16),"",Data!D16)</f>
        <v>CO1</v>
      </c>
      <c r="F16" s="36" t="str">
        <f>IF(ISBLANK(Data!E16),"",Data!E16)</f>
        <v>Esdras López</v>
      </c>
      <c r="G16" s="37">
        <f>IF(ISBLANK(Data!F16),"",Data!F16)</f>
        <v>1</v>
      </c>
      <c r="H16" s="37">
        <f>IF(ISBLANK(Data!G16),"",Data!G16)</f>
        <v>0</v>
      </c>
      <c r="I16" s="37">
        <f>IF(ISBLANK(Data!H16),"",Data!H16)</f>
        <v>0</v>
      </c>
      <c r="J16" s="37" t="str">
        <f>IF(ISBLANK(Data!I16),"",Data!I16)</f>
        <v/>
      </c>
      <c r="K16" s="22" t="str">
        <f>IF(ISBLANK(Data!N16),"",Data!N16)</f>
        <v xml:space="preserve">Pharomachrus </v>
      </c>
      <c r="L16" s="22" t="str">
        <f>IF(ISBLANK(Data!O16),"",Data!O16)</f>
        <v>mocinno</v>
      </c>
      <c r="M16" s="22"/>
      <c r="N16" s="37" t="str">
        <f>IF(ISBLANK(Data!P16),"",Data!P16)</f>
        <v>Heard</v>
      </c>
      <c r="O16" s="37" t="str">
        <f>IF(ISBLANK(Data!Q16),"",Data!Q16)</f>
        <v/>
      </c>
      <c r="P16" s="37" t="str">
        <f>IF(ISBLANK(Data!R16),"",Data!R16)</f>
        <v/>
      </c>
      <c r="Q16" s="37" t="str">
        <f>IF(ISBLANK(Data!S16),"",Data!S16)</f>
        <v/>
      </c>
    </row>
    <row r="17" spans="1:17" x14ac:dyDescent="0.25">
      <c r="A17" s="23">
        <f t="shared" si="0"/>
        <v>2013</v>
      </c>
      <c r="B17" s="42">
        <f>IF(ISBLANK(Data!A17),"",Data!A17)</f>
        <v>41460</v>
      </c>
      <c r="C17" s="35" t="str">
        <f>IF(ISBLANK(Data!B17),"",Data!B17)</f>
        <v/>
      </c>
      <c r="D17" s="36" t="str">
        <f>IF(ISBLANK(Data!C17),"",Data!C17)</f>
        <v>El Cortecito</v>
      </c>
      <c r="E17" s="36" t="str">
        <f>IF(ISBLANK(Data!D17),"",Data!D17)</f>
        <v>CO1</v>
      </c>
      <c r="F17" s="36" t="str">
        <f>IF(ISBLANK(Data!E17),"",Data!E17)</f>
        <v>Esdras López</v>
      </c>
      <c r="G17" s="37">
        <f>IF(ISBLANK(Data!F17),"",Data!F17)</f>
        <v>1</v>
      </c>
      <c r="H17" s="37">
        <f>IF(ISBLANK(Data!G17),"",Data!G17)</f>
        <v>0</v>
      </c>
      <c r="I17" s="37">
        <f>IF(ISBLANK(Data!H17),"",Data!H17)</f>
        <v>0</v>
      </c>
      <c r="J17" s="37" t="str">
        <f>IF(ISBLANK(Data!I17),"",Data!I17)</f>
        <v/>
      </c>
      <c r="K17" s="22" t="str">
        <f>IF(ISBLANK(Data!N17),"",Data!N17)</f>
        <v xml:space="preserve">Chlorospingus </v>
      </c>
      <c r="L17" s="22" t="str">
        <f>IF(ISBLANK(Data!O17),"",Data!O17)</f>
        <v>ophthalmicus</v>
      </c>
      <c r="M17" s="22"/>
      <c r="N17" s="37" t="str">
        <f>IF(ISBLANK(Data!P17),"",Data!P17)</f>
        <v>Seen</v>
      </c>
      <c r="O17" s="37" t="str">
        <f>IF(ISBLANK(Data!Q17),"",Data!Q17)</f>
        <v/>
      </c>
      <c r="P17" s="37" t="str">
        <f>IF(ISBLANK(Data!R17),"",Data!R17)</f>
        <v/>
      </c>
      <c r="Q17" s="37" t="str">
        <f>IF(ISBLANK(Data!S17),"",Data!S17)</f>
        <v/>
      </c>
    </row>
    <row r="18" spans="1:17" x14ac:dyDescent="0.25">
      <c r="A18" s="23">
        <f t="shared" si="0"/>
        <v>2013</v>
      </c>
      <c r="B18" s="42">
        <f>IF(ISBLANK(Data!A18),"",Data!A18)</f>
        <v>41460</v>
      </c>
      <c r="C18" s="35" t="str">
        <f>IF(ISBLANK(Data!B18),"",Data!B18)</f>
        <v/>
      </c>
      <c r="D18" s="36" t="str">
        <f>IF(ISBLANK(Data!C18),"",Data!C18)</f>
        <v>El Cortecito</v>
      </c>
      <c r="E18" s="36" t="str">
        <f>IF(ISBLANK(Data!D18),"",Data!D18)</f>
        <v>CO1</v>
      </c>
      <c r="F18" s="36" t="str">
        <f>IF(ISBLANK(Data!E18),"",Data!E18)</f>
        <v>Esdras López</v>
      </c>
      <c r="G18" s="37">
        <f>IF(ISBLANK(Data!F18),"",Data!F18)</f>
        <v>1</v>
      </c>
      <c r="H18" s="37">
        <f>IF(ISBLANK(Data!G18),"",Data!G18)</f>
        <v>0</v>
      </c>
      <c r="I18" s="37">
        <f>IF(ISBLANK(Data!H18),"",Data!H18)</f>
        <v>0</v>
      </c>
      <c r="J18" s="37" t="str">
        <f>IF(ISBLANK(Data!I18),"",Data!I18)</f>
        <v/>
      </c>
      <c r="K18" s="22" t="str">
        <f>IF(ISBLANK(Data!N18),"",Data!N18)</f>
        <v xml:space="preserve">Pionus </v>
      </c>
      <c r="L18" s="22" t="str">
        <f>IF(ISBLANK(Data!O18),"",Data!O18)</f>
        <v>senilis</v>
      </c>
      <c r="M18" s="22"/>
      <c r="N18" s="37" t="str">
        <f>IF(ISBLANK(Data!P18),"",Data!P18)</f>
        <v>Heard</v>
      </c>
      <c r="O18" s="37" t="str">
        <f>IF(ISBLANK(Data!Q18),"",Data!Q18)</f>
        <v/>
      </c>
      <c r="P18" s="37" t="str">
        <f>IF(ISBLANK(Data!R18),"",Data!R18)</f>
        <v/>
      </c>
      <c r="Q18" s="37" t="str">
        <f>IF(ISBLANK(Data!S18),"",Data!S18)</f>
        <v/>
      </c>
    </row>
    <row r="19" spans="1:17" x14ac:dyDescent="0.25">
      <c r="A19" s="23">
        <f t="shared" si="0"/>
        <v>2013</v>
      </c>
      <c r="B19" s="42">
        <f>IF(ISBLANK(Data!A19),"",Data!A19)</f>
        <v>41460</v>
      </c>
      <c r="C19" s="35" t="str">
        <f>IF(ISBLANK(Data!B19),"",Data!B19)</f>
        <v/>
      </c>
      <c r="D19" s="36" t="str">
        <f>IF(ISBLANK(Data!C19),"",Data!C19)</f>
        <v>El Cortecito</v>
      </c>
      <c r="E19" s="36" t="str">
        <f>IF(ISBLANK(Data!D19),"",Data!D19)</f>
        <v>CO1</v>
      </c>
      <c r="F19" s="36" t="str">
        <f>IF(ISBLANK(Data!E19),"",Data!E19)</f>
        <v>Esdras López</v>
      </c>
      <c r="G19" s="37">
        <f>IF(ISBLANK(Data!F19),"",Data!F19)</f>
        <v>1</v>
      </c>
      <c r="H19" s="37">
        <f>IF(ISBLANK(Data!G19),"",Data!G19)</f>
        <v>0</v>
      </c>
      <c r="I19" s="37">
        <f>IF(ISBLANK(Data!H19),"",Data!H19)</f>
        <v>0</v>
      </c>
      <c r="J19" s="37" t="str">
        <f>IF(ISBLANK(Data!I19),"",Data!I19)</f>
        <v/>
      </c>
      <c r="K19" s="22" t="str">
        <f>IF(ISBLANK(Data!N19),"",Data!N19)</f>
        <v xml:space="preserve">Penelope </v>
      </c>
      <c r="L19" s="22" t="str">
        <f>IF(ISBLANK(Data!O19),"",Data!O19)</f>
        <v>purpurascens</v>
      </c>
      <c r="M19" s="22"/>
      <c r="N19" s="37" t="str">
        <f>IF(ISBLANK(Data!P19),"",Data!P19)</f>
        <v>Seen</v>
      </c>
      <c r="O19" s="37" t="str">
        <f>IF(ISBLANK(Data!Q19),"",Data!Q19)</f>
        <v/>
      </c>
      <c r="P19" s="37" t="str">
        <f>IF(ISBLANK(Data!R19),"",Data!R19)</f>
        <v/>
      </c>
      <c r="Q19" s="37" t="str">
        <f>IF(ISBLANK(Data!S19),"",Data!S19)</f>
        <v/>
      </c>
    </row>
    <row r="20" spans="1:17" x14ac:dyDescent="0.25">
      <c r="A20" s="23">
        <f t="shared" si="0"/>
        <v>2013</v>
      </c>
      <c r="B20" s="42">
        <f>IF(ISBLANK(Data!A20),"",Data!A20)</f>
        <v>41460</v>
      </c>
      <c r="C20" s="35" t="str">
        <f>IF(ISBLANK(Data!B20),"",Data!B20)</f>
        <v/>
      </c>
      <c r="D20" s="36" t="str">
        <f>IF(ISBLANK(Data!C20),"",Data!C20)</f>
        <v>El Cortecito</v>
      </c>
      <c r="E20" s="36" t="str">
        <f>IF(ISBLANK(Data!D20),"",Data!D20)</f>
        <v>CO1</v>
      </c>
      <c r="F20" s="36" t="str">
        <f>IF(ISBLANK(Data!E20),"",Data!E20)</f>
        <v>Esdras López</v>
      </c>
      <c r="G20" s="37">
        <f>IF(ISBLANK(Data!F20),"",Data!F20)</f>
        <v>1</v>
      </c>
      <c r="H20" s="37">
        <f>IF(ISBLANK(Data!G20),"",Data!G20)</f>
        <v>0</v>
      </c>
      <c r="I20" s="37">
        <f>IF(ISBLANK(Data!H20),"",Data!H20)</f>
        <v>0</v>
      </c>
      <c r="J20" s="37" t="str">
        <f>IF(ISBLANK(Data!I20),"",Data!I20)</f>
        <v/>
      </c>
      <c r="K20" s="22" t="str">
        <f>IF(ISBLANK(Data!N20),"",Data!N20)</f>
        <v xml:space="preserve">Xiphorhynchus </v>
      </c>
      <c r="L20" s="22" t="str">
        <f>IF(ISBLANK(Data!O20),"",Data!O20)</f>
        <v>erythropygius</v>
      </c>
      <c r="M20" s="22"/>
      <c r="N20" s="37" t="str">
        <f>IF(ISBLANK(Data!P20),"",Data!P20)</f>
        <v>Heard</v>
      </c>
      <c r="O20" s="37" t="str">
        <f>IF(ISBLANK(Data!Q20),"",Data!Q20)</f>
        <v/>
      </c>
      <c r="P20" s="37" t="str">
        <f>IF(ISBLANK(Data!R20),"",Data!R20)</f>
        <v/>
      </c>
      <c r="Q20" s="37" t="str">
        <f>IF(ISBLANK(Data!S20),"",Data!S20)</f>
        <v/>
      </c>
    </row>
    <row r="21" spans="1:17" x14ac:dyDescent="0.25">
      <c r="A21" s="23">
        <f t="shared" si="0"/>
        <v>2013</v>
      </c>
      <c r="B21" s="42">
        <f>IF(ISBLANK(Data!A21),"",Data!A21)</f>
        <v>41460</v>
      </c>
      <c r="C21" s="35" t="str">
        <f>IF(ISBLANK(Data!B21),"",Data!B21)</f>
        <v/>
      </c>
      <c r="D21" s="36" t="str">
        <f>IF(ISBLANK(Data!C21),"",Data!C21)</f>
        <v>El Cortecito</v>
      </c>
      <c r="E21" s="36" t="str">
        <f>IF(ISBLANK(Data!D21),"",Data!D21)</f>
        <v>CO1</v>
      </c>
      <c r="F21" s="36" t="str">
        <f>IF(ISBLANK(Data!E21),"",Data!E21)</f>
        <v>Esdras López</v>
      </c>
      <c r="G21" s="37">
        <f>IF(ISBLANK(Data!F21),"",Data!F21)</f>
        <v>1</v>
      </c>
      <c r="H21" s="37">
        <f>IF(ISBLANK(Data!G21),"",Data!G21)</f>
        <v>0</v>
      </c>
      <c r="I21" s="37">
        <f>IF(ISBLANK(Data!H21),"",Data!H21)</f>
        <v>0</v>
      </c>
      <c r="J21" s="37" t="str">
        <f>IF(ISBLANK(Data!I21),"",Data!I21)</f>
        <v/>
      </c>
      <c r="K21" s="22" t="str">
        <f>IF(ISBLANK(Data!N21),"",Data!N21)</f>
        <v xml:space="preserve">Ramphastos </v>
      </c>
      <c r="L21" s="22" t="str">
        <f>IF(ISBLANK(Data!O21),"",Data!O21)</f>
        <v>sulfuratus</v>
      </c>
      <c r="M21" s="22"/>
      <c r="N21" s="37" t="str">
        <f>IF(ISBLANK(Data!P21),"",Data!P21)</f>
        <v/>
      </c>
      <c r="O21" s="37" t="str">
        <f>IF(ISBLANK(Data!Q21),"",Data!Q21)</f>
        <v/>
      </c>
      <c r="P21" s="37" t="str">
        <f>IF(ISBLANK(Data!R21),"",Data!R21)</f>
        <v/>
      </c>
      <c r="Q21" s="37" t="str">
        <f>IF(ISBLANK(Data!S21),"",Data!S21)</f>
        <v/>
      </c>
    </row>
    <row r="22" spans="1:17" x14ac:dyDescent="0.25">
      <c r="A22" s="23">
        <f t="shared" si="0"/>
        <v>2013</v>
      </c>
      <c r="B22" s="42">
        <f>IF(ISBLANK(Data!A22),"",Data!A22)</f>
        <v>41460</v>
      </c>
      <c r="C22" s="35" t="str">
        <f>IF(ISBLANK(Data!B22),"",Data!B22)</f>
        <v/>
      </c>
      <c r="D22" s="36" t="str">
        <f>IF(ISBLANK(Data!C22),"",Data!C22)</f>
        <v>El Cortecito</v>
      </c>
      <c r="E22" s="36" t="str">
        <f>IF(ISBLANK(Data!D22),"",Data!D22)</f>
        <v>CO1</v>
      </c>
      <c r="F22" s="36" t="str">
        <f>IF(ISBLANK(Data!E22),"",Data!E22)</f>
        <v>Esdras López</v>
      </c>
      <c r="G22" s="37">
        <f>IF(ISBLANK(Data!F22),"",Data!F22)</f>
        <v>1</v>
      </c>
      <c r="H22" s="37">
        <f>IF(ISBLANK(Data!G22),"",Data!G22)</f>
        <v>0</v>
      </c>
      <c r="I22" s="37">
        <f>IF(ISBLANK(Data!H22),"",Data!H22)</f>
        <v>0</v>
      </c>
      <c r="J22" s="37" t="str">
        <f>IF(ISBLANK(Data!I22),"",Data!I22)</f>
        <v/>
      </c>
      <c r="K22" s="22" t="str">
        <f>IF(ISBLANK(Data!N22),"",Data!N22)</f>
        <v xml:space="preserve">Piculus </v>
      </c>
      <c r="L22" s="22" t="str">
        <f>IF(ISBLANK(Data!O22),"",Data!O22)</f>
        <v>rubiginosus</v>
      </c>
      <c r="M22" s="22"/>
      <c r="N22" s="37" t="str">
        <f>IF(ISBLANK(Data!P22),"",Data!P22)</f>
        <v>Heard</v>
      </c>
      <c r="O22" s="37" t="str">
        <f>IF(ISBLANK(Data!Q22),"",Data!Q22)</f>
        <v/>
      </c>
      <c r="P22" s="37" t="str">
        <f>IF(ISBLANK(Data!R22),"",Data!R22)</f>
        <v/>
      </c>
      <c r="Q22" s="37" t="str">
        <f>IF(ISBLANK(Data!S22),"",Data!S22)</f>
        <v/>
      </c>
    </row>
    <row r="23" spans="1:17" x14ac:dyDescent="0.25">
      <c r="A23" s="23">
        <f t="shared" si="0"/>
        <v>2013</v>
      </c>
      <c r="B23" s="42">
        <f>IF(ISBLANK(Data!A23),"",Data!A23)</f>
        <v>41460</v>
      </c>
      <c r="C23" s="35" t="str">
        <f>IF(ISBLANK(Data!B23),"",Data!B23)</f>
        <v/>
      </c>
      <c r="D23" s="36" t="str">
        <f>IF(ISBLANK(Data!C23),"",Data!C23)</f>
        <v>El Cortecito</v>
      </c>
      <c r="E23" s="36" t="str">
        <f>IF(ISBLANK(Data!D23),"",Data!D23)</f>
        <v>CO1</v>
      </c>
      <c r="F23" s="36" t="str">
        <f>IF(ISBLANK(Data!E23),"",Data!E23)</f>
        <v>Esdras López</v>
      </c>
      <c r="G23" s="37">
        <f>IF(ISBLANK(Data!F23),"",Data!F23)</f>
        <v>1</v>
      </c>
      <c r="H23" s="37">
        <f>IF(ISBLANK(Data!G23),"",Data!G23)</f>
        <v>0</v>
      </c>
      <c r="I23" s="37">
        <f>IF(ISBLANK(Data!H23),"",Data!H23)</f>
        <v>0</v>
      </c>
      <c r="J23" s="37" t="str">
        <f>IF(ISBLANK(Data!I23),"",Data!I23)</f>
        <v/>
      </c>
      <c r="K23" s="22" t="str">
        <f>IF(ISBLANK(Data!N23),"",Data!N23)</f>
        <v xml:space="preserve">Pipra </v>
      </c>
      <c r="L23" s="22" t="str">
        <f>IF(ISBLANK(Data!O23),"",Data!O23)</f>
        <v>mentalis</v>
      </c>
      <c r="M23" s="22"/>
      <c r="N23" s="37" t="str">
        <f>IF(ISBLANK(Data!P23),"",Data!P23)</f>
        <v>Heard</v>
      </c>
      <c r="O23" s="37" t="str">
        <f>IF(ISBLANK(Data!Q23),"",Data!Q23)</f>
        <v/>
      </c>
      <c r="P23" s="37" t="str">
        <f>IF(ISBLANK(Data!R23),"",Data!R23)</f>
        <v/>
      </c>
      <c r="Q23" s="37" t="str">
        <f>IF(ISBLANK(Data!S23),"",Data!S23)</f>
        <v/>
      </c>
    </row>
    <row r="24" spans="1:17" x14ac:dyDescent="0.25">
      <c r="A24" s="23">
        <f t="shared" si="0"/>
        <v>2013</v>
      </c>
      <c r="B24" s="42">
        <f>IF(ISBLANK(Data!A24),"",Data!A24)</f>
        <v>41461</v>
      </c>
      <c r="C24" s="35" t="str">
        <f>IF(ISBLANK(Data!B24),"",Data!B24)</f>
        <v/>
      </c>
      <c r="D24" s="36" t="str">
        <f>IF(ISBLANK(Data!C24),"",Data!C24)</f>
        <v>El Cortecito</v>
      </c>
      <c r="E24" s="36" t="str">
        <f>IF(ISBLANK(Data!D24),"",Data!D24)</f>
        <v>CO4</v>
      </c>
      <c r="F24" s="36" t="str">
        <f>IF(ISBLANK(Data!E24),"",Data!E24)</f>
        <v xml:space="preserve">Fred </v>
      </c>
      <c r="G24" s="37">
        <f>IF(ISBLANK(Data!F24),"",Data!F24)</f>
        <v>1</v>
      </c>
      <c r="H24" s="37">
        <f>IF(ISBLANK(Data!G24),"",Data!G24)</f>
        <v>0</v>
      </c>
      <c r="I24" s="37">
        <f>IF(ISBLANK(Data!H24),"",Data!H24)</f>
        <v>0</v>
      </c>
      <c r="J24" s="37" t="str">
        <f>IF(ISBLANK(Data!I24),"",Data!I24)</f>
        <v/>
      </c>
      <c r="K24" s="22" t="str">
        <f>IF(ISBLANK(Data!N24),"",Data!N24)</f>
        <v xml:space="preserve">Campylopterus </v>
      </c>
      <c r="L24" s="22" t="str">
        <f>IF(ISBLANK(Data!O24),"",Data!O24)</f>
        <v>hemileucurus</v>
      </c>
      <c r="M24" s="22"/>
      <c r="N24" s="37" t="str">
        <f>IF(ISBLANK(Data!P24),"",Data!P24)</f>
        <v>Seen</v>
      </c>
      <c r="O24" s="37" t="str">
        <f>IF(ISBLANK(Data!Q24),"",Data!Q24)</f>
        <v/>
      </c>
      <c r="P24" s="37" t="str">
        <f>IF(ISBLANK(Data!R24),"",Data!R24)</f>
        <v/>
      </c>
      <c r="Q24" s="37" t="str">
        <f>IF(ISBLANK(Data!S24),"",Data!S24)</f>
        <v/>
      </c>
    </row>
    <row r="25" spans="1:17" x14ac:dyDescent="0.25">
      <c r="A25" s="23">
        <f t="shared" si="0"/>
        <v>2013</v>
      </c>
      <c r="B25" s="42">
        <f>IF(ISBLANK(Data!A25),"",Data!A25)</f>
        <v>41461</v>
      </c>
      <c r="C25" s="35" t="str">
        <f>IF(ISBLANK(Data!B25),"",Data!B25)</f>
        <v/>
      </c>
      <c r="D25" s="36" t="str">
        <f>IF(ISBLANK(Data!C25),"",Data!C25)</f>
        <v>El Cortecito</v>
      </c>
      <c r="E25" s="36" t="str">
        <f>IF(ISBLANK(Data!D25),"",Data!D25)</f>
        <v>CO4</v>
      </c>
      <c r="F25" s="36" t="str">
        <f>IF(ISBLANK(Data!E25),"",Data!E25)</f>
        <v xml:space="preserve">Fred </v>
      </c>
      <c r="G25" s="37">
        <f>IF(ISBLANK(Data!F25),"",Data!F25)</f>
        <v>1</v>
      </c>
      <c r="H25" s="37">
        <f>IF(ISBLANK(Data!G25),"",Data!G25)</f>
        <v>0</v>
      </c>
      <c r="I25" s="37">
        <f>IF(ISBLANK(Data!H25),"",Data!H25)</f>
        <v>0</v>
      </c>
      <c r="J25" s="37" t="str">
        <f>IF(ISBLANK(Data!I25),"",Data!I25)</f>
        <v/>
      </c>
      <c r="K25" s="22" t="str">
        <f>IF(ISBLANK(Data!N25),"",Data!N25)</f>
        <v xml:space="preserve">Chlorospingus </v>
      </c>
      <c r="L25" s="22" t="str">
        <f>IF(ISBLANK(Data!O25),"",Data!O25)</f>
        <v>ophthalmicus</v>
      </c>
      <c r="M25" s="22"/>
      <c r="N25" s="37" t="str">
        <f>IF(ISBLANK(Data!P25),"",Data!P25)</f>
        <v>Seen</v>
      </c>
      <c r="O25" s="37" t="str">
        <f>IF(ISBLANK(Data!Q25),"",Data!Q25)</f>
        <v/>
      </c>
      <c r="P25" s="37" t="str">
        <f>IF(ISBLANK(Data!R25),"",Data!R25)</f>
        <v/>
      </c>
      <c r="Q25" s="37" t="str">
        <f>IF(ISBLANK(Data!S25),"",Data!S25)</f>
        <v/>
      </c>
    </row>
    <row r="26" spans="1:17" x14ac:dyDescent="0.25">
      <c r="A26" s="23">
        <f t="shared" si="0"/>
        <v>2013</v>
      </c>
      <c r="B26" s="42">
        <f>IF(ISBLANK(Data!A26),"",Data!A26)</f>
        <v>41461</v>
      </c>
      <c r="C26" s="35" t="str">
        <f>IF(ISBLANK(Data!B26),"",Data!B26)</f>
        <v/>
      </c>
      <c r="D26" s="36" t="str">
        <f>IF(ISBLANK(Data!C26),"",Data!C26)</f>
        <v>El Cortecito</v>
      </c>
      <c r="E26" s="36" t="str">
        <f>IF(ISBLANK(Data!D26),"",Data!D26)</f>
        <v>CO4</v>
      </c>
      <c r="F26" s="36" t="str">
        <f>IF(ISBLANK(Data!E26),"",Data!E26)</f>
        <v xml:space="preserve">Fred </v>
      </c>
      <c r="G26" s="37">
        <f>IF(ISBLANK(Data!F26),"",Data!F26)</f>
        <v>1</v>
      </c>
      <c r="H26" s="37">
        <f>IF(ISBLANK(Data!G26),"",Data!G26)</f>
        <v>0</v>
      </c>
      <c r="I26" s="37">
        <f>IF(ISBLANK(Data!H26),"",Data!H26)</f>
        <v>0</v>
      </c>
      <c r="J26" s="37" t="str">
        <f>IF(ISBLANK(Data!I26),"",Data!I26)</f>
        <v/>
      </c>
      <c r="K26" s="22" t="str">
        <f>IF(ISBLANK(Data!N26),"",Data!N26)</f>
        <v xml:space="preserve">Ramphastos </v>
      </c>
      <c r="L26" s="22" t="str">
        <f>IF(ISBLANK(Data!O26),"",Data!O26)</f>
        <v>sulfuratus</v>
      </c>
      <c r="M26" s="22"/>
      <c r="N26" s="37" t="str">
        <f>IF(ISBLANK(Data!P26),"",Data!P26)</f>
        <v>Heard</v>
      </c>
      <c r="O26" s="37" t="str">
        <f>IF(ISBLANK(Data!Q26),"",Data!Q26)</f>
        <v/>
      </c>
      <c r="P26" s="37" t="str">
        <f>IF(ISBLANK(Data!R26),"",Data!R26)</f>
        <v/>
      </c>
      <c r="Q26" s="37" t="str">
        <f>IF(ISBLANK(Data!S26),"",Data!S26)</f>
        <v/>
      </c>
    </row>
    <row r="27" spans="1:17" x14ac:dyDescent="0.25">
      <c r="A27" s="23">
        <f t="shared" si="0"/>
        <v>2013</v>
      </c>
      <c r="B27" s="42">
        <f>IF(ISBLANK(Data!A27),"",Data!A27)</f>
        <v>41461</v>
      </c>
      <c r="C27" s="35" t="str">
        <f>IF(ISBLANK(Data!B27),"",Data!B27)</f>
        <v/>
      </c>
      <c r="D27" s="36" t="str">
        <f>IF(ISBLANK(Data!C27),"",Data!C27)</f>
        <v>El Cortecito</v>
      </c>
      <c r="E27" s="36" t="str">
        <f>IF(ISBLANK(Data!D27),"",Data!D27)</f>
        <v>CO4</v>
      </c>
      <c r="F27" s="36" t="str">
        <f>IF(ISBLANK(Data!E27),"",Data!E27)</f>
        <v xml:space="preserve">Fred </v>
      </c>
      <c r="G27" s="37">
        <f>IF(ISBLANK(Data!F27),"",Data!F27)</f>
        <v>1</v>
      </c>
      <c r="H27" s="37">
        <f>IF(ISBLANK(Data!G27),"",Data!G27)</f>
        <v>0</v>
      </c>
      <c r="I27" s="37">
        <f>IF(ISBLANK(Data!H27),"",Data!H27)</f>
        <v>0</v>
      </c>
      <c r="J27" s="37" t="str">
        <f>IF(ISBLANK(Data!I27),"",Data!I27)</f>
        <v/>
      </c>
      <c r="K27" s="22" t="str">
        <f>IF(ISBLANK(Data!N27),"",Data!N27)</f>
        <v xml:space="preserve">Geotrygon </v>
      </c>
      <c r="L27" s="22" t="str">
        <f>IF(ISBLANK(Data!O27),"",Data!O27)</f>
        <v>albifacies</v>
      </c>
      <c r="M27" s="22"/>
      <c r="N27" s="37" t="str">
        <f>IF(ISBLANK(Data!P27),"",Data!P27)</f>
        <v>Heard</v>
      </c>
      <c r="O27" s="37" t="str">
        <f>IF(ISBLANK(Data!Q27),"",Data!Q27)</f>
        <v/>
      </c>
      <c r="P27" s="37" t="str">
        <f>IF(ISBLANK(Data!R27),"",Data!R27)</f>
        <v/>
      </c>
      <c r="Q27" s="37" t="str">
        <f>IF(ISBLANK(Data!S27),"",Data!S27)</f>
        <v/>
      </c>
    </row>
    <row r="28" spans="1:17" x14ac:dyDescent="0.25">
      <c r="A28" s="23">
        <f t="shared" si="0"/>
        <v>2013</v>
      </c>
      <c r="B28" s="42">
        <f>IF(ISBLANK(Data!A28),"",Data!A28)</f>
        <v>41461</v>
      </c>
      <c r="C28" s="35" t="str">
        <f>IF(ISBLANK(Data!B28),"",Data!B28)</f>
        <v/>
      </c>
      <c r="D28" s="36" t="str">
        <f>IF(ISBLANK(Data!C28),"",Data!C28)</f>
        <v>El Cortecito</v>
      </c>
      <c r="E28" s="36" t="str">
        <f>IF(ISBLANK(Data!D28),"",Data!D28)</f>
        <v>CO4</v>
      </c>
      <c r="F28" s="36" t="str">
        <f>IF(ISBLANK(Data!E28),"",Data!E28)</f>
        <v xml:space="preserve">Fred </v>
      </c>
      <c r="G28" s="37">
        <f>IF(ISBLANK(Data!F28),"",Data!F28)</f>
        <v>1</v>
      </c>
      <c r="H28" s="37">
        <f>IF(ISBLANK(Data!G28),"",Data!G28)</f>
        <v>0</v>
      </c>
      <c r="I28" s="37">
        <f>IF(ISBLANK(Data!H28),"",Data!H28)</f>
        <v>0</v>
      </c>
      <c r="J28" s="37" t="str">
        <f>IF(ISBLANK(Data!I28),"",Data!I28)</f>
        <v/>
      </c>
      <c r="K28" s="22" t="str">
        <f>IF(ISBLANK(Data!N28),"",Data!N28)</f>
        <v xml:space="preserve">Myadestes </v>
      </c>
      <c r="L28" s="22" t="str">
        <f>IF(ISBLANK(Data!O28),"",Data!O28)</f>
        <v>unicolor</v>
      </c>
      <c r="M28" s="22"/>
      <c r="N28" s="37" t="str">
        <f>IF(ISBLANK(Data!P28),"",Data!P28)</f>
        <v>Heard</v>
      </c>
      <c r="O28" s="37" t="str">
        <f>IF(ISBLANK(Data!Q28),"",Data!Q28)</f>
        <v/>
      </c>
      <c r="P28" s="37" t="str">
        <f>IF(ISBLANK(Data!R28),"",Data!R28)</f>
        <v/>
      </c>
      <c r="Q28" s="37" t="str">
        <f>IF(ISBLANK(Data!S28),"",Data!S28)</f>
        <v/>
      </c>
    </row>
    <row r="29" spans="1:17" x14ac:dyDescent="0.25">
      <c r="A29" s="23">
        <f t="shared" si="0"/>
        <v>2013</v>
      </c>
      <c r="B29" s="42">
        <f>IF(ISBLANK(Data!A29),"",Data!A29)</f>
        <v>41461</v>
      </c>
      <c r="C29" s="35" t="str">
        <f>IF(ISBLANK(Data!B29),"",Data!B29)</f>
        <v/>
      </c>
      <c r="D29" s="36" t="str">
        <f>IF(ISBLANK(Data!C29),"",Data!C29)</f>
        <v>El Cortecito</v>
      </c>
      <c r="E29" s="36" t="str">
        <f>IF(ISBLANK(Data!D29),"",Data!D29)</f>
        <v>CO4</v>
      </c>
      <c r="F29" s="36" t="str">
        <f>IF(ISBLANK(Data!E29),"",Data!E29)</f>
        <v xml:space="preserve">Fred </v>
      </c>
      <c r="G29" s="37">
        <f>IF(ISBLANK(Data!F29),"",Data!F29)</f>
        <v>1</v>
      </c>
      <c r="H29" s="37">
        <f>IF(ISBLANK(Data!G29),"",Data!G29)</f>
        <v>0</v>
      </c>
      <c r="I29" s="37">
        <f>IF(ISBLANK(Data!H29),"",Data!H29)</f>
        <v>0</v>
      </c>
      <c r="J29" s="37" t="str">
        <f>IF(ISBLANK(Data!I29),"",Data!I29)</f>
        <v/>
      </c>
      <c r="K29" s="22" t="str">
        <f>IF(ISBLANK(Data!N29),"",Data!N29)</f>
        <v xml:space="preserve">Mionectes </v>
      </c>
      <c r="L29" s="22" t="str">
        <f>IF(ISBLANK(Data!O29),"",Data!O29)</f>
        <v>oleagineus</v>
      </c>
      <c r="M29" s="22"/>
      <c r="N29" s="37" t="str">
        <f>IF(ISBLANK(Data!P29),"",Data!P29)</f>
        <v>Heard</v>
      </c>
      <c r="O29" s="37" t="str">
        <f>IF(ISBLANK(Data!Q29),"",Data!Q29)</f>
        <v/>
      </c>
      <c r="P29" s="37" t="str">
        <f>IF(ISBLANK(Data!R29),"",Data!R29)</f>
        <v/>
      </c>
      <c r="Q29" s="37" t="str">
        <f>IF(ISBLANK(Data!S29),"",Data!S29)</f>
        <v/>
      </c>
    </row>
    <row r="30" spans="1:17" x14ac:dyDescent="0.25">
      <c r="A30" s="23">
        <f t="shared" si="0"/>
        <v>2013</v>
      </c>
      <c r="B30" s="42">
        <f>IF(ISBLANK(Data!A30),"",Data!A30)</f>
        <v>41461</v>
      </c>
      <c r="C30" s="35" t="str">
        <f>IF(ISBLANK(Data!B30),"",Data!B30)</f>
        <v/>
      </c>
      <c r="D30" s="36" t="str">
        <f>IF(ISBLANK(Data!C30),"",Data!C30)</f>
        <v>El Cortecito</v>
      </c>
      <c r="E30" s="36" t="str">
        <f>IF(ISBLANK(Data!D30),"",Data!D30)</f>
        <v>CO4</v>
      </c>
      <c r="F30" s="36" t="str">
        <f>IF(ISBLANK(Data!E30),"",Data!E30)</f>
        <v xml:space="preserve">Fred </v>
      </c>
      <c r="G30" s="37">
        <f>IF(ISBLANK(Data!F30),"",Data!F30)</f>
        <v>1</v>
      </c>
      <c r="H30" s="37">
        <f>IF(ISBLANK(Data!G30),"",Data!G30)</f>
        <v>0</v>
      </c>
      <c r="I30" s="37">
        <f>IF(ISBLANK(Data!H30),"",Data!H30)</f>
        <v>0</v>
      </c>
      <c r="J30" s="37" t="str">
        <f>IF(ISBLANK(Data!I30),"",Data!I30)</f>
        <v/>
      </c>
      <c r="K30" s="22" t="str">
        <f>IF(ISBLANK(Data!N30),"",Data!N30)</f>
        <v xml:space="preserve">Catharus </v>
      </c>
      <c r="L30" s="22" t="str">
        <f>IF(ISBLANK(Data!O30),"",Data!O30)</f>
        <v>mexicanus</v>
      </c>
      <c r="M30" s="22"/>
      <c r="N30" s="37" t="str">
        <f>IF(ISBLANK(Data!P30),"",Data!P30)</f>
        <v>Heard</v>
      </c>
      <c r="O30" s="37" t="str">
        <f>IF(ISBLANK(Data!Q30),"",Data!Q30)</f>
        <v/>
      </c>
      <c r="P30" s="37" t="str">
        <f>IF(ISBLANK(Data!R30),"",Data!R30)</f>
        <v/>
      </c>
      <c r="Q30" s="37" t="str">
        <f>IF(ISBLANK(Data!S30),"",Data!S30)</f>
        <v/>
      </c>
    </row>
    <row r="31" spans="1:17" x14ac:dyDescent="0.25">
      <c r="A31" s="23">
        <f t="shared" si="0"/>
        <v>2013</v>
      </c>
      <c r="B31" s="42">
        <f>IF(ISBLANK(Data!A31),"",Data!A31)</f>
        <v>41461</v>
      </c>
      <c r="C31" s="35" t="str">
        <f>IF(ISBLANK(Data!B31),"",Data!B31)</f>
        <v/>
      </c>
      <c r="D31" s="36" t="str">
        <f>IF(ISBLANK(Data!C31),"",Data!C31)</f>
        <v>El Cortecito</v>
      </c>
      <c r="E31" s="36" t="str">
        <f>IF(ISBLANK(Data!D31),"",Data!D31)</f>
        <v>CO4</v>
      </c>
      <c r="F31" s="36" t="str">
        <f>IF(ISBLANK(Data!E31),"",Data!E31)</f>
        <v xml:space="preserve">Fred </v>
      </c>
      <c r="G31" s="37">
        <f>IF(ISBLANK(Data!F31),"",Data!F31)</f>
        <v>1</v>
      </c>
      <c r="H31" s="37">
        <f>IF(ISBLANK(Data!G31),"",Data!G31)</f>
        <v>0</v>
      </c>
      <c r="I31" s="37">
        <f>IF(ISBLANK(Data!H31),"",Data!H31)</f>
        <v>0</v>
      </c>
      <c r="J31" s="37" t="str">
        <f>IF(ISBLANK(Data!I31),"",Data!I31)</f>
        <v/>
      </c>
      <c r="K31" s="22" t="str">
        <f>IF(ISBLANK(Data!N31),"",Data!N31)</f>
        <v xml:space="preserve">Microcerculus </v>
      </c>
      <c r="L31" s="22" t="str">
        <f>IF(ISBLANK(Data!O31),"",Data!O31)</f>
        <v>philomela</v>
      </c>
      <c r="M31" s="22"/>
      <c r="N31" s="37" t="str">
        <f>IF(ISBLANK(Data!P31),"",Data!P31)</f>
        <v>Heard</v>
      </c>
      <c r="O31" s="37" t="str">
        <f>IF(ISBLANK(Data!Q31),"",Data!Q31)</f>
        <v/>
      </c>
      <c r="P31" s="37" t="str">
        <f>IF(ISBLANK(Data!R31),"",Data!R31)</f>
        <v/>
      </c>
      <c r="Q31" s="37" t="str">
        <f>IF(ISBLANK(Data!S31),"",Data!S31)</f>
        <v/>
      </c>
    </row>
    <row r="32" spans="1:17" ht="30" x14ac:dyDescent="0.25">
      <c r="A32" s="23">
        <f t="shared" si="0"/>
        <v>2013</v>
      </c>
      <c r="B32" s="42">
        <f>IF(ISBLANK(Data!A32),"",Data!A32)</f>
        <v>41457</v>
      </c>
      <c r="C32" s="35" t="str">
        <f>IF(ISBLANK(Data!B32),"",Data!B32)</f>
        <v/>
      </c>
      <c r="D32" s="36" t="str">
        <f>IF(ISBLANK(Data!C32),"",Data!C32)</f>
        <v>El Cortecito</v>
      </c>
      <c r="E32" s="36" t="str">
        <f>IF(ISBLANK(Data!D32),"",Data!D32)</f>
        <v/>
      </c>
      <c r="F32" s="36" t="str">
        <f>IF(ISBLANK(Data!E32),"",Data!E32)</f>
        <v>Fabiola Rodríguez</v>
      </c>
      <c r="G32" s="37">
        <f>IF(ISBLANK(Data!F32),"",Data!F32)</f>
        <v>2</v>
      </c>
      <c r="H32" s="37">
        <f>IF(ISBLANK(Data!G32),"",Data!G32)</f>
        <v>0</v>
      </c>
      <c r="I32" s="37">
        <f>IF(ISBLANK(Data!H32),"",Data!H32)</f>
        <v>0</v>
      </c>
      <c r="J32" s="37" t="str">
        <f>IF(ISBLANK(Data!I32),"",Data!I32)</f>
        <v/>
      </c>
      <c r="K32" s="22" t="str">
        <f>IF(ISBLANK(Data!N32),"",Data!N32)</f>
        <v xml:space="preserve">Catharus </v>
      </c>
      <c r="L32" s="22" t="str">
        <f>IF(ISBLANK(Data!O32),"",Data!O32)</f>
        <v>mexicanus</v>
      </c>
      <c r="M32" s="22"/>
      <c r="N32" s="37" t="str">
        <f>IF(ISBLANK(Data!P32),"",Data!P32)</f>
        <v>Seen</v>
      </c>
      <c r="O32" s="37" t="str">
        <f>IF(ISBLANK(Data!Q32),"",Data!Q32)</f>
        <v/>
      </c>
      <c r="P32" s="37" t="str">
        <f>IF(ISBLANK(Data!R32),"",Data!R32)</f>
        <v/>
      </c>
      <c r="Q32" s="37" t="str">
        <f>IF(ISBLANK(Data!S32),"",Data!S32)</f>
        <v>Female in nest</v>
      </c>
    </row>
    <row r="33" spans="1:17" ht="75" x14ac:dyDescent="0.25">
      <c r="A33" s="23">
        <f t="shared" si="0"/>
        <v>2013</v>
      </c>
      <c r="B33" s="42">
        <f>IF(ISBLANK(Data!A33),"",Data!A33)</f>
        <v>41458</v>
      </c>
      <c r="C33" s="35" t="str">
        <f>IF(ISBLANK(Data!B33),"",Data!B33)</f>
        <v/>
      </c>
      <c r="D33" s="36" t="str">
        <f>IF(ISBLANK(Data!C33),"",Data!C33)</f>
        <v>El Cortecito</v>
      </c>
      <c r="E33" s="36" t="str">
        <f>IF(ISBLANK(Data!D33),"",Data!D33)</f>
        <v/>
      </c>
      <c r="F33" s="36" t="str">
        <f>IF(ISBLANK(Data!E33),"",Data!E33)</f>
        <v>Fabiola Rodríguez</v>
      </c>
      <c r="G33" s="37">
        <f>IF(ISBLANK(Data!F33),"",Data!F33)</f>
        <v>1</v>
      </c>
      <c r="H33" s="37">
        <f>IF(ISBLANK(Data!G33),"",Data!G33)</f>
        <v>0</v>
      </c>
      <c r="I33" s="37">
        <f>IF(ISBLANK(Data!H33),"",Data!H33)</f>
        <v>0</v>
      </c>
      <c r="J33" s="37" t="str">
        <f>IF(ISBLANK(Data!I33),"",Data!I33)</f>
        <v/>
      </c>
      <c r="K33" s="22" t="str">
        <f>IF(ISBLANK(Data!N33),"",Data!N33)</f>
        <v xml:space="preserve">Campylopterus </v>
      </c>
      <c r="L33" s="22" t="str">
        <f>IF(ISBLANK(Data!O33),"",Data!O33)</f>
        <v>hemileucurus</v>
      </c>
      <c r="M33" s="22"/>
      <c r="N33" s="37" t="str">
        <f>IF(ISBLANK(Data!P33),"",Data!P33)</f>
        <v>Seen</v>
      </c>
      <c r="O33" s="37" t="str">
        <f>IF(ISBLANK(Data!Q33),"",Data!Q33)</f>
        <v/>
      </c>
      <c r="P33" s="37" t="str">
        <f>IF(ISBLANK(Data!R33),"",Data!R33)</f>
        <v/>
      </c>
      <c r="Q33" s="37" t="str">
        <f>IF(ISBLANK(Data!S33),"",Data!S33)</f>
        <v>Male feeding off Heliconia sp.</v>
      </c>
    </row>
    <row r="34" spans="1:17" ht="30" x14ac:dyDescent="0.25">
      <c r="A34" s="23">
        <f t="shared" si="0"/>
        <v>2013</v>
      </c>
      <c r="B34" s="42">
        <f>IF(ISBLANK(Data!A34),"",Data!A34)</f>
        <v>41459</v>
      </c>
      <c r="C34" s="35" t="str">
        <f>IF(ISBLANK(Data!B34),"",Data!B34)</f>
        <v/>
      </c>
      <c r="D34" s="36" t="str">
        <f>IF(ISBLANK(Data!C34),"",Data!C34)</f>
        <v>El Cortecito</v>
      </c>
      <c r="E34" s="36" t="str">
        <f>IF(ISBLANK(Data!D34),"",Data!D34)</f>
        <v>CO2</v>
      </c>
      <c r="F34" s="36" t="str">
        <f>IF(ISBLANK(Data!E34),"",Data!E34)</f>
        <v>Fabiola Rodríguez</v>
      </c>
      <c r="G34" s="37">
        <f>IF(ISBLANK(Data!F34),"",Data!F34)</f>
        <v>4</v>
      </c>
      <c r="H34" s="37">
        <f>IF(ISBLANK(Data!G34),"",Data!G34)</f>
        <v>0</v>
      </c>
      <c r="I34" s="37">
        <f>IF(ISBLANK(Data!H34),"",Data!H34)</f>
        <v>0</v>
      </c>
      <c r="J34" s="37" t="str">
        <f>IF(ISBLANK(Data!I34),"",Data!I34)</f>
        <v/>
      </c>
      <c r="K34" s="22" t="str">
        <f>IF(ISBLANK(Data!N34),"",Data!N34)</f>
        <v xml:space="preserve">Microcerculus </v>
      </c>
      <c r="L34" s="22" t="str">
        <f>IF(ISBLANK(Data!O34),"",Data!O34)</f>
        <v>philomela</v>
      </c>
      <c r="M34" s="22"/>
      <c r="N34" s="37" t="str">
        <f>IF(ISBLANK(Data!P34),"",Data!P34)</f>
        <v>Heard</v>
      </c>
      <c r="O34" s="37" t="str">
        <f>IF(ISBLANK(Data!Q34),"",Data!Q34)</f>
        <v/>
      </c>
      <c r="P34" s="37" t="str">
        <f>IF(ISBLANK(Data!R34),"",Data!R34)</f>
        <v/>
      </c>
      <c r="Q34" s="37" t="str">
        <f>IF(ISBLANK(Data!S34),"",Data!S34)</f>
        <v/>
      </c>
    </row>
    <row r="35" spans="1:17" ht="30" x14ac:dyDescent="0.25">
      <c r="A35" s="23">
        <f t="shared" si="0"/>
        <v>2013</v>
      </c>
      <c r="B35" s="42">
        <f>IF(ISBLANK(Data!A35),"",Data!A35)</f>
        <v>41459</v>
      </c>
      <c r="C35" s="35" t="str">
        <f>IF(ISBLANK(Data!B35),"",Data!B35)</f>
        <v/>
      </c>
      <c r="D35" s="36" t="str">
        <f>IF(ISBLANK(Data!C35),"",Data!C35)</f>
        <v>El Cortecito</v>
      </c>
      <c r="E35" s="36" t="str">
        <f>IF(ISBLANK(Data!D35),"",Data!D35)</f>
        <v>CO2</v>
      </c>
      <c r="F35" s="36" t="str">
        <f>IF(ISBLANK(Data!E35),"",Data!E35)</f>
        <v>Fabiola Rodríguez</v>
      </c>
      <c r="G35" s="37">
        <f>IF(ISBLANK(Data!F35),"",Data!F35)</f>
        <v>4</v>
      </c>
      <c r="H35" s="37">
        <f>IF(ISBLANK(Data!G35),"",Data!G35)</f>
        <v>0</v>
      </c>
      <c r="I35" s="37">
        <f>IF(ISBLANK(Data!H35),"",Data!H35)</f>
        <v>0</v>
      </c>
      <c r="J35" s="37" t="str">
        <f>IF(ISBLANK(Data!I35),"",Data!I35)</f>
        <v/>
      </c>
      <c r="K35" s="22" t="str">
        <f>IF(ISBLANK(Data!N35),"",Data!N35)</f>
        <v xml:space="preserve">Pharomachrus </v>
      </c>
      <c r="L35" s="22" t="str">
        <f>IF(ISBLANK(Data!O35),"",Data!O35)</f>
        <v>mocinno</v>
      </c>
      <c r="M35" s="22"/>
      <c r="N35" s="37" t="str">
        <f>IF(ISBLANK(Data!P35),"",Data!P35)</f>
        <v>Heard</v>
      </c>
      <c r="O35" s="37" t="str">
        <f>IF(ISBLANK(Data!Q35),"",Data!Q35)</f>
        <v/>
      </c>
      <c r="P35" s="37" t="str">
        <f>IF(ISBLANK(Data!R35),"",Data!R35)</f>
        <v/>
      </c>
      <c r="Q35" s="37" t="str">
        <f>IF(ISBLANK(Data!S35),"",Data!S35)</f>
        <v/>
      </c>
    </row>
    <row r="36" spans="1:17" ht="30" x14ac:dyDescent="0.25">
      <c r="A36" s="23">
        <f t="shared" si="0"/>
        <v>2013</v>
      </c>
      <c r="B36" s="42">
        <f>IF(ISBLANK(Data!A36),"",Data!A36)</f>
        <v>41459</v>
      </c>
      <c r="C36" s="35" t="str">
        <f>IF(ISBLANK(Data!B36),"",Data!B36)</f>
        <v/>
      </c>
      <c r="D36" s="36" t="str">
        <f>IF(ISBLANK(Data!C36),"",Data!C36)</f>
        <v>El Cortecito</v>
      </c>
      <c r="E36" s="36" t="str">
        <f>IF(ISBLANK(Data!D36),"",Data!D36)</f>
        <v>CO2</v>
      </c>
      <c r="F36" s="36" t="str">
        <f>IF(ISBLANK(Data!E36),"",Data!E36)</f>
        <v>Fabiola Rodríguez</v>
      </c>
      <c r="G36" s="37">
        <f>IF(ISBLANK(Data!F36),"",Data!F36)</f>
        <v>4</v>
      </c>
      <c r="H36" s="37">
        <f>IF(ISBLANK(Data!G36),"",Data!G36)</f>
        <v>0</v>
      </c>
      <c r="I36" s="37">
        <f>IF(ISBLANK(Data!H36),"",Data!H36)</f>
        <v>0</v>
      </c>
      <c r="J36" s="37" t="str">
        <f>IF(ISBLANK(Data!I36),"",Data!I36)</f>
        <v/>
      </c>
      <c r="K36" s="22" t="str">
        <f>IF(ISBLANK(Data!N36),"",Data!N36)</f>
        <v xml:space="preserve">Trogon </v>
      </c>
      <c r="L36" s="22" t="str">
        <f>IF(ISBLANK(Data!O36),"",Data!O36)</f>
        <v>collaris</v>
      </c>
      <c r="M36" s="22"/>
      <c r="N36" s="37" t="str">
        <f>IF(ISBLANK(Data!P36),"",Data!P36)</f>
        <v>Heard</v>
      </c>
      <c r="O36" s="37" t="str">
        <f>IF(ISBLANK(Data!Q36),"",Data!Q36)</f>
        <v/>
      </c>
      <c r="P36" s="37" t="str">
        <f>IF(ISBLANK(Data!R36),"",Data!R36)</f>
        <v/>
      </c>
      <c r="Q36" s="37" t="str">
        <f>IF(ISBLANK(Data!S36),"",Data!S36)</f>
        <v/>
      </c>
    </row>
    <row r="37" spans="1:17" ht="30" x14ac:dyDescent="0.25">
      <c r="A37" s="23">
        <f t="shared" si="0"/>
        <v>2013</v>
      </c>
      <c r="B37" s="42">
        <f>IF(ISBLANK(Data!A37),"",Data!A37)</f>
        <v>41459</v>
      </c>
      <c r="C37" s="35" t="str">
        <f>IF(ISBLANK(Data!B37),"",Data!B37)</f>
        <v/>
      </c>
      <c r="D37" s="36" t="str">
        <f>IF(ISBLANK(Data!C37),"",Data!C37)</f>
        <v>El Cortecito</v>
      </c>
      <c r="E37" s="36" t="str">
        <f>IF(ISBLANK(Data!D37),"",Data!D37)</f>
        <v>CO2</v>
      </c>
      <c r="F37" s="36" t="str">
        <f>IF(ISBLANK(Data!E37),"",Data!E37)</f>
        <v>Fabiola Rodríguez</v>
      </c>
      <c r="G37" s="37">
        <f>IF(ISBLANK(Data!F37),"",Data!F37)</f>
        <v>4</v>
      </c>
      <c r="H37" s="37">
        <f>IF(ISBLANK(Data!G37),"",Data!G37)</f>
        <v>0</v>
      </c>
      <c r="I37" s="37">
        <f>IF(ISBLANK(Data!H37),"",Data!H37)</f>
        <v>0</v>
      </c>
      <c r="J37" s="37" t="str">
        <f>IF(ISBLANK(Data!I37),"",Data!I37)</f>
        <v/>
      </c>
      <c r="K37" s="22" t="str">
        <f>IF(ISBLANK(Data!N37),"",Data!N37)</f>
        <v xml:space="preserve">Ramphastos </v>
      </c>
      <c r="L37" s="22" t="str">
        <f>IF(ISBLANK(Data!O37),"",Data!O37)</f>
        <v>sulfuratus</v>
      </c>
      <c r="M37" s="22"/>
      <c r="N37" s="37" t="str">
        <f>IF(ISBLANK(Data!P37),"",Data!P37)</f>
        <v>Heard</v>
      </c>
      <c r="O37" s="37" t="str">
        <f>IF(ISBLANK(Data!Q37),"",Data!Q37)</f>
        <v/>
      </c>
      <c r="P37" s="37" t="str">
        <f>IF(ISBLANK(Data!R37),"",Data!R37)</f>
        <v/>
      </c>
      <c r="Q37" s="37" t="str">
        <f>IF(ISBLANK(Data!S37),"",Data!S37)</f>
        <v/>
      </c>
    </row>
    <row r="38" spans="1:17" ht="30" x14ac:dyDescent="0.25">
      <c r="A38" s="23">
        <f t="shared" si="0"/>
        <v>2013</v>
      </c>
      <c r="B38" s="42">
        <f>IF(ISBLANK(Data!A38),"",Data!A38)</f>
        <v>41459</v>
      </c>
      <c r="C38" s="35" t="str">
        <f>IF(ISBLANK(Data!B38),"",Data!B38)</f>
        <v/>
      </c>
      <c r="D38" s="36" t="str">
        <f>IF(ISBLANK(Data!C38),"",Data!C38)</f>
        <v>El Cortecito</v>
      </c>
      <c r="E38" s="36" t="str">
        <f>IF(ISBLANK(Data!D38),"",Data!D38)</f>
        <v>CO2</v>
      </c>
      <c r="F38" s="36" t="str">
        <f>IF(ISBLANK(Data!E38),"",Data!E38)</f>
        <v>Fabiola Rodríguez</v>
      </c>
      <c r="G38" s="37">
        <f>IF(ISBLANK(Data!F38),"",Data!F38)</f>
        <v>4</v>
      </c>
      <c r="H38" s="37">
        <f>IF(ISBLANK(Data!G38),"",Data!G38)</f>
        <v>0</v>
      </c>
      <c r="I38" s="37">
        <f>IF(ISBLANK(Data!H38),"",Data!H38)</f>
        <v>0</v>
      </c>
      <c r="J38" s="37" t="str">
        <f>IF(ISBLANK(Data!I38),"",Data!I38)</f>
        <v/>
      </c>
      <c r="K38" s="22" t="str">
        <f>IF(ISBLANK(Data!N38),"",Data!N38)</f>
        <v xml:space="preserve">Aulacorhynchus </v>
      </c>
      <c r="L38" s="22" t="str">
        <f>IF(ISBLANK(Data!O38),"",Data!O38)</f>
        <v>prasinus</v>
      </c>
      <c r="M38" s="22"/>
      <c r="N38" s="37" t="str">
        <f>IF(ISBLANK(Data!P38),"",Data!P38)</f>
        <v>Heard</v>
      </c>
      <c r="O38" s="37" t="str">
        <f>IF(ISBLANK(Data!Q38),"",Data!Q38)</f>
        <v/>
      </c>
      <c r="P38" s="37" t="str">
        <f>IF(ISBLANK(Data!R38),"",Data!R38)</f>
        <v/>
      </c>
      <c r="Q38" s="37" t="str">
        <f>IF(ISBLANK(Data!S38),"",Data!S38)</f>
        <v/>
      </c>
    </row>
    <row r="39" spans="1:17" ht="30" x14ac:dyDescent="0.25">
      <c r="A39" s="23">
        <f t="shared" si="0"/>
        <v>2013</v>
      </c>
      <c r="B39" s="42">
        <f>IF(ISBLANK(Data!A39),"",Data!A39)</f>
        <v>41459</v>
      </c>
      <c r="C39" s="35" t="str">
        <f>IF(ISBLANK(Data!B39),"",Data!B39)</f>
        <v/>
      </c>
      <c r="D39" s="36" t="str">
        <f>IF(ISBLANK(Data!C39),"",Data!C39)</f>
        <v>El Cortecito</v>
      </c>
      <c r="E39" s="36" t="str">
        <f>IF(ISBLANK(Data!D39),"",Data!D39)</f>
        <v>CO2</v>
      </c>
      <c r="F39" s="36" t="str">
        <f>IF(ISBLANK(Data!E39),"",Data!E39)</f>
        <v>Fabiola Rodríguez</v>
      </c>
      <c r="G39" s="37">
        <f>IF(ISBLANK(Data!F39),"",Data!F39)</f>
        <v>4</v>
      </c>
      <c r="H39" s="37">
        <f>IF(ISBLANK(Data!G39),"",Data!G39)</f>
        <v>0</v>
      </c>
      <c r="I39" s="37">
        <f>IF(ISBLANK(Data!H39),"",Data!H39)</f>
        <v>0</v>
      </c>
      <c r="J39" s="37" t="str">
        <f>IF(ISBLANK(Data!I39),"",Data!I39)</f>
        <v/>
      </c>
      <c r="K39" s="22" t="str">
        <f>IF(ISBLANK(Data!N39),"",Data!N39)</f>
        <v xml:space="preserve">Xiphorhynchus </v>
      </c>
      <c r="L39" s="22" t="str">
        <f>IF(ISBLANK(Data!O39),"",Data!O39)</f>
        <v>erythropygius</v>
      </c>
      <c r="M39" s="22"/>
      <c r="N39" s="37" t="str">
        <f>IF(ISBLANK(Data!P39),"",Data!P39)</f>
        <v>Heard</v>
      </c>
      <c r="O39" s="37" t="str">
        <f>IF(ISBLANK(Data!Q39),"",Data!Q39)</f>
        <v/>
      </c>
      <c r="P39" s="37" t="str">
        <f>IF(ISBLANK(Data!R39),"",Data!R39)</f>
        <v/>
      </c>
      <c r="Q39" s="37" t="str">
        <f>IF(ISBLANK(Data!S39),"",Data!S39)</f>
        <v/>
      </c>
    </row>
    <row r="40" spans="1:17" ht="30" x14ac:dyDescent="0.25">
      <c r="A40" s="23">
        <f t="shared" si="0"/>
        <v>2013</v>
      </c>
      <c r="B40" s="42">
        <f>IF(ISBLANK(Data!A40),"",Data!A40)</f>
        <v>41459</v>
      </c>
      <c r="C40" s="35" t="str">
        <f>IF(ISBLANK(Data!B40),"",Data!B40)</f>
        <v/>
      </c>
      <c r="D40" s="36" t="str">
        <f>IF(ISBLANK(Data!C40),"",Data!C40)</f>
        <v>El Cortecito</v>
      </c>
      <c r="E40" s="36" t="str">
        <f>IF(ISBLANK(Data!D40),"",Data!D40)</f>
        <v>CO2</v>
      </c>
      <c r="F40" s="36" t="str">
        <f>IF(ISBLANK(Data!E40),"",Data!E40)</f>
        <v>Fabiola Rodríguez</v>
      </c>
      <c r="G40" s="37">
        <f>IF(ISBLANK(Data!F40),"",Data!F40)</f>
        <v>4</v>
      </c>
      <c r="H40" s="37">
        <f>IF(ISBLANK(Data!G40),"",Data!G40)</f>
        <v>0</v>
      </c>
      <c r="I40" s="37">
        <f>IF(ISBLANK(Data!H40),"",Data!H40)</f>
        <v>0</v>
      </c>
      <c r="J40" s="37" t="str">
        <f>IF(ISBLANK(Data!I40),"",Data!I40)</f>
        <v/>
      </c>
      <c r="K40" s="22" t="str">
        <f>IF(ISBLANK(Data!N40),"",Data!N40)</f>
        <v xml:space="preserve">Sittasomus </v>
      </c>
      <c r="L40" s="22" t="str">
        <f>IF(ISBLANK(Data!O40),"",Data!O40)</f>
        <v>griseicapillus</v>
      </c>
      <c r="M40" s="22"/>
      <c r="N40" s="37" t="str">
        <f>IF(ISBLANK(Data!P40),"",Data!P40)</f>
        <v>Heard</v>
      </c>
      <c r="O40" s="37" t="str">
        <f>IF(ISBLANK(Data!Q40),"",Data!Q40)</f>
        <v/>
      </c>
      <c r="P40" s="37" t="str">
        <f>IF(ISBLANK(Data!R40),"",Data!R40)</f>
        <v/>
      </c>
      <c r="Q40" s="37" t="str">
        <f>IF(ISBLANK(Data!S40),"",Data!S40)</f>
        <v/>
      </c>
    </row>
    <row r="41" spans="1:17" ht="30" x14ac:dyDescent="0.25">
      <c r="A41" s="23">
        <f t="shared" si="0"/>
        <v>2013</v>
      </c>
      <c r="B41" s="42">
        <f>IF(ISBLANK(Data!A41),"",Data!A41)</f>
        <v>41459</v>
      </c>
      <c r="C41" s="35" t="str">
        <f>IF(ISBLANK(Data!B41),"",Data!B41)</f>
        <v/>
      </c>
      <c r="D41" s="36" t="str">
        <f>IF(ISBLANK(Data!C41),"",Data!C41)</f>
        <v>El Cortecito</v>
      </c>
      <c r="E41" s="36" t="str">
        <f>IF(ISBLANK(Data!D41),"",Data!D41)</f>
        <v>CO2</v>
      </c>
      <c r="F41" s="36" t="str">
        <f>IF(ISBLANK(Data!E41),"",Data!E41)</f>
        <v>Fabiola Rodríguez</v>
      </c>
      <c r="G41" s="37">
        <f>IF(ISBLANK(Data!F41),"",Data!F41)</f>
        <v>4</v>
      </c>
      <c r="H41" s="37">
        <f>IF(ISBLANK(Data!G41),"",Data!G41)</f>
        <v>0</v>
      </c>
      <c r="I41" s="37">
        <f>IF(ISBLANK(Data!H41),"",Data!H41)</f>
        <v>0</v>
      </c>
      <c r="J41" s="37" t="str">
        <f>IF(ISBLANK(Data!I41),"",Data!I41)</f>
        <v/>
      </c>
      <c r="K41" s="22" t="str">
        <f>IF(ISBLANK(Data!N41),"",Data!N41)</f>
        <v xml:space="preserve">Anabacerthia </v>
      </c>
      <c r="L41" s="22" t="str">
        <f>IF(ISBLANK(Data!O41),"",Data!O41)</f>
        <v>variegaticeps</v>
      </c>
      <c r="M41" s="22"/>
      <c r="N41" s="37" t="str">
        <f>IF(ISBLANK(Data!P41),"",Data!P41)</f>
        <v>Heard</v>
      </c>
      <c r="O41" s="37" t="str">
        <f>IF(ISBLANK(Data!Q41),"",Data!Q41)</f>
        <v/>
      </c>
      <c r="P41" s="37" t="str">
        <f>IF(ISBLANK(Data!R41),"",Data!R41)</f>
        <v/>
      </c>
      <c r="Q41" s="37" t="str">
        <f>IF(ISBLANK(Data!S41),"",Data!S41)</f>
        <v/>
      </c>
    </row>
    <row r="42" spans="1:17" ht="30" x14ac:dyDescent="0.25">
      <c r="A42" s="23">
        <f t="shared" si="0"/>
        <v>2013</v>
      </c>
      <c r="B42" s="42">
        <f>IF(ISBLANK(Data!A42),"",Data!A42)</f>
        <v>41459</v>
      </c>
      <c r="C42" s="35" t="str">
        <f>IF(ISBLANK(Data!B42),"",Data!B42)</f>
        <v/>
      </c>
      <c r="D42" s="36" t="str">
        <f>IF(ISBLANK(Data!C42),"",Data!C42)</f>
        <v>El Cortecito</v>
      </c>
      <c r="E42" s="36" t="str">
        <f>IF(ISBLANK(Data!D42),"",Data!D42)</f>
        <v>CO2</v>
      </c>
      <c r="F42" s="36" t="str">
        <f>IF(ISBLANK(Data!E42),"",Data!E42)</f>
        <v>Fabiola Rodríguez</v>
      </c>
      <c r="G42" s="37">
        <f>IF(ISBLANK(Data!F42),"",Data!F42)</f>
        <v>4</v>
      </c>
      <c r="H42" s="37">
        <f>IF(ISBLANK(Data!G42),"",Data!G42)</f>
        <v>0</v>
      </c>
      <c r="I42" s="37">
        <f>IF(ISBLANK(Data!H42),"",Data!H42)</f>
        <v>0</v>
      </c>
      <c r="J42" s="37" t="str">
        <f>IF(ISBLANK(Data!I42),"",Data!I42)</f>
        <v/>
      </c>
      <c r="K42" s="22" t="str">
        <f>IF(ISBLANK(Data!N42),"",Data!N42)</f>
        <v xml:space="preserve">Empidonax </v>
      </c>
      <c r="L42" s="22" t="str">
        <f>IF(ISBLANK(Data!O42),"",Data!O42)</f>
        <v>flavescens</v>
      </c>
      <c r="M42" s="22"/>
      <c r="N42" s="37" t="str">
        <f>IF(ISBLANK(Data!P42),"",Data!P42)</f>
        <v>Heard</v>
      </c>
      <c r="O42" s="37" t="str">
        <f>IF(ISBLANK(Data!Q42),"",Data!Q42)</f>
        <v/>
      </c>
      <c r="P42" s="37" t="str">
        <f>IF(ISBLANK(Data!R42),"",Data!R42)</f>
        <v/>
      </c>
      <c r="Q42" s="37" t="str">
        <f>IF(ISBLANK(Data!S42),"",Data!S42)</f>
        <v/>
      </c>
    </row>
    <row r="43" spans="1:17" ht="30" x14ac:dyDescent="0.25">
      <c r="A43" s="23">
        <f t="shared" si="0"/>
        <v>2013</v>
      </c>
      <c r="B43" s="42">
        <f>IF(ISBLANK(Data!A43),"",Data!A43)</f>
        <v>41459</v>
      </c>
      <c r="C43" s="35" t="str">
        <f>IF(ISBLANK(Data!B43),"",Data!B43)</f>
        <v/>
      </c>
      <c r="D43" s="36" t="str">
        <f>IF(ISBLANK(Data!C43),"",Data!C43)</f>
        <v>El Cortecito</v>
      </c>
      <c r="E43" s="36" t="str">
        <f>IF(ISBLANK(Data!D43),"",Data!D43)</f>
        <v>CO2</v>
      </c>
      <c r="F43" s="36" t="str">
        <f>IF(ISBLANK(Data!E43),"",Data!E43)</f>
        <v>Fabiola Rodríguez</v>
      </c>
      <c r="G43" s="37">
        <f>IF(ISBLANK(Data!F43),"",Data!F43)</f>
        <v>4</v>
      </c>
      <c r="H43" s="37">
        <f>IF(ISBLANK(Data!G43),"",Data!G43)</f>
        <v>0</v>
      </c>
      <c r="I43" s="37">
        <f>IF(ISBLANK(Data!H43),"",Data!H43)</f>
        <v>0</v>
      </c>
      <c r="J43" s="37" t="str">
        <f>IF(ISBLANK(Data!I43),"",Data!I43)</f>
        <v/>
      </c>
      <c r="K43" s="22" t="str">
        <f>IF(ISBLANK(Data!N43),"",Data!N43)</f>
        <v xml:space="preserve">Attila </v>
      </c>
      <c r="L43" s="22" t="str">
        <f>IF(ISBLANK(Data!O43),"",Data!O43)</f>
        <v>spadiceus</v>
      </c>
      <c r="M43" s="22"/>
      <c r="N43" s="37" t="str">
        <f>IF(ISBLANK(Data!P43),"",Data!P43)</f>
        <v>Heard</v>
      </c>
      <c r="O43" s="37" t="str">
        <f>IF(ISBLANK(Data!Q43),"",Data!Q43)</f>
        <v/>
      </c>
      <c r="P43" s="37" t="str">
        <f>IF(ISBLANK(Data!R43),"",Data!R43)</f>
        <v/>
      </c>
      <c r="Q43" s="37" t="str">
        <f>IF(ISBLANK(Data!S43),"",Data!S43)</f>
        <v/>
      </c>
    </row>
    <row r="44" spans="1:17" ht="30" x14ac:dyDescent="0.25">
      <c r="A44" s="23">
        <f t="shared" si="0"/>
        <v>2013</v>
      </c>
      <c r="B44" s="42">
        <f>IF(ISBLANK(Data!A44),"",Data!A44)</f>
        <v>41459</v>
      </c>
      <c r="C44" s="35" t="str">
        <f>IF(ISBLANK(Data!B44),"",Data!B44)</f>
        <v/>
      </c>
      <c r="D44" s="36" t="str">
        <f>IF(ISBLANK(Data!C44),"",Data!C44)</f>
        <v>El Cortecito</v>
      </c>
      <c r="E44" s="36" t="str">
        <f>IF(ISBLANK(Data!D44),"",Data!D44)</f>
        <v>CO2</v>
      </c>
      <c r="F44" s="36" t="str">
        <f>IF(ISBLANK(Data!E44),"",Data!E44)</f>
        <v>Fabiola Rodríguez</v>
      </c>
      <c r="G44" s="37">
        <f>IF(ISBLANK(Data!F44),"",Data!F44)</f>
        <v>4</v>
      </c>
      <c r="H44" s="37">
        <f>IF(ISBLANK(Data!G44),"",Data!G44)</f>
        <v>0</v>
      </c>
      <c r="I44" s="37">
        <f>IF(ISBLANK(Data!H44),"",Data!H44)</f>
        <v>0</v>
      </c>
      <c r="J44" s="37" t="str">
        <f>IF(ISBLANK(Data!I44),"",Data!I44)</f>
        <v/>
      </c>
      <c r="K44" s="22" t="str">
        <f>IF(ISBLANK(Data!N44),"",Data!N44)</f>
        <v xml:space="preserve">Henicorhina </v>
      </c>
      <c r="L44" s="22" t="str">
        <f>IF(ISBLANK(Data!O44),"",Data!O44)</f>
        <v>leucophrys</v>
      </c>
      <c r="M44" s="22"/>
      <c r="N44" s="37" t="str">
        <f>IF(ISBLANK(Data!P44),"",Data!P44)</f>
        <v>Heard</v>
      </c>
      <c r="O44" s="37" t="str">
        <f>IF(ISBLANK(Data!Q44),"",Data!Q44)</f>
        <v/>
      </c>
      <c r="P44" s="37" t="str">
        <f>IF(ISBLANK(Data!R44),"",Data!R44)</f>
        <v/>
      </c>
      <c r="Q44" s="37" t="str">
        <f>IF(ISBLANK(Data!S44),"",Data!S44)</f>
        <v/>
      </c>
    </row>
    <row r="45" spans="1:17" ht="30" x14ac:dyDescent="0.25">
      <c r="A45" s="23">
        <f t="shared" si="0"/>
        <v>2013</v>
      </c>
      <c r="B45" s="42">
        <f>IF(ISBLANK(Data!A45),"",Data!A45)</f>
        <v>41459</v>
      </c>
      <c r="C45" s="35" t="str">
        <f>IF(ISBLANK(Data!B45),"",Data!B45)</f>
        <v/>
      </c>
      <c r="D45" s="36" t="str">
        <f>IF(ISBLANK(Data!C45),"",Data!C45)</f>
        <v>El Cortecito</v>
      </c>
      <c r="E45" s="36" t="str">
        <f>IF(ISBLANK(Data!D45),"",Data!D45)</f>
        <v>CO2</v>
      </c>
      <c r="F45" s="36" t="str">
        <f>IF(ISBLANK(Data!E45),"",Data!E45)</f>
        <v>Fabiola Rodríguez</v>
      </c>
      <c r="G45" s="37">
        <f>IF(ISBLANK(Data!F45),"",Data!F45)</f>
        <v>4</v>
      </c>
      <c r="H45" s="37">
        <f>IF(ISBLANK(Data!G45),"",Data!G45)</f>
        <v>0</v>
      </c>
      <c r="I45" s="37">
        <f>IF(ISBLANK(Data!H45),"",Data!H45)</f>
        <v>0</v>
      </c>
      <c r="J45" s="37" t="str">
        <f>IF(ISBLANK(Data!I45),"",Data!I45)</f>
        <v/>
      </c>
      <c r="K45" s="22" t="str">
        <f>IF(ISBLANK(Data!N45),"",Data!N45)</f>
        <v xml:space="preserve">Myadestes </v>
      </c>
      <c r="L45" s="22" t="str">
        <f>IF(ISBLANK(Data!O45),"",Data!O45)</f>
        <v>unicolor</v>
      </c>
      <c r="M45" s="22"/>
      <c r="N45" s="37" t="str">
        <f>IF(ISBLANK(Data!P45),"",Data!P45)</f>
        <v>Heard</v>
      </c>
      <c r="O45" s="37" t="str">
        <f>IF(ISBLANK(Data!Q45),"",Data!Q45)</f>
        <v/>
      </c>
      <c r="P45" s="37" t="str">
        <f>IF(ISBLANK(Data!R45),"",Data!R45)</f>
        <v/>
      </c>
      <c r="Q45" s="37" t="str">
        <f>IF(ISBLANK(Data!S45),"",Data!S45)</f>
        <v/>
      </c>
    </row>
    <row r="46" spans="1:17" ht="30" x14ac:dyDescent="0.25">
      <c r="A46" s="23">
        <f t="shared" si="0"/>
        <v>2013</v>
      </c>
      <c r="B46" s="42">
        <f>IF(ISBLANK(Data!A46),"",Data!A46)</f>
        <v>41459</v>
      </c>
      <c r="C46" s="35" t="str">
        <f>IF(ISBLANK(Data!B46),"",Data!B46)</f>
        <v/>
      </c>
      <c r="D46" s="36" t="str">
        <f>IF(ISBLANK(Data!C46),"",Data!C46)</f>
        <v>El Cortecito</v>
      </c>
      <c r="E46" s="36" t="str">
        <f>IF(ISBLANK(Data!D46),"",Data!D46)</f>
        <v>CO2</v>
      </c>
      <c r="F46" s="36" t="str">
        <f>IF(ISBLANK(Data!E46),"",Data!E46)</f>
        <v>Fabiola Rodríguez</v>
      </c>
      <c r="G46" s="37">
        <f>IF(ISBLANK(Data!F46),"",Data!F46)</f>
        <v>4</v>
      </c>
      <c r="H46" s="37">
        <f>IF(ISBLANK(Data!G46),"",Data!G46)</f>
        <v>0</v>
      </c>
      <c r="I46" s="37">
        <f>IF(ISBLANK(Data!H46),"",Data!H46)</f>
        <v>0</v>
      </c>
      <c r="J46" s="37" t="str">
        <f>IF(ISBLANK(Data!I46),"",Data!I46)</f>
        <v/>
      </c>
      <c r="K46" s="22" t="str">
        <f>IF(ISBLANK(Data!N46),"",Data!N46)</f>
        <v xml:space="preserve">Myioborus </v>
      </c>
      <c r="L46" s="22" t="str">
        <f>IF(ISBLANK(Data!O46),"",Data!O46)</f>
        <v>miniatus</v>
      </c>
      <c r="M46" s="22"/>
      <c r="N46" s="37" t="str">
        <f>IF(ISBLANK(Data!P46),"",Data!P46)</f>
        <v>Heard</v>
      </c>
      <c r="O46" s="37" t="str">
        <f>IF(ISBLANK(Data!Q46),"",Data!Q46)</f>
        <v/>
      </c>
      <c r="P46" s="37" t="str">
        <f>IF(ISBLANK(Data!R46),"",Data!R46)</f>
        <v/>
      </c>
      <c r="Q46" s="37" t="str">
        <f>IF(ISBLANK(Data!S46),"",Data!S46)</f>
        <v/>
      </c>
    </row>
    <row r="47" spans="1:17" ht="30" x14ac:dyDescent="0.25">
      <c r="A47" s="23">
        <f t="shared" si="0"/>
        <v>2013</v>
      </c>
      <c r="B47" s="42">
        <f>IF(ISBLANK(Data!A47),"",Data!A47)</f>
        <v>41459</v>
      </c>
      <c r="C47" s="35" t="str">
        <f>IF(ISBLANK(Data!B47),"",Data!B47)</f>
        <v/>
      </c>
      <c r="D47" s="36" t="str">
        <f>IF(ISBLANK(Data!C47),"",Data!C47)</f>
        <v>El Cortecito</v>
      </c>
      <c r="E47" s="36" t="str">
        <f>IF(ISBLANK(Data!D47),"",Data!D47)</f>
        <v>CO2</v>
      </c>
      <c r="F47" s="36" t="str">
        <f>IF(ISBLANK(Data!E47),"",Data!E47)</f>
        <v>Fabiola Rodríguez</v>
      </c>
      <c r="G47" s="37">
        <f>IF(ISBLANK(Data!F47),"",Data!F47)</f>
        <v>4</v>
      </c>
      <c r="H47" s="37">
        <f>IF(ISBLANK(Data!G47),"",Data!G47)</f>
        <v>0</v>
      </c>
      <c r="I47" s="37">
        <f>IF(ISBLANK(Data!H47),"",Data!H47)</f>
        <v>0</v>
      </c>
      <c r="J47" s="37" t="str">
        <f>IF(ISBLANK(Data!I47),"",Data!I47)</f>
        <v/>
      </c>
      <c r="K47" s="22" t="str">
        <f>IF(ISBLANK(Data!N47),"",Data!N47)</f>
        <v xml:space="preserve">Chlorophonia </v>
      </c>
      <c r="L47" s="22" t="str">
        <f>IF(ISBLANK(Data!O47),"",Data!O47)</f>
        <v>occipitalis</v>
      </c>
      <c r="M47" s="22"/>
      <c r="N47" s="37" t="str">
        <f>IF(ISBLANK(Data!P47),"",Data!P47)</f>
        <v>Heard</v>
      </c>
      <c r="O47" s="37" t="str">
        <f>IF(ISBLANK(Data!Q47),"",Data!Q47)</f>
        <v/>
      </c>
      <c r="P47" s="37" t="str">
        <f>IF(ISBLANK(Data!R47),"",Data!R47)</f>
        <v/>
      </c>
      <c r="Q47" s="37" t="str">
        <f>IF(ISBLANK(Data!S47),"",Data!S47)</f>
        <v/>
      </c>
    </row>
    <row r="48" spans="1:17" ht="30" x14ac:dyDescent="0.25">
      <c r="A48" s="23">
        <f t="shared" si="0"/>
        <v>2013</v>
      </c>
      <c r="B48" s="42">
        <f>IF(ISBLANK(Data!A48),"",Data!A48)</f>
        <v>41459</v>
      </c>
      <c r="C48" s="35" t="str">
        <f>IF(ISBLANK(Data!B48),"",Data!B48)</f>
        <v/>
      </c>
      <c r="D48" s="36" t="str">
        <f>IF(ISBLANK(Data!C48),"",Data!C48)</f>
        <v>El Cortecito</v>
      </c>
      <c r="E48" s="36" t="str">
        <f>IF(ISBLANK(Data!D48),"",Data!D48)</f>
        <v>CO2</v>
      </c>
      <c r="F48" s="36" t="str">
        <f>IF(ISBLANK(Data!E48),"",Data!E48)</f>
        <v>Fabiola Rodríguez</v>
      </c>
      <c r="G48" s="37">
        <f>IF(ISBLANK(Data!F48),"",Data!F48)</f>
        <v>4</v>
      </c>
      <c r="H48" s="37">
        <f>IF(ISBLANK(Data!G48),"",Data!G48)</f>
        <v>0</v>
      </c>
      <c r="I48" s="37">
        <f>IF(ISBLANK(Data!H48),"",Data!H48)</f>
        <v>0</v>
      </c>
      <c r="J48" s="37" t="str">
        <f>IF(ISBLANK(Data!I48),"",Data!I48)</f>
        <v/>
      </c>
      <c r="K48" s="22" t="str">
        <f>IF(ISBLANK(Data!N48),"",Data!N48)</f>
        <v xml:space="preserve">Chlorospingus </v>
      </c>
      <c r="L48" s="22" t="str">
        <f>IF(ISBLANK(Data!O48),"",Data!O48)</f>
        <v>ophthalmicus</v>
      </c>
      <c r="M48" s="22"/>
      <c r="N48" s="37" t="str">
        <f>IF(ISBLANK(Data!P48),"",Data!P48)</f>
        <v>Heard</v>
      </c>
      <c r="O48" s="37" t="str">
        <f>IF(ISBLANK(Data!Q48),"",Data!Q48)</f>
        <v/>
      </c>
      <c r="P48" s="37" t="str">
        <f>IF(ISBLANK(Data!R48),"",Data!R48)</f>
        <v/>
      </c>
      <c r="Q48" s="37" t="str">
        <f>IF(ISBLANK(Data!S48),"",Data!S48)</f>
        <v/>
      </c>
    </row>
    <row r="49" spans="1:17" ht="30" x14ac:dyDescent="0.25">
      <c r="A49" s="23">
        <f t="shared" si="0"/>
        <v>2013</v>
      </c>
      <c r="B49" s="42">
        <f>IF(ISBLANK(Data!A49),"",Data!A49)</f>
        <v>41459</v>
      </c>
      <c r="C49" s="35" t="str">
        <f>IF(ISBLANK(Data!B49),"",Data!B49)</f>
        <v/>
      </c>
      <c r="D49" s="36" t="str">
        <f>IF(ISBLANK(Data!C49),"",Data!C49)</f>
        <v>El Cortecito</v>
      </c>
      <c r="E49" s="36" t="str">
        <f>IF(ISBLANK(Data!D49),"",Data!D49)</f>
        <v>CO2</v>
      </c>
      <c r="F49" s="36" t="str">
        <f>IF(ISBLANK(Data!E49),"",Data!E49)</f>
        <v>Fabiola Rodríguez</v>
      </c>
      <c r="G49" s="37">
        <f>IF(ISBLANK(Data!F49),"",Data!F49)</f>
        <v>4</v>
      </c>
      <c r="H49" s="37">
        <f>IF(ISBLANK(Data!G49),"",Data!G49)</f>
        <v>0</v>
      </c>
      <c r="I49" s="37">
        <f>IF(ISBLANK(Data!H49),"",Data!H49)</f>
        <v>0</v>
      </c>
      <c r="J49" s="37" t="str">
        <f>IF(ISBLANK(Data!I49),"",Data!I49)</f>
        <v/>
      </c>
      <c r="K49" s="22" t="str">
        <f>IF(ISBLANK(Data!N49),"",Data!N49)</f>
        <v xml:space="preserve">Piranga </v>
      </c>
      <c r="L49" s="22" t="str">
        <f>IF(ISBLANK(Data!O49),"",Data!O49)</f>
        <v>bidentata</v>
      </c>
      <c r="M49" s="22"/>
      <c r="N49" s="37" t="str">
        <f>IF(ISBLANK(Data!P49),"",Data!P49)</f>
        <v>Heard</v>
      </c>
      <c r="O49" s="37" t="str">
        <f>IF(ISBLANK(Data!Q49),"",Data!Q49)</f>
        <v/>
      </c>
      <c r="P49" s="37" t="str">
        <f>IF(ISBLANK(Data!R49),"",Data!R49)</f>
        <v/>
      </c>
      <c r="Q49" s="37" t="str">
        <f>IF(ISBLANK(Data!S49),"",Data!S49)</f>
        <v/>
      </c>
    </row>
    <row r="50" spans="1:17" ht="30" x14ac:dyDescent="0.25">
      <c r="A50" s="23">
        <f t="shared" si="0"/>
        <v>2013</v>
      </c>
      <c r="B50" s="42">
        <f>IF(ISBLANK(Data!A50),"",Data!A50)</f>
        <v>41459</v>
      </c>
      <c r="C50" s="35" t="str">
        <f>IF(ISBLANK(Data!B50),"",Data!B50)</f>
        <v/>
      </c>
      <c r="D50" s="36" t="str">
        <f>IF(ISBLANK(Data!C50),"",Data!C50)</f>
        <v>El Cortecito</v>
      </c>
      <c r="E50" s="36" t="str">
        <f>IF(ISBLANK(Data!D50),"",Data!D50)</f>
        <v>CO2</v>
      </c>
      <c r="F50" s="36" t="str">
        <f>IF(ISBLANK(Data!E50),"",Data!E50)</f>
        <v>Fabiola Rodríguez</v>
      </c>
      <c r="G50" s="37">
        <f>IF(ISBLANK(Data!F50),"",Data!F50)</f>
        <v>4</v>
      </c>
      <c r="H50" s="37">
        <f>IF(ISBLANK(Data!G50),"",Data!G50)</f>
        <v>0</v>
      </c>
      <c r="I50" s="37">
        <f>IF(ISBLANK(Data!H50),"",Data!H50)</f>
        <v>0</v>
      </c>
      <c r="J50" s="37" t="str">
        <f>IF(ISBLANK(Data!I50),"",Data!I50)</f>
        <v/>
      </c>
      <c r="K50" s="22" t="str">
        <f>IF(ISBLANK(Data!N50),"",Data!N50)</f>
        <v xml:space="preserve">Arremon </v>
      </c>
      <c r="L50" s="22" t="str">
        <f>IF(ISBLANK(Data!O50),"",Data!O50)</f>
        <v>brunneinucha</v>
      </c>
      <c r="M50" s="22"/>
      <c r="N50" s="37" t="str">
        <f>IF(ISBLANK(Data!P50),"",Data!P50)</f>
        <v>Heard</v>
      </c>
      <c r="O50" s="37" t="str">
        <f>IF(ISBLANK(Data!Q50),"",Data!Q50)</f>
        <v/>
      </c>
      <c r="P50" s="37" t="str">
        <f>IF(ISBLANK(Data!R50),"",Data!R50)</f>
        <v/>
      </c>
      <c r="Q50" s="37" t="str">
        <f>IF(ISBLANK(Data!S50),"",Data!S50)</f>
        <v/>
      </c>
    </row>
    <row r="51" spans="1:17" ht="30" x14ac:dyDescent="0.25">
      <c r="A51" s="23">
        <f t="shared" si="0"/>
        <v>2013</v>
      </c>
      <c r="B51" s="42">
        <f>IF(ISBLANK(Data!A51),"",Data!A51)</f>
        <v>41460</v>
      </c>
      <c r="C51" s="35" t="str">
        <f>IF(ISBLANK(Data!B51),"",Data!B51)</f>
        <v/>
      </c>
      <c r="D51" s="36" t="str">
        <f>IF(ISBLANK(Data!C51),"",Data!C51)</f>
        <v>El Cortecito</v>
      </c>
      <c r="E51" s="36" t="str">
        <f>IF(ISBLANK(Data!D51),"",Data!D51)</f>
        <v>CO1</v>
      </c>
      <c r="F51" s="36" t="str">
        <f>IF(ISBLANK(Data!E51),"",Data!E51)</f>
        <v>Fabiola Rodríguez</v>
      </c>
      <c r="G51" s="37">
        <f>IF(ISBLANK(Data!F51),"",Data!F51)</f>
        <v>2</v>
      </c>
      <c r="H51" s="37">
        <f>IF(ISBLANK(Data!G51),"",Data!G51)</f>
        <v>0</v>
      </c>
      <c r="I51" s="37">
        <f>IF(ISBLANK(Data!H51),"",Data!H51)</f>
        <v>0</v>
      </c>
      <c r="J51" s="37" t="str">
        <f>IF(ISBLANK(Data!I51),"",Data!I51)</f>
        <v/>
      </c>
      <c r="K51" s="22" t="str">
        <f>IF(ISBLANK(Data!N51),"",Data!N51)</f>
        <v xml:space="preserve">Lophornis </v>
      </c>
      <c r="L51" s="22" t="str">
        <f>IF(ISBLANK(Data!O51),"",Data!O51)</f>
        <v>helenae</v>
      </c>
      <c r="M51" s="22"/>
      <c r="N51" s="37" t="str">
        <f>IF(ISBLANK(Data!P51),"",Data!P51)</f>
        <v>Seen</v>
      </c>
      <c r="O51" s="37" t="str">
        <f>IF(ISBLANK(Data!Q51),"",Data!Q51)</f>
        <v/>
      </c>
      <c r="P51" s="37" t="str">
        <f>IF(ISBLANK(Data!R51),"",Data!R51)</f>
        <v/>
      </c>
      <c r="Q51" s="37" t="str">
        <f>IF(ISBLANK(Data!S51),"",Data!S51)</f>
        <v/>
      </c>
    </row>
    <row r="52" spans="1:17" ht="30" x14ac:dyDescent="0.25">
      <c r="A52" s="23">
        <f t="shared" si="0"/>
        <v>2013</v>
      </c>
      <c r="B52" s="42">
        <f>IF(ISBLANK(Data!A52),"",Data!A52)</f>
        <v>41460</v>
      </c>
      <c r="C52" s="35" t="str">
        <f>IF(ISBLANK(Data!B52),"",Data!B52)</f>
        <v/>
      </c>
      <c r="D52" s="36" t="str">
        <f>IF(ISBLANK(Data!C52),"",Data!C52)</f>
        <v>El Cortecito</v>
      </c>
      <c r="E52" s="36" t="str">
        <f>IF(ISBLANK(Data!D52),"",Data!D52)</f>
        <v>CO1</v>
      </c>
      <c r="F52" s="36" t="str">
        <f>IF(ISBLANK(Data!E52),"",Data!E52)</f>
        <v>Fabiola Rodríguez</v>
      </c>
      <c r="G52" s="37">
        <f>IF(ISBLANK(Data!F52),"",Data!F52)</f>
        <v>2</v>
      </c>
      <c r="H52" s="37">
        <f>IF(ISBLANK(Data!G52),"",Data!G52)</f>
        <v>0</v>
      </c>
      <c r="I52" s="37">
        <f>IF(ISBLANK(Data!H52),"",Data!H52)</f>
        <v>0</v>
      </c>
      <c r="J52" s="37" t="str">
        <f>IF(ISBLANK(Data!I52),"",Data!I52)</f>
        <v/>
      </c>
      <c r="K52" s="22" t="str">
        <f>IF(ISBLANK(Data!N52),"",Data!N52)</f>
        <v xml:space="preserve">Mitrephanes </v>
      </c>
      <c r="L52" s="22" t="str">
        <f>IF(ISBLANK(Data!O52),"",Data!O52)</f>
        <v>phaeocercus</v>
      </c>
      <c r="M52" s="22"/>
      <c r="N52" s="37" t="str">
        <f>IF(ISBLANK(Data!P52),"",Data!P52)</f>
        <v>Seen</v>
      </c>
      <c r="O52" s="37" t="str">
        <f>IF(ISBLANK(Data!Q52),"",Data!Q52)</f>
        <v/>
      </c>
      <c r="P52" s="37" t="str">
        <f>IF(ISBLANK(Data!R52),"",Data!R52)</f>
        <v/>
      </c>
      <c r="Q52" s="37" t="str">
        <f>IF(ISBLANK(Data!S52),"",Data!S52)</f>
        <v/>
      </c>
    </row>
    <row r="53" spans="1:17" x14ac:dyDescent="0.25">
      <c r="A53" s="23">
        <f t="shared" si="0"/>
        <v>2013</v>
      </c>
      <c r="B53" s="42">
        <f>IF(ISBLANK(Data!A53),"",Data!A53)</f>
        <v>41462</v>
      </c>
      <c r="C53" s="35" t="str">
        <f>IF(ISBLANK(Data!B53),"",Data!B53)</f>
        <v/>
      </c>
      <c r="D53" s="36" t="str">
        <f>IF(ISBLANK(Data!C53),"",Data!C53)</f>
        <v>El Cortecito</v>
      </c>
      <c r="E53" s="36" t="str">
        <f>IF(ISBLANK(Data!D53),"",Data!D53)</f>
        <v>CO1</v>
      </c>
      <c r="F53" s="36" t="str">
        <f>IF(ISBLANK(Data!E53),"",Data!E53)</f>
        <v>Esdras López</v>
      </c>
      <c r="G53" s="37">
        <f>IF(ISBLANK(Data!F53),"",Data!F53)</f>
        <v>1</v>
      </c>
      <c r="H53" s="37">
        <f>IF(ISBLANK(Data!G53),"",Data!G53)</f>
        <v>0</v>
      </c>
      <c r="I53" s="37">
        <f>IF(ISBLANK(Data!H53),"",Data!H53)</f>
        <v>0</v>
      </c>
      <c r="J53" s="37" t="str">
        <f>IF(ISBLANK(Data!I53),"",Data!I53)</f>
        <v/>
      </c>
      <c r="K53" s="22" t="str">
        <f>IF(ISBLANK(Data!N53),"",Data!N53)</f>
        <v xml:space="preserve">Veniliornis </v>
      </c>
      <c r="L53" s="22" t="str">
        <f>IF(ISBLANK(Data!O53),"",Data!O53)</f>
        <v>fumigatus</v>
      </c>
      <c r="M53" s="22"/>
      <c r="N53" s="37" t="str">
        <f>IF(ISBLANK(Data!P53),"",Data!P53)</f>
        <v>Seen</v>
      </c>
      <c r="O53" s="37" t="str">
        <f>IF(ISBLANK(Data!Q53),"",Data!Q53)</f>
        <v/>
      </c>
      <c r="P53" s="37" t="str">
        <f>IF(ISBLANK(Data!R53),"",Data!R53)</f>
        <v/>
      </c>
      <c r="Q53" s="37" t="str">
        <f>IF(ISBLANK(Data!S53),"",Data!S53)</f>
        <v/>
      </c>
    </row>
    <row r="54" spans="1:17" x14ac:dyDescent="0.25">
      <c r="A54" s="23">
        <f t="shared" si="0"/>
        <v>2013</v>
      </c>
      <c r="B54" s="42">
        <f>IF(ISBLANK(Data!A54),"",Data!A54)</f>
        <v>41462</v>
      </c>
      <c r="C54" s="35" t="str">
        <f>IF(ISBLANK(Data!B54),"",Data!B54)</f>
        <v/>
      </c>
      <c r="D54" s="36" t="str">
        <f>IF(ISBLANK(Data!C54),"",Data!C54)</f>
        <v>El Cortecito</v>
      </c>
      <c r="E54" s="36" t="str">
        <f>IF(ISBLANK(Data!D54),"",Data!D54)</f>
        <v>CO1</v>
      </c>
      <c r="F54" s="36" t="str">
        <f>IF(ISBLANK(Data!E54),"",Data!E54)</f>
        <v>Esdras López</v>
      </c>
      <c r="G54" s="37">
        <f>IF(ISBLANK(Data!F54),"",Data!F54)</f>
        <v>1</v>
      </c>
      <c r="H54" s="37">
        <f>IF(ISBLANK(Data!G54),"",Data!G54)</f>
        <v>0</v>
      </c>
      <c r="I54" s="37">
        <f>IF(ISBLANK(Data!H54),"",Data!H54)</f>
        <v>0</v>
      </c>
      <c r="J54" s="37" t="str">
        <f>IF(ISBLANK(Data!I54),"",Data!I54)</f>
        <v/>
      </c>
      <c r="K54" s="22" t="str">
        <f>IF(ISBLANK(Data!N54),"",Data!N54)</f>
        <v xml:space="preserve">Picoides </v>
      </c>
      <c r="L54" s="22" t="str">
        <f>IF(ISBLANK(Data!O54),"",Data!O54)</f>
        <v>villosus</v>
      </c>
      <c r="M54" s="22"/>
      <c r="N54" s="37" t="str">
        <f>IF(ISBLANK(Data!P54),"",Data!P54)</f>
        <v>Seen</v>
      </c>
      <c r="O54" s="37" t="str">
        <f>IF(ISBLANK(Data!Q54),"",Data!Q54)</f>
        <v/>
      </c>
      <c r="P54" s="37" t="str">
        <f>IF(ISBLANK(Data!R54),"",Data!R54)</f>
        <v/>
      </c>
      <c r="Q54" s="37" t="str">
        <f>IF(ISBLANK(Data!S54),"",Data!S54)</f>
        <v/>
      </c>
    </row>
    <row r="55" spans="1:17" x14ac:dyDescent="0.25">
      <c r="A55" s="23">
        <f t="shared" si="0"/>
        <v>2013</v>
      </c>
      <c r="B55" s="42">
        <f>IF(ISBLANK(Data!A55),"",Data!A55)</f>
        <v>41451</v>
      </c>
      <c r="C55" s="35" t="str">
        <f>IF(ISBLANK(Data!B55),"",Data!B55)</f>
        <v/>
      </c>
      <c r="D55" s="36" t="str">
        <f>IF(ISBLANK(Data!C55),"",Data!C55)</f>
        <v>Santo Tomas</v>
      </c>
      <c r="E55" s="36" t="str">
        <f>IF(ISBLANK(Data!D55),"",Data!D55)</f>
        <v>ST1A</v>
      </c>
      <c r="F55" s="36" t="str">
        <f>IF(ISBLANK(Data!E55),"",Data!E55)</f>
        <v>Esdras López</v>
      </c>
      <c r="G55" s="37">
        <f>IF(ISBLANK(Data!F55),"",Data!F55)</f>
        <v>1</v>
      </c>
      <c r="H55" s="37">
        <f>IF(ISBLANK(Data!G55),"",Data!G55)</f>
        <v>0</v>
      </c>
      <c r="I55" s="37">
        <f>IF(ISBLANK(Data!H55),"",Data!H55)</f>
        <v>0</v>
      </c>
      <c r="J55" s="37" t="str">
        <f>IF(ISBLANK(Data!I55),"",Data!I55)</f>
        <v/>
      </c>
      <c r="K55" s="22" t="str">
        <f>IF(ISBLANK(Data!N55),"",Data!N55)</f>
        <v xml:space="preserve">Chlorostilbon </v>
      </c>
      <c r="L55" s="22" t="str">
        <f>IF(ISBLANK(Data!O55),"",Data!O55)</f>
        <v>canivetii</v>
      </c>
      <c r="M55" s="22"/>
      <c r="N55" s="37" t="str">
        <f>IF(ISBLANK(Data!P55),"",Data!P55)</f>
        <v>Seen</v>
      </c>
      <c r="O55" s="37" t="str">
        <f>IF(ISBLANK(Data!Q55),"",Data!Q55)</f>
        <v/>
      </c>
      <c r="P55" s="37" t="str">
        <f>IF(ISBLANK(Data!R55),"",Data!R55)</f>
        <v/>
      </c>
      <c r="Q55" s="37" t="str">
        <f>IF(ISBLANK(Data!S55),"",Data!S55)</f>
        <v>SS1</v>
      </c>
    </row>
    <row r="56" spans="1:17" x14ac:dyDescent="0.25">
      <c r="A56" s="23">
        <f t="shared" si="0"/>
        <v>2013</v>
      </c>
      <c r="B56" s="42">
        <f>IF(ISBLANK(Data!A56),"",Data!A56)</f>
        <v>41450</v>
      </c>
      <c r="C56" s="35" t="str">
        <f>IF(ISBLANK(Data!B56),"",Data!B56)</f>
        <v/>
      </c>
      <c r="D56" s="36" t="str">
        <f>IF(ISBLANK(Data!C56),"",Data!C56)</f>
        <v>Santo Tomas</v>
      </c>
      <c r="E56" s="36" t="str">
        <f>IF(ISBLANK(Data!D56),"",Data!D56)</f>
        <v/>
      </c>
      <c r="F56" s="36" t="str">
        <f>IF(ISBLANK(Data!E56),"",Data!E56)</f>
        <v>Nate</v>
      </c>
      <c r="G56" s="37">
        <f>IF(ISBLANK(Data!F56),"",Data!F56)</f>
        <v>1</v>
      </c>
      <c r="H56" s="37">
        <f>IF(ISBLANK(Data!G56),"",Data!G56)</f>
        <v>0</v>
      </c>
      <c r="I56" s="37">
        <f>IF(ISBLANK(Data!H56),"",Data!H56)</f>
        <v>0</v>
      </c>
      <c r="J56" s="37" t="str">
        <f>IF(ISBLANK(Data!I56),"",Data!I56)</f>
        <v/>
      </c>
      <c r="K56" s="22" t="str">
        <f>IF(ISBLANK(Data!N56),"",Data!N56)</f>
        <v xml:space="preserve">Pteroglossus </v>
      </c>
      <c r="L56" s="22" t="str">
        <f>IF(ISBLANK(Data!O56),"",Data!O56)</f>
        <v>torquatus</v>
      </c>
      <c r="M56" s="22"/>
      <c r="N56" s="37" t="str">
        <f>IF(ISBLANK(Data!P56),"",Data!P56)</f>
        <v>Seen</v>
      </c>
      <c r="O56" s="37" t="str">
        <f>IF(ISBLANK(Data!Q56),"",Data!Q56)</f>
        <v/>
      </c>
      <c r="P56" s="37" t="str">
        <f>IF(ISBLANK(Data!R56),"",Data!R56)</f>
        <v/>
      </c>
      <c r="Q56" s="37" t="str">
        <f>IF(ISBLANK(Data!S56),"",Data!S56)</f>
        <v/>
      </c>
    </row>
    <row r="57" spans="1:17" ht="30" x14ac:dyDescent="0.25">
      <c r="A57" s="23">
        <f t="shared" si="0"/>
        <v>2013</v>
      </c>
      <c r="B57" s="42">
        <f>IF(ISBLANK(Data!A57),"",Data!A57)</f>
        <v>41452</v>
      </c>
      <c r="C57" s="35" t="str">
        <f>IF(ISBLANK(Data!B57),"",Data!B57)</f>
        <v/>
      </c>
      <c r="D57" s="36" t="str">
        <f>IF(ISBLANK(Data!C57),"",Data!C57)</f>
        <v>Santo Tomas</v>
      </c>
      <c r="E57" s="36" t="str">
        <f>IF(ISBLANK(Data!D57),"",Data!D57)</f>
        <v/>
      </c>
      <c r="F57" s="36" t="str">
        <f>IF(ISBLANK(Data!E57),"",Data!E57)</f>
        <v>Fabiola Rodríguez</v>
      </c>
      <c r="G57" s="37">
        <f>IF(ISBLANK(Data!F57),"",Data!F57)</f>
        <v>2</v>
      </c>
      <c r="H57" s="37">
        <f>IF(ISBLANK(Data!G57),"",Data!G57)</f>
        <v>0</v>
      </c>
      <c r="I57" s="37">
        <f>IF(ISBLANK(Data!H57),"",Data!H57)</f>
        <v>0</v>
      </c>
      <c r="J57" s="37" t="str">
        <f>IF(ISBLANK(Data!I57),"",Data!I57)</f>
        <v/>
      </c>
      <c r="K57" s="22" t="str">
        <f>IF(ISBLANK(Data!N57),"",Data!N57)</f>
        <v xml:space="preserve">Glaucidium </v>
      </c>
      <c r="L57" s="22" t="str">
        <f>IF(ISBLANK(Data!O57),"",Data!O57)</f>
        <v>brasilianum</v>
      </c>
      <c r="M57" s="22"/>
      <c r="N57" s="37" t="str">
        <f>IF(ISBLANK(Data!P57),"",Data!P57)</f>
        <v>Heard</v>
      </c>
      <c r="O57" s="37" t="str">
        <f>IF(ISBLANK(Data!Q57),"",Data!Q57)</f>
        <v/>
      </c>
      <c r="P57" s="37" t="str">
        <f>IF(ISBLANK(Data!R57),"",Data!R57)</f>
        <v/>
      </c>
      <c r="Q57" s="37" t="str">
        <f>IF(ISBLANK(Data!S57),"",Data!S57)</f>
        <v/>
      </c>
    </row>
    <row r="58" spans="1:17" x14ac:dyDescent="0.25">
      <c r="A58" s="23">
        <f t="shared" si="0"/>
        <v>2013</v>
      </c>
      <c r="B58" s="42">
        <f>IF(ISBLANK(Data!A58),"",Data!A58)</f>
        <v>41453</v>
      </c>
      <c r="C58" s="35" t="str">
        <f>IF(ISBLANK(Data!B58),"",Data!B58)</f>
        <v/>
      </c>
      <c r="D58" s="36" t="str">
        <f>IF(ISBLANK(Data!C58),"",Data!C58)</f>
        <v>Santo Tomas</v>
      </c>
      <c r="E58" s="36" t="str">
        <f>IF(ISBLANK(Data!D58),"",Data!D58)</f>
        <v>ST1A</v>
      </c>
      <c r="F58" s="36" t="str">
        <f>IF(ISBLANK(Data!E58),"",Data!E58)</f>
        <v>Willie Peppey</v>
      </c>
      <c r="G58" s="37">
        <f>IF(ISBLANK(Data!F58),"",Data!F58)</f>
        <v>1</v>
      </c>
      <c r="H58" s="37">
        <f>IF(ISBLANK(Data!G58),"",Data!G58)</f>
        <v>0</v>
      </c>
      <c r="I58" s="37">
        <f>IF(ISBLANK(Data!H58),"",Data!H58)</f>
        <v>0</v>
      </c>
      <c r="J58" s="37" t="str">
        <f>IF(ISBLANK(Data!I58),"",Data!I58)</f>
        <v/>
      </c>
      <c r="K58" s="22" t="str">
        <f>IF(ISBLANK(Data!N58),"",Data!N58)</f>
        <v xml:space="preserve">Tangara </v>
      </c>
      <c r="L58" s="22" t="str">
        <f>IF(ISBLANK(Data!O58),"",Data!O58)</f>
        <v>larvata</v>
      </c>
      <c r="M58" s="22"/>
      <c r="N58" s="37" t="str">
        <f>IF(ISBLANK(Data!P58),"",Data!P58)</f>
        <v>Seen</v>
      </c>
      <c r="O58" s="37" t="str">
        <f>IF(ISBLANK(Data!Q58),"",Data!Q58)</f>
        <v/>
      </c>
      <c r="P58" s="37" t="str">
        <f>IF(ISBLANK(Data!R58),"",Data!R58)</f>
        <v/>
      </c>
      <c r="Q58" s="37" t="str">
        <f>IF(ISBLANK(Data!S58),"",Data!S58)</f>
        <v>SS1</v>
      </c>
    </row>
    <row r="59" spans="1:17" x14ac:dyDescent="0.25">
      <c r="A59" s="23">
        <f t="shared" si="0"/>
        <v>2013</v>
      </c>
      <c r="B59" s="42">
        <f>IF(ISBLANK(Data!A59),"",Data!A59)</f>
        <v>41454</v>
      </c>
      <c r="C59" s="35" t="str">
        <f>IF(ISBLANK(Data!B59),"",Data!B59)</f>
        <v/>
      </c>
      <c r="D59" s="36" t="str">
        <f>IF(ISBLANK(Data!C59),"",Data!C59)</f>
        <v>Santo Tomas</v>
      </c>
      <c r="E59" s="36" t="str">
        <f>IF(ISBLANK(Data!D59),"",Data!D59)</f>
        <v>ST4</v>
      </c>
      <c r="F59" s="36" t="str">
        <f>IF(ISBLANK(Data!E59),"",Data!E59)</f>
        <v>Nate</v>
      </c>
      <c r="G59" s="37">
        <f>IF(ISBLANK(Data!F59),"",Data!F59)</f>
        <v>1</v>
      </c>
      <c r="H59" s="37">
        <f>IF(ISBLANK(Data!G59),"",Data!G59)</f>
        <v>0</v>
      </c>
      <c r="I59" s="37">
        <f>IF(ISBLANK(Data!H59),"",Data!H59)</f>
        <v>0</v>
      </c>
      <c r="J59" s="37" t="str">
        <f>IF(ISBLANK(Data!I59),"",Data!I59)</f>
        <v/>
      </c>
      <c r="K59" s="22" t="str">
        <f>IF(ISBLANK(Data!N59),"",Data!N59)</f>
        <v xml:space="preserve">Ramphastos </v>
      </c>
      <c r="L59" s="22" t="str">
        <f>IF(ISBLANK(Data!O59),"",Data!O59)</f>
        <v>sulfuratus</v>
      </c>
      <c r="M59" s="22"/>
      <c r="N59" s="37" t="str">
        <f>IF(ISBLANK(Data!P59),"",Data!P59)</f>
        <v>Heard</v>
      </c>
      <c r="O59" s="37" t="str">
        <f>IF(ISBLANK(Data!Q59),"",Data!Q59)</f>
        <v/>
      </c>
      <c r="P59" s="37" t="str">
        <f>IF(ISBLANK(Data!R59),"",Data!R59)</f>
        <v/>
      </c>
      <c r="Q59" s="37" t="str">
        <f>IF(ISBLANK(Data!S59),"",Data!S59)</f>
        <v/>
      </c>
    </row>
    <row r="60" spans="1:17" x14ac:dyDescent="0.25">
      <c r="A60" s="23">
        <f t="shared" si="0"/>
        <v>2013</v>
      </c>
      <c r="B60" s="42">
        <f>IF(ISBLANK(Data!A60),"",Data!A60)</f>
        <v>41474</v>
      </c>
      <c r="C60" s="35" t="str">
        <f>IF(ISBLANK(Data!B60),"",Data!B60)</f>
        <v/>
      </c>
      <c r="D60" s="36" t="str">
        <f>IF(ISBLANK(Data!C60),"",Data!C60)</f>
        <v>Santo Tomas</v>
      </c>
      <c r="E60" s="36" t="str">
        <f>IF(ISBLANK(Data!D60),"",Data!D60)</f>
        <v/>
      </c>
      <c r="F60" s="36" t="str">
        <f>IF(ISBLANK(Data!E60),"",Data!E60)</f>
        <v>Esdras López</v>
      </c>
      <c r="G60" s="37">
        <f>IF(ISBLANK(Data!F60),"",Data!F60)</f>
        <v>1</v>
      </c>
      <c r="H60" s="37">
        <f>IF(ISBLANK(Data!G60),"",Data!G60)</f>
        <v>0</v>
      </c>
      <c r="I60" s="37">
        <f>IF(ISBLANK(Data!H60),"",Data!H60)</f>
        <v>0</v>
      </c>
      <c r="J60" s="37" t="str">
        <f>IF(ISBLANK(Data!I60),"",Data!I60)</f>
        <v/>
      </c>
      <c r="K60" s="22" t="str">
        <f>IF(ISBLANK(Data!N60),"",Data!N60)</f>
        <v xml:space="preserve">Cyanocorax </v>
      </c>
      <c r="L60" s="22" t="str">
        <f>IF(ISBLANK(Data!O60),"",Data!O60)</f>
        <v>yncas</v>
      </c>
      <c r="M60" s="22"/>
      <c r="N60" s="37" t="str">
        <f>IF(ISBLANK(Data!P60),"",Data!P60)</f>
        <v>Seen</v>
      </c>
      <c r="O60" s="37" t="str">
        <f>IF(ISBLANK(Data!Q60),"",Data!Q60)</f>
        <v/>
      </c>
      <c r="P60" s="37" t="str">
        <f>IF(ISBLANK(Data!R60),"",Data!R60)</f>
        <v/>
      </c>
      <c r="Q60" s="37" t="str">
        <f>IF(ISBLANK(Data!S60),"",Data!S60)</f>
        <v/>
      </c>
    </row>
    <row r="61" spans="1:17" x14ac:dyDescent="0.25">
      <c r="A61" s="23">
        <f t="shared" si="0"/>
        <v>2013</v>
      </c>
      <c r="B61" s="42">
        <f>IF(ISBLANK(Data!A61),"",Data!A61)</f>
        <v>41476</v>
      </c>
      <c r="C61" s="35" t="str">
        <f>IF(ISBLANK(Data!B61),"",Data!B61)</f>
        <v/>
      </c>
      <c r="D61" s="36" t="str">
        <f>IF(ISBLANK(Data!C61),"",Data!C61)</f>
        <v>Santo Tomas</v>
      </c>
      <c r="E61" s="36" t="str">
        <f>IF(ISBLANK(Data!D61),"",Data!D61)</f>
        <v/>
      </c>
      <c r="F61" s="36" t="str">
        <f>IF(ISBLANK(Data!E61),"",Data!E61)</f>
        <v>Esdras López</v>
      </c>
      <c r="G61" s="37">
        <f>IF(ISBLANK(Data!F61),"",Data!F61)</f>
        <v>1</v>
      </c>
      <c r="H61" s="37">
        <f>IF(ISBLANK(Data!G61),"",Data!G61)</f>
        <v>0</v>
      </c>
      <c r="I61" s="37">
        <f>IF(ISBLANK(Data!H61),"",Data!H61)</f>
        <v>0</v>
      </c>
      <c r="J61" s="37" t="str">
        <f>IF(ISBLANK(Data!I61),"",Data!I61)</f>
        <v/>
      </c>
      <c r="K61" s="22" t="str">
        <f>IF(ISBLANK(Data!N61),"",Data!N61)</f>
        <v xml:space="preserve">Megascops </v>
      </c>
      <c r="L61" s="22" t="str">
        <f>IF(ISBLANK(Data!O61),"",Data!O61)</f>
        <v>guatemalae</v>
      </c>
      <c r="M61" s="22"/>
      <c r="N61" s="37" t="str">
        <f>IF(ISBLANK(Data!P61),"",Data!P61)</f>
        <v>Heard</v>
      </c>
      <c r="O61" s="37" t="str">
        <f>IF(ISBLANK(Data!Q61),"",Data!Q61)</f>
        <v/>
      </c>
      <c r="P61" s="37" t="str">
        <f>IF(ISBLANK(Data!R61),"",Data!R61)</f>
        <v/>
      </c>
      <c r="Q61" s="37" t="str">
        <f>IF(ISBLANK(Data!S61),"",Data!S61)</f>
        <v/>
      </c>
    </row>
    <row r="62" spans="1:17" x14ac:dyDescent="0.25">
      <c r="A62" s="23">
        <f t="shared" si="0"/>
        <v>2013</v>
      </c>
      <c r="B62" s="42">
        <f>IF(ISBLANK(Data!A62),"",Data!A62)</f>
        <v>41476</v>
      </c>
      <c r="C62" s="35" t="str">
        <f>IF(ISBLANK(Data!B62),"",Data!B62)</f>
        <v/>
      </c>
      <c r="D62" s="36" t="str">
        <f>IF(ISBLANK(Data!C62),"",Data!C62)</f>
        <v>Santo Tomas</v>
      </c>
      <c r="E62" s="36" t="str">
        <f>IF(ISBLANK(Data!D62),"",Data!D62)</f>
        <v/>
      </c>
      <c r="F62" s="36" t="str">
        <f>IF(ISBLANK(Data!E62),"",Data!E62)</f>
        <v>Miguel Bonilla</v>
      </c>
      <c r="G62" s="37">
        <f>IF(ISBLANK(Data!F62),"",Data!F62)</f>
        <v>1</v>
      </c>
      <c r="H62" s="37">
        <f>IF(ISBLANK(Data!G62),"",Data!G62)</f>
        <v>0</v>
      </c>
      <c r="I62" s="37">
        <f>IF(ISBLANK(Data!H62),"",Data!H62)</f>
        <v>0</v>
      </c>
      <c r="J62" s="37" t="str">
        <f>IF(ISBLANK(Data!I62),"",Data!I62)</f>
        <v/>
      </c>
      <c r="K62" s="22" t="str">
        <f>IF(ISBLANK(Data!N62),"",Data!N62)</f>
        <v xml:space="preserve">Celeus </v>
      </c>
      <c r="L62" s="22" t="str">
        <f>IF(ISBLANK(Data!O62),"",Data!O62)</f>
        <v>castaneus</v>
      </c>
      <c r="M62" s="22"/>
      <c r="N62" s="37" t="str">
        <f>IF(ISBLANK(Data!P62),"",Data!P62)</f>
        <v>Seen</v>
      </c>
      <c r="O62" s="37" t="str">
        <f>IF(ISBLANK(Data!Q62),"",Data!Q62)</f>
        <v/>
      </c>
      <c r="P62" s="37" t="str">
        <f>IF(ISBLANK(Data!R62),"",Data!R62)</f>
        <v/>
      </c>
      <c r="Q62" s="37" t="str">
        <f>IF(ISBLANK(Data!S62),"",Data!S62)</f>
        <v/>
      </c>
    </row>
    <row r="63" spans="1:17" ht="30" x14ac:dyDescent="0.25">
      <c r="A63" s="23">
        <f t="shared" si="0"/>
        <v>2013</v>
      </c>
      <c r="B63" s="42">
        <f>IF(ISBLANK(Data!A63),"",Data!A63)</f>
        <v>41454</v>
      </c>
      <c r="C63" s="35" t="str">
        <f>IF(ISBLANK(Data!B63),"",Data!B63)</f>
        <v/>
      </c>
      <c r="D63" s="36" t="str">
        <f>IF(ISBLANK(Data!C63),"",Data!C63)</f>
        <v>Santo Tomas</v>
      </c>
      <c r="E63" s="36" t="str">
        <f>IF(ISBLANK(Data!D63),"",Data!D63)</f>
        <v xml:space="preserve">ST1A </v>
      </c>
      <c r="F63" s="36" t="str">
        <f>IF(ISBLANK(Data!E63),"",Data!E63)</f>
        <v>Fabiola Rodríguez</v>
      </c>
      <c r="G63" s="37">
        <f>IF(ISBLANK(Data!F63),"",Data!F63)</f>
        <v>7</v>
      </c>
      <c r="H63" s="37">
        <f>IF(ISBLANK(Data!G63),"",Data!G63)</f>
        <v>0</v>
      </c>
      <c r="I63" s="37">
        <f>IF(ISBLANK(Data!H63),"",Data!H63)</f>
        <v>0</v>
      </c>
      <c r="J63" s="37" t="str">
        <f>IF(ISBLANK(Data!I63),"",Data!I63)</f>
        <v/>
      </c>
      <c r="K63" s="22" t="str">
        <f>IF(ISBLANK(Data!N63),"",Data!N63)</f>
        <v xml:space="preserve">Crypturellus </v>
      </c>
      <c r="L63" s="22" t="str">
        <f>IF(ISBLANK(Data!O63),"",Data!O63)</f>
        <v>soui</v>
      </c>
      <c r="M63" s="22"/>
      <c r="N63" s="37" t="str">
        <f>IF(ISBLANK(Data!P63),"",Data!P63)</f>
        <v>Heard</v>
      </c>
      <c r="O63" s="37" t="str">
        <f>IF(ISBLANK(Data!Q63),"",Data!Q63)</f>
        <v/>
      </c>
      <c r="P63" s="37" t="str">
        <f>IF(ISBLANK(Data!R63),"",Data!R63)</f>
        <v/>
      </c>
      <c r="Q63" s="37" t="str">
        <f>IF(ISBLANK(Data!S63),"",Data!S63)</f>
        <v/>
      </c>
    </row>
    <row r="64" spans="1:17" ht="30" x14ac:dyDescent="0.25">
      <c r="A64" s="23">
        <f t="shared" si="0"/>
        <v>2013</v>
      </c>
      <c r="B64" s="42">
        <f>IF(ISBLANK(Data!A64),"",Data!A64)</f>
        <v>41454</v>
      </c>
      <c r="C64" s="35" t="str">
        <f>IF(ISBLANK(Data!B64),"",Data!B64)</f>
        <v/>
      </c>
      <c r="D64" s="36" t="str">
        <f>IF(ISBLANK(Data!C64),"",Data!C64)</f>
        <v>Santo Tomas</v>
      </c>
      <c r="E64" s="36" t="str">
        <f>IF(ISBLANK(Data!D64),"",Data!D64)</f>
        <v xml:space="preserve">ST1A </v>
      </c>
      <c r="F64" s="36" t="str">
        <f>IF(ISBLANK(Data!E64),"",Data!E64)</f>
        <v>Fabiola Rodríguez</v>
      </c>
      <c r="G64" s="37">
        <f>IF(ISBLANK(Data!F64),"",Data!F64)</f>
        <v>7</v>
      </c>
      <c r="H64" s="37">
        <f>IF(ISBLANK(Data!G64),"",Data!G64)</f>
        <v>0</v>
      </c>
      <c r="I64" s="37">
        <f>IF(ISBLANK(Data!H64),"",Data!H64)</f>
        <v>0</v>
      </c>
      <c r="J64" s="37" t="str">
        <f>IF(ISBLANK(Data!I64),"",Data!I64)</f>
        <v/>
      </c>
      <c r="K64" s="22" t="str">
        <f>IF(ISBLANK(Data!N64),"",Data!N64)</f>
        <v xml:space="preserve">Ortalis </v>
      </c>
      <c r="L64" s="22" t="str">
        <f>IF(ISBLANK(Data!O64),"",Data!O64)</f>
        <v>vetula</v>
      </c>
      <c r="M64" s="22"/>
      <c r="N64" s="37" t="str">
        <f>IF(ISBLANK(Data!P64),"",Data!P64)</f>
        <v>Heard</v>
      </c>
      <c r="O64" s="37" t="str">
        <f>IF(ISBLANK(Data!Q64),"",Data!Q64)</f>
        <v/>
      </c>
      <c r="P64" s="37" t="str">
        <f>IF(ISBLANK(Data!R64),"",Data!R64)</f>
        <v/>
      </c>
      <c r="Q64" s="37" t="str">
        <f>IF(ISBLANK(Data!S64),"",Data!S64)</f>
        <v/>
      </c>
    </row>
    <row r="65" spans="1:17" ht="30" x14ac:dyDescent="0.25">
      <c r="A65" s="23">
        <f t="shared" si="0"/>
        <v>2013</v>
      </c>
      <c r="B65" s="42">
        <f>IF(ISBLANK(Data!A65),"",Data!A65)</f>
        <v>41454</v>
      </c>
      <c r="C65" s="35" t="str">
        <f>IF(ISBLANK(Data!B65),"",Data!B65)</f>
        <v/>
      </c>
      <c r="D65" s="36" t="str">
        <f>IF(ISBLANK(Data!C65),"",Data!C65)</f>
        <v>Santo Tomas</v>
      </c>
      <c r="E65" s="36" t="str">
        <f>IF(ISBLANK(Data!D65),"",Data!D65)</f>
        <v xml:space="preserve">ST1A </v>
      </c>
      <c r="F65" s="36" t="str">
        <f>IF(ISBLANK(Data!E65),"",Data!E65)</f>
        <v>Fabiola Rodríguez</v>
      </c>
      <c r="G65" s="37">
        <f>IF(ISBLANK(Data!F65),"",Data!F65)</f>
        <v>7</v>
      </c>
      <c r="H65" s="37">
        <f>IF(ISBLANK(Data!G65),"",Data!G65)</f>
        <v>0</v>
      </c>
      <c r="I65" s="37">
        <f>IF(ISBLANK(Data!H65),"",Data!H65)</f>
        <v>0</v>
      </c>
      <c r="J65" s="37" t="str">
        <f>IF(ISBLANK(Data!I65),"",Data!I65)</f>
        <v/>
      </c>
      <c r="K65" s="22" t="str">
        <f>IF(ISBLANK(Data!N65),"",Data!N65)</f>
        <v xml:space="preserve">Dryocopus </v>
      </c>
      <c r="L65" s="22" t="str">
        <f>IF(ISBLANK(Data!O65),"",Data!O65)</f>
        <v>lineatus</v>
      </c>
      <c r="M65" s="22"/>
      <c r="N65" s="37" t="str">
        <f>IF(ISBLANK(Data!P65),"",Data!P65)</f>
        <v>Seen</v>
      </c>
      <c r="O65" s="37" t="str">
        <f>IF(ISBLANK(Data!Q65),"",Data!Q65)</f>
        <v/>
      </c>
      <c r="P65" s="37" t="str">
        <f>IF(ISBLANK(Data!R65),"",Data!R65)</f>
        <v/>
      </c>
      <c r="Q65" s="37" t="str">
        <f>IF(ISBLANK(Data!S65),"",Data!S65)</f>
        <v/>
      </c>
    </row>
    <row r="66" spans="1:17" ht="30" x14ac:dyDescent="0.25">
      <c r="A66" s="23">
        <f t="shared" si="0"/>
        <v>2013</v>
      </c>
      <c r="B66" s="42">
        <f>IF(ISBLANK(Data!A66),"",Data!A66)</f>
        <v>41454</v>
      </c>
      <c r="C66" s="35" t="str">
        <f>IF(ISBLANK(Data!B66),"",Data!B66)</f>
        <v/>
      </c>
      <c r="D66" s="36" t="str">
        <f>IF(ISBLANK(Data!C66),"",Data!C66)</f>
        <v>Santo Tomas</v>
      </c>
      <c r="E66" s="36" t="str">
        <f>IF(ISBLANK(Data!D66),"",Data!D66)</f>
        <v xml:space="preserve">ST1A </v>
      </c>
      <c r="F66" s="36" t="str">
        <f>IF(ISBLANK(Data!E66),"",Data!E66)</f>
        <v>Fabiola Rodríguez</v>
      </c>
      <c r="G66" s="37">
        <f>IF(ISBLANK(Data!F66),"",Data!F66)</f>
        <v>6</v>
      </c>
      <c r="H66" s="37">
        <f>IF(ISBLANK(Data!G66),"",Data!G66)</f>
        <v>0</v>
      </c>
      <c r="I66" s="37">
        <f>IF(ISBLANK(Data!H66),"",Data!H66)</f>
        <v>0</v>
      </c>
      <c r="J66" s="37" t="str">
        <f>IF(ISBLANK(Data!I66),"",Data!I66)</f>
        <v/>
      </c>
      <c r="K66" s="22" t="str">
        <f>IF(ISBLANK(Data!N66),"",Data!N66)</f>
        <v xml:space="preserve">Volatinia </v>
      </c>
      <c r="L66" s="22" t="str">
        <f>IF(ISBLANK(Data!O66),"",Data!O66)</f>
        <v>jacarina</v>
      </c>
      <c r="M66" s="22"/>
      <c r="N66" s="37" t="str">
        <f>IF(ISBLANK(Data!P66),"",Data!P66)</f>
        <v>Seen</v>
      </c>
      <c r="O66" s="37" t="str">
        <f>IF(ISBLANK(Data!Q66),"",Data!Q66)</f>
        <v/>
      </c>
      <c r="P66" s="37" t="str">
        <f>IF(ISBLANK(Data!R66),"",Data!R66)</f>
        <v/>
      </c>
      <c r="Q66" s="37" t="str">
        <f>IF(ISBLANK(Data!S66),"",Data!S66)</f>
        <v/>
      </c>
    </row>
    <row r="67" spans="1:17" ht="30" x14ac:dyDescent="0.25">
      <c r="A67" s="23">
        <f t="shared" ref="A67:A79" si="1">IF(B67="","",YEAR(B67))</f>
        <v>2013</v>
      </c>
      <c r="B67" s="42">
        <f>IF(ISBLANK(Data!A67),"",Data!A67)</f>
        <v>41454</v>
      </c>
      <c r="C67" s="35" t="str">
        <f>IF(ISBLANK(Data!B67),"",Data!B67)</f>
        <v/>
      </c>
      <c r="D67" s="36" t="str">
        <f>IF(ISBLANK(Data!C67),"",Data!C67)</f>
        <v>Santo Tomas</v>
      </c>
      <c r="E67" s="36" t="str">
        <f>IF(ISBLANK(Data!D67),"",Data!D67)</f>
        <v xml:space="preserve">ST1A </v>
      </c>
      <c r="F67" s="36" t="str">
        <f>IF(ISBLANK(Data!E67),"",Data!E67)</f>
        <v>Fabiola Rodríguez</v>
      </c>
      <c r="G67" s="37">
        <f>IF(ISBLANK(Data!F67),"",Data!F67)</f>
        <v>6</v>
      </c>
      <c r="H67" s="37">
        <f>IF(ISBLANK(Data!G67),"",Data!G67)</f>
        <v>0</v>
      </c>
      <c r="I67" s="37">
        <f>IF(ISBLANK(Data!H67),"",Data!H67)</f>
        <v>0</v>
      </c>
      <c r="J67" s="37" t="str">
        <f>IF(ISBLANK(Data!I67),"",Data!I67)</f>
        <v/>
      </c>
      <c r="K67" s="22" t="str">
        <f>IF(ISBLANK(Data!N67),"",Data!N67)</f>
        <v xml:space="preserve">Sporophila </v>
      </c>
      <c r="L67" s="22" t="str">
        <f>IF(ISBLANK(Data!O67),"",Data!O67)</f>
        <v>torqueola</v>
      </c>
      <c r="M67" s="22"/>
      <c r="N67" s="37" t="str">
        <f>IF(ISBLANK(Data!P67),"",Data!P67)</f>
        <v>Seen</v>
      </c>
      <c r="O67" s="37" t="str">
        <f>IF(ISBLANK(Data!Q67),"",Data!Q67)</f>
        <v/>
      </c>
      <c r="P67" s="37" t="str">
        <f>IF(ISBLANK(Data!R67),"",Data!R67)</f>
        <v/>
      </c>
      <c r="Q67" s="37" t="str">
        <f>IF(ISBLANK(Data!S67),"",Data!S67)</f>
        <v/>
      </c>
    </row>
    <row r="68" spans="1:17" ht="30" x14ac:dyDescent="0.25">
      <c r="A68" s="23">
        <f t="shared" si="1"/>
        <v>2013</v>
      </c>
      <c r="B68" s="42">
        <f>IF(ISBLANK(Data!A68),"",Data!A68)</f>
        <v>41451</v>
      </c>
      <c r="C68" s="35" t="str">
        <f>IF(ISBLANK(Data!B68),"",Data!B68)</f>
        <v/>
      </c>
      <c r="D68" s="36" t="str">
        <f>IF(ISBLANK(Data!C68),"",Data!C68)</f>
        <v>Santo Tomas</v>
      </c>
      <c r="E68" s="36" t="str">
        <f>IF(ISBLANK(Data!D68),"",Data!D68)</f>
        <v xml:space="preserve">ST1A </v>
      </c>
      <c r="F68" s="36" t="str">
        <f>IF(ISBLANK(Data!E68),"",Data!E68)</f>
        <v>Fabiola Rodríguez</v>
      </c>
      <c r="G68" s="37">
        <f>IF(ISBLANK(Data!F68),"",Data!F68)</f>
        <v>5</v>
      </c>
      <c r="H68" s="37">
        <f>IF(ISBLANK(Data!G68),"",Data!G68)</f>
        <v>0</v>
      </c>
      <c r="I68" s="37">
        <f>IF(ISBLANK(Data!H68),"",Data!H68)</f>
        <v>0</v>
      </c>
      <c r="J68" s="37" t="str">
        <f>IF(ISBLANK(Data!I68),"",Data!I68)</f>
        <v/>
      </c>
      <c r="K68" s="22" t="str">
        <f>IF(ISBLANK(Data!N68),"",Data!N68)</f>
        <v xml:space="preserve">Piaya </v>
      </c>
      <c r="L68" s="22" t="str">
        <f>IF(ISBLANK(Data!O68),"",Data!O68)</f>
        <v>cayana</v>
      </c>
      <c r="M68" s="22"/>
      <c r="N68" s="37" t="str">
        <f>IF(ISBLANK(Data!P68),"",Data!P68)</f>
        <v>Heard</v>
      </c>
      <c r="O68" s="37" t="str">
        <f>IF(ISBLANK(Data!Q68),"",Data!Q68)</f>
        <v/>
      </c>
      <c r="P68" s="37" t="str">
        <f>IF(ISBLANK(Data!R68),"",Data!R68)</f>
        <v/>
      </c>
      <c r="Q68" s="37" t="str">
        <f>IF(ISBLANK(Data!S68),"",Data!S68)</f>
        <v/>
      </c>
    </row>
    <row r="69" spans="1:17" ht="30" x14ac:dyDescent="0.25">
      <c r="A69" s="23">
        <f t="shared" si="1"/>
        <v>2013</v>
      </c>
      <c r="B69" s="42">
        <f>IF(ISBLANK(Data!A69),"",Data!A69)</f>
        <v>41451</v>
      </c>
      <c r="C69" s="35" t="str">
        <f>IF(ISBLANK(Data!B69),"",Data!B69)</f>
        <v/>
      </c>
      <c r="D69" s="36" t="str">
        <f>IF(ISBLANK(Data!C69),"",Data!C69)</f>
        <v>Santo Tomas</v>
      </c>
      <c r="E69" s="36" t="str">
        <f>IF(ISBLANK(Data!D69),"",Data!D69)</f>
        <v xml:space="preserve">ST1A </v>
      </c>
      <c r="F69" s="36" t="str">
        <f>IF(ISBLANK(Data!E69),"",Data!E69)</f>
        <v>Fabiola Rodríguez</v>
      </c>
      <c r="G69" s="37">
        <f>IF(ISBLANK(Data!F69),"",Data!F69)</f>
        <v>5</v>
      </c>
      <c r="H69" s="37">
        <f>IF(ISBLANK(Data!G69),"",Data!G69)</f>
        <v>0</v>
      </c>
      <c r="I69" s="37">
        <f>IF(ISBLANK(Data!H69),"",Data!H69)</f>
        <v>0</v>
      </c>
      <c r="J69" s="37" t="str">
        <f>IF(ISBLANK(Data!I69),"",Data!I69)</f>
        <v/>
      </c>
      <c r="K69" s="22" t="str">
        <f>IF(ISBLANK(Data!N69),"",Data!N69)</f>
        <v xml:space="preserve">Eumomota </v>
      </c>
      <c r="L69" s="22" t="str">
        <f>IF(ISBLANK(Data!O69),"",Data!O69)</f>
        <v>superciliosa</v>
      </c>
      <c r="M69" s="22"/>
      <c r="N69" s="37" t="str">
        <f>IF(ISBLANK(Data!P69),"",Data!P69)</f>
        <v>Heard</v>
      </c>
      <c r="O69" s="37" t="str">
        <f>IF(ISBLANK(Data!Q69),"",Data!Q69)</f>
        <v/>
      </c>
      <c r="P69" s="37" t="str">
        <f>IF(ISBLANK(Data!R69),"",Data!R69)</f>
        <v/>
      </c>
      <c r="Q69" s="37" t="str">
        <f>IF(ISBLANK(Data!S69),"",Data!S69)</f>
        <v/>
      </c>
    </row>
    <row r="70" spans="1:17" x14ac:dyDescent="0.25">
      <c r="A70" s="23">
        <f t="shared" si="1"/>
        <v>2013</v>
      </c>
      <c r="B70" s="42">
        <f>IF(ISBLANK(Data!A70),"",Data!A70)</f>
        <v>41440</v>
      </c>
      <c r="C70" s="35" t="str">
        <f>IF(ISBLANK(Data!B70),"",Data!B70)</f>
        <v/>
      </c>
      <c r="D70" s="36" t="str">
        <f>IF(ISBLANK(Data!C70),"",Data!C70)</f>
        <v>Basecamp</v>
      </c>
      <c r="E70" s="36" t="str">
        <f>IF(ISBLANK(Data!D70),"",Data!D70)</f>
        <v/>
      </c>
      <c r="F70" s="36" t="str">
        <f>IF(ISBLANK(Data!E70),"",Data!E70)</f>
        <v>Daniel Kelly</v>
      </c>
      <c r="G70" s="37">
        <f>IF(ISBLANK(Data!F70),"",Data!F70)</f>
        <v>1</v>
      </c>
      <c r="H70" s="37">
        <f>IF(ISBLANK(Data!G70),"",Data!G70)</f>
        <v>0</v>
      </c>
      <c r="I70" s="37">
        <f>IF(ISBLANK(Data!H70),"",Data!H70)</f>
        <v>0</v>
      </c>
      <c r="J70" s="37" t="str">
        <f>IF(ISBLANK(Data!I70),"",Data!I70)</f>
        <v/>
      </c>
      <c r="K70" s="22" t="str">
        <f>IF(ISBLANK(Data!N70),"",Data!N70)</f>
        <v xml:space="preserve">Elanoides </v>
      </c>
      <c r="L70" s="22" t="str">
        <f>IF(ISBLANK(Data!O70),"",Data!O70)</f>
        <v>forficaturs</v>
      </c>
      <c r="M70" s="22"/>
      <c r="N70" s="37" t="str">
        <f>IF(ISBLANK(Data!P70),"",Data!P70)</f>
        <v>Seen</v>
      </c>
      <c r="O70" s="37" t="str">
        <f>IF(ISBLANK(Data!Q70),"",Data!Q70)</f>
        <v/>
      </c>
      <c r="P70" s="37" t="str">
        <f>IF(ISBLANK(Data!R70),"",Data!R70)</f>
        <v/>
      </c>
      <c r="Q70" s="37" t="str">
        <f>IF(ISBLANK(Data!S70),"",Data!S70)</f>
        <v>Camp</v>
      </c>
    </row>
    <row r="71" spans="1:17" x14ac:dyDescent="0.25">
      <c r="A71" s="23">
        <f t="shared" si="1"/>
        <v>2013</v>
      </c>
      <c r="B71" s="42">
        <f>IF(ISBLANK(Data!A71),"",Data!A71)</f>
        <v>41440</v>
      </c>
      <c r="C71" s="35" t="str">
        <f>IF(ISBLANK(Data!B71),"",Data!B71)</f>
        <v/>
      </c>
      <c r="D71" s="36" t="str">
        <f>IF(ISBLANK(Data!C71),"",Data!C71)</f>
        <v>Basecamp</v>
      </c>
      <c r="E71" s="36" t="str">
        <f>IF(ISBLANK(Data!D71),"",Data!D71)</f>
        <v/>
      </c>
      <c r="F71" s="36" t="str">
        <f>IF(ISBLANK(Data!E71),"",Data!E71)</f>
        <v>Alex Laking</v>
      </c>
      <c r="G71" s="37">
        <f>IF(ISBLANK(Data!F71),"",Data!F71)</f>
        <v>1</v>
      </c>
      <c r="H71" s="37">
        <f>IF(ISBLANK(Data!G71),"",Data!G71)</f>
        <v>0</v>
      </c>
      <c r="I71" s="37">
        <f>IF(ISBLANK(Data!H71),"",Data!H71)</f>
        <v>0</v>
      </c>
      <c r="J71" s="37" t="str">
        <f>IF(ISBLANK(Data!I71),"",Data!I71)</f>
        <v/>
      </c>
      <c r="K71" s="22" t="str">
        <f>IF(ISBLANK(Data!N71),"",Data!N71)</f>
        <v xml:space="preserve">Setophaga </v>
      </c>
      <c r="L71" s="22" t="str">
        <f>IF(ISBLANK(Data!O71),"",Data!O71)</f>
        <v>graciae</v>
      </c>
      <c r="M71" s="22"/>
      <c r="N71" s="37" t="str">
        <f>IF(ISBLANK(Data!P71),"",Data!P71)</f>
        <v>Seen</v>
      </c>
      <c r="O71" s="37" t="str">
        <f>IF(ISBLANK(Data!Q71),"",Data!Q71)</f>
        <v/>
      </c>
      <c r="P71" s="37" t="str">
        <f>IF(ISBLANK(Data!R71),"",Data!R71)</f>
        <v/>
      </c>
      <c r="Q71" s="37" t="str">
        <f>IF(ISBLANK(Data!S71),"",Data!S71)</f>
        <v>Camp</v>
      </c>
    </row>
    <row r="72" spans="1:17" x14ac:dyDescent="0.25">
      <c r="A72" s="23">
        <f t="shared" si="1"/>
        <v>2013</v>
      </c>
      <c r="B72" s="42">
        <f>IF(ISBLANK(Data!A72),"",Data!A72)</f>
        <v>41441</v>
      </c>
      <c r="C72" s="35" t="str">
        <f>IF(ISBLANK(Data!B72),"",Data!B72)</f>
        <v/>
      </c>
      <c r="D72" s="36" t="str">
        <f>IF(ISBLANK(Data!C72),"",Data!C72)</f>
        <v>Basecamp</v>
      </c>
      <c r="E72" s="36" t="str">
        <f>IF(ISBLANK(Data!D72),"",Data!D72)</f>
        <v/>
      </c>
      <c r="F72" s="36" t="str">
        <f>IF(ISBLANK(Data!E72),"",Data!E72)</f>
        <v>Alex Laking</v>
      </c>
      <c r="G72" s="37">
        <f>IF(ISBLANK(Data!F72),"",Data!F72)</f>
        <v>2</v>
      </c>
      <c r="H72" s="37">
        <f>IF(ISBLANK(Data!G72),"",Data!G72)</f>
        <v>0</v>
      </c>
      <c r="I72" s="37">
        <f>IF(ISBLANK(Data!H72),"",Data!H72)</f>
        <v>0</v>
      </c>
      <c r="J72" s="37" t="str">
        <f>IF(ISBLANK(Data!I72),"",Data!I72)</f>
        <v/>
      </c>
      <c r="K72" s="22" t="str">
        <f>IF(ISBLANK(Data!N72),"",Data!N72)</f>
        <v xml:space="preserve">Pharomachrus </v>
      </c>
      <c r="L72" s="22" t="str">
        <f>IF(ISBLANK(Data!O72),"",Data!O72)</f>
        <v>mocinno</v>
      </c>
      <c r="M72" s="22"/>
      <c r="N72" s="37" t="str">
        <f>IF(ISBLANK(Data!P72),"",Data!P72)</f>
        <v>Seen</v>
      </c>
      <c r="O72" s="37" t="str">
        <f>IF(ISBLANK(Data!Q72),"",Data!Q72)</f>
        <v/>
      </c>
      <c r="P72" s="37" t="str">
        <f>IF(ISBLANK(Data!R72),"",Data!R72)</f>
        <v/>
      </c>
      <c r="Q72" s="37" t="str">
        <f>IF(ISBLANK(Data!S72),"",Data!S72)</f>
        <v>Camp</v>
      </c>
    </row>
    <row r="73" spans="1:17" x14ac:dyDescent="0.25">
      <c r="A73" s="23">
        <f t="shared" si="1"/>
        <v>2013</v>
      </c>
      <c r="B73" s="42">
        <f>IF(ISBLANK(Data!A73),"",Data!A73)</f>
        <v>41442</v>
      </c>
      <c r="C73" s="35" t="str">
        <f>IF(ISBLANK(Data!B73),"",Data!B73)</f>
        <v/>
      </c>
      <c r="D73" s="36" t="str">
        <f>IF(ISBLANK(Data!C73),"",Data!C73)</f>
        <v>Basecamp</v>
      </c>
      <c r="E73" s="36" t="str">
        <f>IF(ISBLANK(Data!D73),"",Data!D73)</f>
        <v/>
      </c>
      <c r="F73" s="36" t="str">
        <f>IF(ISBLANK(Data!E73),"",Data!E73)</f>
        <v xml:space="preserve">Fred </v>
      </c>
      <c r="G73" s="37">
        <f>IF(ISBLANK(Data!F73),"",Data!F73)</f>
        <v>1</v>
      </c>
      <c r="H73" s="37">
        <f>IF(ISBLANK(Data!G73),"",Data!G73)</f>
        <v>0</v>
      </c>
      <c r="I73" s="37">
        <f>IF(ISBLANK(Data!H73),"",Data!H73)</f>
        <v>0</v>
      </c>
      <c r="J73" s="37" t="str">
        <f>IF(ISBLANK(Data!I73),"",Data!I73)</f>
        <v/>
      </c>
      <c r="K73" s="22" t="str">
        <f>IF(ISBLANK(Data!N73),"",Data!N73)</f>
        <v xml:space="preserve">Piranga </v>
      </c>
      <c r="L73" s="22" t="str">
        <f>IF(ISBLANK(Data!O73),"",Data!O73)</f>
        <v>flava</v>
      </c>
      <c r="M73" s="22"/>
      <c r="N73" s="37" t="str">
        <f>IF(ISBLANK(Data!P73),"",Data!P73)</f>
        <v>Seen</v>
      </c>
      <c r="O73" s="37" t="str">
        <f>IF(ISBLANK(Data!Q73),"",Data!Q73)</f>
        <v/>
      </c>
      <c r="P73" s="37" t="str">
        <f>IF(ISBLANK(Data!R73),"",Data!R73)</f>
        <v/>
      </c>
      <c r="Q73" s="37" t="str">
        <f>IF(ISBLANK(Data!S73),"",Data!S73)</f>
        <v>Camp</v>
      </c>
    </row>
    <row r="74" spans="1:17" x14ac:dyDescent="0.25">
      <c r="A74" s="23">
        <f t="shared" si="1"/>
        <v>2013</v>
      </c>
      <c r="B74" s="42">
        <f>IF(ISBLANK(Data!A74),"",Data!A74)</f>
        <v>41446</v>
      </c>
      <c r="C74" s="35" t="str">
        <f>IF(ISBLANK(Data!B74),"",Data!B74)</f>
        <v/>
      </c>
      <c r="D74" s="36" t="str">
        <f>IF(ISBLANK(Data!C74),"",Data!C74)</f>
        <v>Basecamp</v>
      </c>
      <c r="E74" s="36" t="str">
        <f>IF(ISBLANK(Data!D74),"",Data!D74)</f>
        <v/>
      </c>
      <c r="F74" s="36" t="str">
        <f>IF(ISBLANK(Data!E74),"",Data!E74)</f>
        <v/>
      </c>
      <c r="G74" s="37">
        <f>IF(ISBLANK(Data!F74),"",Data!F74)</f>
        <v>1</v>
      </c>
      <c r="H74" s="37">
        <f>IF(ISBLANK(Data!G74),"",Data!G74)</f>
        <v>0</v>
      </c>
      <c r="I74" s="37">
        <f>IF(ISBLANK(Data!H74),"",Data!H74)</f>
        <v>0</v>
      </c>
      <c r="J74" s="37" t="str">
        <f>IF(ISBLANK(Data!I74),"",Data!I74)</f>
        <v/>
      </c>
      <c r="K74" s="22" t="str">
        <f>IF(ISBLANK(Data!N74),"",Data!N74)</f>
        <v xml:space="preserve">Dendrocincla </v>
      </c>
      <c r="L74" s="22" t="str">
        <f>IF(ISBLANK(Data!O74),"",Data!O74)</f>
        <v>homochroa</v>
      </c>
      <c r="M74" s="22"/>
      <c r="N74" s="37" t="str">
        <f>IF(ISBLANK(Data!P74),"",Data!P74)</f>
        <v>Seen</v>
      </c>
      <c r="O74" s="37" t="str">
        <f>IF(ISBLANK(Data!Q74),"",Data!Q74)</f>
        <v/>
      </c>
      <c r="P74" s="37" t="str">
        <f>IF(ISBLANK(Data!R74),"",Data!R74)</f>
        <v/>
      </c>
      <c r="Q74" s="37" t="str">
        <f>IF(ISBLANK(Data!S74),"",Data!S74)</f>
        <v>Camp</v>
      </c>
    </row>
    <row r="75" spans="1:17" x14ac:dyDescent="0.25">
      <c r="A75" s="23">
        <f t="shared" si="1"/>
        <v>2013</v>
      </c>
      <c r="B75" s="42">
        <f>IF(ISBLANK(Data!A75),"",Data!A75)</f>
        <v>41454</v>
      </c>
      <c r="C75" s="35" t="str">
        <f>IF(ISBLANK(Data!B75),"",Data!B75)</f>
        <v/>
      </c>
      <c r="D75" s="36" t="str">
        <f>IF(ISBLANK(Data!C75),"",Data!C75)</f>
        <v>Basecamp</v>
      </c>
      <c r="E75" s="36" t="str">
        <f>IF(ISBLANK(Data!D75),"",Data!D75)</f>
        <v/>
      </c>
      <c r="F75" s="36" t="str">
        <f>IF(ISBLANK(Data!E75),"",Data!E75)</f>
        <v>Phil Higginson</v>
      </c>
      <c r="G75" s="37">
        <f>IF(ISBLANK(Data!F75),"",Data!F75)</f>
        <v>1</v>
      </c>
      <c r="H75" s="37">
        <f>IF(ISBLANK(Data!G75),"",Data!G75)</f>
        <v>0</v>
      </c>
      <c r="I75" s="37">
        <f>IF(ISBLANK(Data!H75),"",Data!H75)</f>
        <v>0</v>
      </c>
      <c r="J75" s="37" t="str">
        <f>IF(ISBLANK(Data!I75),"",Data!I75)</f>
        <v/>
      </c>
      <c r="K75" s="22" t="str">
        <f>IF(ISBLANK(Data!N75),"",Data!N75)</f>
        <v xml:space="preserve">Ramphastos </v>
      </c>
      <c r="L75" s="22" t="str">
        <f>IF(ISBLANK(Data!O75),"",Data!O75)</f>
        <v>sulfuratus</v>
      </c>
      <c r="M75" s="22"/>
      <c r="N75" s="37" t="str">
        <f>IF(ISBLANK(Data!P75),"",Data!P75)</f>
        <v>Seen</v>
      </c>
      <c r="O75" s="37" t="str">
        <f>IF(ISBLANK(Data!Q75),"",Data!Q75)</f>
        <v/>
      </c>
      <c r="P75" s="37" t="str">
        <f>IF(ISBLANK(Data!R75),"",Data!R75)</f>
        <v/>
      </c>
      <c r="Q75" s="37" t="str">
        <f>IF(ISBLANK(Data!S75),"",Data!S75)</f>
        <v>Camp</v>
      </c>
    </row>
    <row r="76" spans="1:17" ht="30" x14ac:dyDescent="0.25">
      <c r="A76" s="23">
        <f t="shared" si="1"/>
        <v>2013</v>
      </c>
      <c r="B76" s="42">
        <f>IF(ISBLANK(Data!A76),"",Data!A76)</f>
        <v>41459</v>
      </c>
      <c r="C76" s="35" t="str">
        <f>IF(ISBLANK(Data!B76),"",Data!B76)</f>
        <v/>
      </c>
      <c r="D76" s="36" t="str">
        <f>IF(ISBLANK(Data!C76),"",Data!C76)</f>
        <v>Basecamp</v>
      </c>
      <c r="E76" s="36" t="str">
        <f>IF(ISBLANK(Data!D76),"",Data!D76)</f>
        <v/>
      </c>
      <c r="F76" s="36" t="str">
        <f>IF(ISBLANK(Data!E76),"",Data!E76)</f>
        <v>Neil Reid</v>
      </c>
      <c r="G76" s="37">
        <f>IF(ISBLANK(Data!F76),"",Data!F76)</f>
        <v>1</v>
      </c>
      <c r="H76" s="37">
        <f>IF(ISBLANK(Data!G76),"",Data!G76)</f>
        <v>0</v>
      </c>
      <c r="I76" s="37">
        <f>IF(ISBLANK(Data!H76),"",Data!H76)</f>
        <v>0</v>
      </c>
      <c r="J76" s="37" t="str">
        <f>IF(ISBLANK(Data!I76),"",Data!I76)</f>
        <v/>
      </c>
      <c r="K76" s="22" t="str">
        <f>IF(ISBLANK(Data!N76),"",Data!N76)</f>
        <v xml:space="preserve">Campylopterus </v>
      </c>
      <c r="L76" s="22" t="str">
        <f>IF(ISBLANK(Data!O76),"",Data!O76)</f>
        <v>hemileucurus</v>
      </c>
      <c r="M76" s="22"/>
      <c r="N76" s="37" t="str">
        <f>IF(ISBLANK(Data!P76),"",Data!P76)</f>
        <v>Seen</v>
      </c>
      <c r="O76" s="37" t="str">
        <f>IF(ISBLANK(Data!Q76),"",Data!Q76)</f>
        <v/>
      </c>
      <c r="P76" s="37" t="str">
        <f>IF(ISBLANK(Data!R76),"",Data!R76)</f>
        <v/>
      </c>
      <c r="Q76" s="37" t="str">
        <f>IF(ISBLANK(Data!S76),"",Data!S76)</f>
        <v>Las Minas</v>
      </c>
    </row>
    <row r="77" spans="1:17" ht="30" x14ac:dyDescent="0.25">
      <c r="A77" s="23">
        <f t="shared" si="1"/>
        <v>2013</v>
      </c>
      <c r="B77" s="42">
        <f>IF(ISBLANK(Data!A77),"",Data!A77)</f>
        <v>41459</v>
      </c>
      <c r="C77" s="35" t="str">
        <f>IF(ISBLANK(Data!B77),"",Data!B77)</f>
        <v/>
      </c>
      <c r="D77" s="36" t="str">
        <f>IF(ISBLANK(Data!C77),"",Data!C77)</f>
        <v>Basecamp</v>
      </c>
      <c r="E77" s="36" t="str">
        <f>IF(ISBLANK(Data!D77),"",Data!D77)</f>
        <v/>
      </c>
      <c r="F77" s="36" t="str">
        <f>IF(ISBLANK(Data!E77),"",Data!E77)</f>
        <v>Neil Reid</v>
      </c>
      <c r="G77" s="37">
        <f>IF(ISBLANK(Data!F77),"",Data!F77)</f>
        <v>1</v>
      </c>
      <c r="H77" s="37">
        <f>IF(ISBLANK(Data!G77),"",Data!G77)</f>
        <v>0</v>
      </c>
      <c r="I77" s="37">
        <f>IF(ISBLANK(Data!H77),"",Data!H77)</f>
        <v>0</v>
      </c>
      <c r="J77" s="37" t="str">
        <f>IF(ISBLANK(Data!I77),"",Data!I77)</f>
        <v/>
      </c>
      <c r="K77" s="22" t="str">
        <f>IF(ISBLANK(Data!N77),"",Data!N77)</f>
        <v xml:space="preserve">Myioborus </v>
      </c>
      <c r="L77" s="22" t="str">
        <f>IF(ISBLANK(Data!O77),"",Data!O77)</f>
        <v>miniatus</v>
      </c>
      <c r="M77" s="22"/>
      <c r="N77" s="37" t="str">
        <f>IF(ISBLANK(Data!P77),"",Data!P77)</f>
        <v>Seen</v>
      </c>
      <c r="O77" s="37" t="str">
        <f>IF(ISBLANK(Data!Q77),"",Data!Q77)</f>
        <v/>
      </c>
      <c r="P77" s="37" t="str">
        <f>IF(ISBLANK(Data!R77),"",Data!R77)</f>
        <v/>
      </c>
      <c r="Q77" s="37" t="str">
        <f>IF(ISBLANK(Data!S77),"",Data!S77)</f>
        <v>Las Minas</v>
      </c>
    </row>
    <row r="78" spans="1:17" ht="45" x14ac:dyDescent="0.25">
      <c r="A78" s="23">
        <f t="shared" si="1"/>
        <v>2013</v>
      </c>
      <c r="B78" s="42">
        <f>IF(ISBLANK(Data!A78),"",Data!A78)</f>
        <v>41466</v>
      </c>
      <c r="C78" s="35" t="str">
        <f>IF(ISBLANK(Data!B78),"",Data!B78)</f>
        <v/>
      </c>
      <c r="D78" s="36" t="str">
        <f>IF(ISBLANK(Data!C78),"",Data!C78)</f>
        <v>Basecamp</v>
      </c>
      <c r="E78" s="36" t="str">
        <f>IF(ISBLANK(Data!D78),"",Data!D78)</f>
        <v/>
      </c>
      <c r="F78" s="36" t="str">
        <f>IF(ISBLANK(Data!E78),"",Data!E78)</f>
        <v>Reuven Yosef</v>
      </c>
      <c r="G78" s="37">
        <f>IF(ISBLANK(Data!F78),"",Data!F78)</f>
        <v>1</v>
      </c>
      <c r="H78" s="37">
        <f>IF(ISBLANK(Data!G78),"",Data!G78)</f>
        <v>0</v>
      </c>
      <c r="I78" s="37">
        <f>IF(ISBLANK(Data!H78),"",Data!H78)</f>
        <v>0</v>
      </c>
      <c r="J78" s="37" t="str">
        <f>IF(ISBLANK(Data!I78),"",Data!I78)</f>
        <v/>
      </c>
      <c r="K78" s="22" t="str">
        <f>IF(ISBLANK(Data!N78),"",Data!N78)</f>
        <v xml:space="preserve">Pharomachrus </v>
      </c>
      <c r="L78" s="22" t="str">
        <f>IF(ISBLANK(Data!O78),"",Data!O78)</f>
        <v>mocinno</v>
      </c>
      <c r="M78" s="22"/>
      <c r="N78" s="37" t="str">
        <f>IF(ISBLANK(Data!P78),"",Data!P78)</f>
        <v>Seen</v>
      </c>
      <c r="O78" s="37" t="str">
        <f>IF(ISBLANK(Data!Q78),"",Data!Q78)</f>
        <v/>
      </c>
      <c r="P78" s="37" t="str">
        <f>IF(ISBLANK(Data!R78),"",Data!R78)</f>
        <v/>
      </c>
      <c r="Q78" s="37" t="str">
        <f>IF(ISBLANK(Data!S78),"",Data!S78)</f>
        <v>Road to Buenos Aires</v>
      </c>
    </row>
    <row r="79" spans="1:17" ht="45" x14ac:dyDescent="0.25">
      <c r="A79" s="23">
        <f t="shared" si="1"/>
        <v>2013</v>
      </c>
      <c r="B79" s="42">
        <f>IF(ISBLANK(Data!A79),"",Data!A79)</f>
        <v>41466</v>
      </c>
      <c r="C79" s="35" t="str">
        <f>IF(ISBLANK(Data!B79),"",Data!B79)</f>
        <v/>
      </c>
      <c r="D79" s="36" t="str">
        <f>IF(ISBLANK(Data!C79),"",Data!C79)</f>
        <v>Basecamp</v>
      </c>
      <c r="E79" s="36" t="str">
        <f>IF(ISBLANK(Data!D79),"",Data!D79)</f>
        <v/>
      </c>
      <c r="F79" s="36" t="str">
        <f>IF(ISBLANK(Data!E79),"",Data!E79)</f>
        <v>Reuven Yosef</v>
      </c>
      <c r="G79" s="37">
        <f>IF(ISBLANK(Data!F79),"",Data!F79)</f>
        <v>1</v>
      </c>
      <c r="H79" s="37">
        <f>IF(ISBLANK(Data!G79),"",Data!G79)</f>
        <v>0</v>
      </c>
      <c r="I79" s="37">
        <f>IF(ISBLANK(Data!H79),"",Data!H79)</f>
        <v>0</v>
      </c>
      <c r="J79" s="37" t="str">
        <f>IF(ISBLANK(Data!I79),"",Data!I79)</f>
        <v/>
      </c>
      <c r="K79" s="22" t="str">
        <f>IF(ISBLANK(Data!N79),"",Data!N79)</f>
        <v xml:space="preserve">Myioborus </v>
      </c>
      <c r="L79" s="22" t="str">
        <f>IF(ISBLANK(Data!O79),"",Data!O79)</f>
        <v>miniatus</v>
      </c>
      <c r="M79" s="22"/>
      <c r="N79" s="37" t="str">
        <f>IF(ISBLANK(Data!P79),"",Data!P79)</f>
        <v>Seen</v>
      </c>
      <c r="O79" s="37" t="str">
        <f>IF(ISBLANK(Data!Q79),"",Data!Q79)</f>
        <v/>
      </c>
      <c r="P79" s="37" t="str">
        <f>IF(ISBLANK(Data!R79),"",Data!R79)</f>
        <v/>
      </c>
      <c r="Q79" s="37" t="str">
        <f>IF(ISBLANK(Data!S79),"",Data!S79)</f>
        <v>Road to Buenos Aires</v>
      </c>
    </row>
    <row r="80" spans="1:17" x14ac:dyDescent="0.25">
      <c r="A80" s="23" t="e">
        <f t="shared" ref="A80:A130" si="2">IF(B80="","",YEAR(B80))</f>
        <v>#REF!</v>
      </c>
      <c r="B80" s="42" t="e">
        <f>IF(ISBLANK(Data!#REF!),"",Data!#REF!)</f>
        <v>#REF!</v>
      </c>
      <c r="C80" s="35" t="e">
        <f>IF(ISBLANK(Data!#REF!),"",Data!#REF!)</f>
        <v>#REF!</v>
      </c>
      <c r="D80" s="36" t="e">
        <f>IF(ISBLANK(Data!#REF!),"",Data!#REF!)</f>
        <v>#REF!</v>
      </c>
      <c r="E80" s="36" t="e">
        <f>IF(ISBLANK(Data!#REF!),"",Data!#REF!)</f>
        <v>#REF!</v>
      </c>
      <c r="F80" s="36" t="e">
        <f>IF(ISBLANK(Data!#REF!),"",Data!#REF!)</f>
        <v>#REF!</v>
      </c>
      <c r="G80" s="37" t="e">
        <f>IF(ISBLANK(Data!#REF!),"",Data!#REF!)</f>
        <v>#REF!</v>
      </c>
      <c r="H80" s="37" t="e">
        <f>IF(ISBLANK(Data!#REF!),"",Data!#REF!)</f>
        <v>#REF!</v>
      </c>
      <c r="I80" s="37" t="e">
        <f>IF(ISBLANK(Data!#REF!),"",Data!#REF!)</f>
        <v>#REF!</v>
      </c>
      <c r="J80" s="37" t="e">
        <f>IF(ISBLANK(Data!#REF!),"",Data!#REF!)</f>
        <v>#REF!</v>
      </c>
      <c r="K80" s="22" t="e">
        <f>IF(ISBLANK(Data!#REF!),"",Data!#REF!)</f>
        <v>#REF!</v>
      </c>
      <c r="L80" s="22" t="e">
        <f>IF(ISBLANK(Data!#REF!),"",Data!#REF!)</f>
        <v>#REF!</v>
      </c>
      <c r="M80" s="22"/>
      <c r="N80" s="37" t="e">
        <f>IF(ISBLANK(Data!#REF!),"",Data!#REF!)</f>
        <v>#REF!</v>
      </c>
      <c r="O80" s="37" t="e">
        <f>IF(ISBLANK(Data!#REF!),"",Data!#REF!)</f>
        <v>#REF!</v>
      </c>
      <c r="P80" s="37" t="e">
        <f>IF(ISBLANK(Data!#REF!),"",Data!#REF!)</f>
        <v>#REF!</v>
      </c>
      <c r="Q80" s="37" t="e">
        <f>IF(ISBLANK(Data!#REF!),"",Data!#REF!)</f>
        <v>#REF!</v>
      </c>
    </row>
    <row r="81" spans="1:17" x14ac:dyDescent="0.25">
      <c r="A81" s="23" t="e">
        <f t="shared" si="2"/>
        <v>#REF!</v>
      </c>
      <c r="B81" s="42" t="e">
        <f>IF(ISBLANK(Data!#REF!),"",Data!#REF!)</f>
        <v>#REF!</v>
      </c>
      <c r="C81" s="35" t="e">
        <f>IF(ISBLANK(Data!#REF!),"",Data!#REF!)</f>
        <v>#REF!</v>
      </c>
      <c r="D81" s="36" t="e">
        <f>IF(ISBLANK(Data!#REF!),"",Data!#REF!)</f>
        <v>#REF!</v>
      </c>
      <c r="E81" s="36" t="e">
        <f>IF(ISBLANK(Data!#REF!),"",Data!#REF!)</f>
        <v>#REF!</v>
      </c>
      <c r="F81" s="36" t="e">
        <f>IF(ISBLANK(Data!#REF!),"",Data!#REF!)</f>
        <v>#REF!</v>
      </c>
      <c r="G81" s="37" t="e">
        <f>IF(ISBLANK(Data!#REF!),"",Data!#REF!)</f>
        <v>#REF!</v>
      </c>
      <c r="H81" s="37" t="e">
        <f>IF(ISBLANK(Data!#REF!),"",Data!#REF!)</f>
        <v>#REF!</v>
      </c>
      <c r="I81" s="37" t="e">
        <f>IF(ISBLANK(Data!#REF!),"",Data!#REF!)</f>
        <v>#REF!</v>
      </c>
      <c r="J81" s="37" t="e">
        <f>IF(ISBLANK(Data!#REF!),"",Data!#REF!)</f>
        <v>#REF!</v>
      </c>
      <c r="K81" s="22" t="e">
        <f>IF(ISBLANK(Data!#REF!),"",Data!#REF!)</f>
        <v>#REF!</v>
      </c>
      <c r="L81" s="22" t="e">
        <f>IF(ISBLANK(Data!#REF!),"",Data!#REF!)</f>
        <v>#REF!</v>
      </c>
      <c r="M81" s="22"/>
      <c r="N81" s="37" t="e">
        <f>IF(ISBLANK(Data!#REF!),"",Data!#REF!)</f>
        <v>#REF!</v>
      </c>
      <c r="O81" s="37" t="e">
        <f>IF(ISBLANK(Data!#REF!),"",Data!#REF!)</f>
        <v>#REF!</v>
      </c>
      <c r="P81" s="37" t="e">
        <f>IF(ISBLANK(Data!#REF!),"",Data!#REF!)</f>
        <v>#REF!</v>
      </c>
      <c r="Q81" s="37" t="e">
        <f>IF(ISBLANK(Data!#REF!),"",Data!#REF!)</f>
        <v>#REF!</v>
      </c>
    </row>
    <row r="82" spans="1:17" x14ac:dyDescent="0.25">
      <c r="A82" s="23" t="e">
        <f t="shared" si="2"/>
        <v>#REF!</v>
      </c>
      <c r="B82" s="42" t="e">
        <f>IF(ISBLANK(Data!#REF!),"",Data!#REF!)</f>
        <v>#REF!</v>
      </c>
      <c r="C82" s="35" t="e">
        <f>IF(ISBLANK(Data!#REF!),"",Data!#REF!)</f>
        <v>#REF!</v>
      </c>
      <c r="D82" s="36" t="e">
        <f>IF(ISBLANK(Data!#REF!),"",Data!#REF!)</f>
        <v>#REF!</v>
      </c>
      <c r="E82" s="36" t="e">
        <f>IF(ISBLANK(Data!#REF!),"",Data!#REF!)</f>
        <v>#REF!</v>
      </c>
      <c r="F82" s="36" t="e">
        <f>IF(ISBLANK(Data!#REF!),"",Data!#REF!)</f>
        <v>#REF!</v>
      </c>
      <c r="G82" s="37" t="e">
        <f>IF(ISBLANK(Data!#REF!),"",Data!#REF!)</f>
        <v>#REF!</v>
      </c>
      <c r="H82" s="37" t="e">
        <f>IF(ISBLANK(Data!#REF!),"",Data!#REF!)</f>
        <v>#REF!</v>
      </c>
      <c r="I82" s="37" t="e">
        <f>IF(ISBLANK(Data!#REF!),"",Data!#REF!)</f>
        <v>#REF!</v>
      </c>
      <c r="J82" s="37" t="e">
        <f>IF(ISBLANK(Data!#REF!),"",Data!#REF!)</f>
        <v>#REF!</v>
      </c>
      <c r="K82" s="22" t="e">
        <f>IF(ISBLANK(Data!#REF!),"",Data!#REF!)</f>
        <v>#REF!</v>
      </c>
      <c r="L82" s="22" t="e">
        <f>IF(ISBLANK(Data!#REF!),"",Data!#REF!)</f>
        <v>#REF!</v>
      </c>
      <c r="M82" s="22"/>
      <c r="N82" s="37" t="e">
        <f>IF(ISBLANK(Data!#REF!),"",Data!#REF!)</f>
        <v>#REF!</v>
      </c>
      <c r="O82" s="37" t="e">
        <f>IF(ISBLANK(Data!#REF!),"",Data!#REF!)</f>
        <v>#REF!</v>
      </c>
      <c r="P82" s="37" t="e">
        <f>IF(ISBLANK(Data!#REF!),"",Data!#REF!)</f>
        <v>#REF!</v>
      </c>
      <c r="Q82" s="37" t="e">
        <f>IF(ISBLANK(Data!#REF!),"",Data!#REF!)</f>
        <v>#REF!</v>
      </c>
    </row>
    <row r="83" spans="1:17" x14ac:dyDescent="0.25">
      <c r="A83" s="23" t="e">
        <f t="shared" si="2"/>
        <v>#REF!</v>
      </c>
      <c r="B83" s="42" t="e">
        <f>IF(ISBLANK(Data!#REF!),"",Data!#REF!)</f>
        <v>#REF!</v>
      </c>
      <c r="C83" s="35" t="e">
        <f>IF(ISBLANK(Data!#REF!),"",Data!#REF!)</f>
        <v>#REF!</v>
      </c>
      <c r="D83" s="36" t="e">
        <f>IF(ISBLANK(Data!#REF!),"",Data!#REF!)</f>
        <v>#REF!</v>
      </c>
      <c r="E83" s="36" t="e">
        <f>IF(ISBLANK(Data!#REF!),"",Data!#REF!)</f>
        <v>#REF!</v>
      </c>
      <c r="F83" s="36" t="e">
        <f>IF(ISBLANK(Data!#REF!),"",Data!#REF!)</f>
        <v>#REF!</v>
      </c>
      <c r="G83" s="37" t="e">
        <f>IF(ISBLANK(Data!#REF!),"",Data!#REF!)</f>
        <v>#REF!</v>
      </c>
      <c r="H83" s="37" t="e">
        <f>IF(ISBLANK(Data!#REF!),"",Data!#REF!)</f>
        <v>#REF!</v>
      </c>
      <c r="I83" s="37" t="e">
        <f>IF(ISBLANK(Data!#REF!),"",Data!#REF!)</f>
        <v>#REF!</v>
      </c>
      <c r="J83" s="37" t="e">
        <f>IF(ISBLANK(Data!#REF!),"",Data!#REF!)</f>
        <v>#REF!</v>
      </c>
      <c r="K83" s="22" t="e">
        <f>IF(ISBLANK(Data!#REF!),"",Data!#REF!)</f>
        <v>#REF!</v>
      </c>
      <c r="L83" s="22" t="e">
        <f>IF(ISBLANK(Data!#REF!),"",Data!#REF!)</f>
        <v>#REF!</v>
      </c>
      <c r="M83" s="22"/>
      <c r="N83" s="37" t="e">
        <f>IF(ISBLANK(Data!#REF!),"",Data!#REF!)</f>
        <v>#REF!</v>
      </c>
      <c r="O83" s="37" t="e">
        <f>IF(ISBLANK(Data!#REF!),"",Data!#REF!)</f>
        <v>#REF!</v>
      </c>
      <c r="P83" s="37" t="e">
        <f>IF(ISBLANK(Data!#REF!),"",Data!#REF!)</f>
        <v>#REF!</v>
      </c>
      <c r="Q83" s="37" t="e">
        <f>IF(ISBLANK(Data!#REF!),"",Data!#REF!)</f>
        <v>#REF!</v>
      </c>
    </row>
    <row r="84" spans="1:17" x14ac:dyDescent="0.25">
      <c r="A84" s="23" t="e">
        <f t="shared" si="2"/>
        <v>#REF!</v>
      </c>
      <c r="B84" s="42" t="e">
        <f>IF(ISBLANK(Data!#REF!),"",Data!#REF!)</f>
        <v>#REF!</v>
      </c>
      <c r="C84" s="35" t="e">
        <f>IF(ISBLANK(Data!#REF!),"",Data!#REF!)</f>
        <v>#REF!</v>
      </c>
      <c r="D84" s="36" t="e">
        <f>IF(ISBLANK(Data!#REF!),"",Data!#REF!)</f>
        <v>#REF!</v>
      </c>
      <c r="E84" s="36" t="e">
        <f>IF(ISBLANK(Data!#REF!),"",Data!#REF!)</f>
        <v>#REF!</v>
      </c>
      <c r="F84" s="36" t="e">
        <f>IF(ISBLANK(Data!#REF!),"",Data!#REF!)</f>
        <v>#REF!</v>
      </c>
      <c r="G84" s="37" t="e">
        <f>IF(ISBLANK(Data!#REF!),"",Data!#REF!)</f>
        <v>#REF!</v>
      </c>
      <c r="H84" s="37" t="e">
        <f>IF(ISBLANK(Data!#REF!),"",Data!#REF!)</f>
        <v>#REF!</v>
      </c>
      <c r="I84" s="37" t="e">
        <f>IF(ISBLANK(Data!#REF!),"",Data!#REF!)</f>
        <v>#REF!</v>
      </c>
      <c r="J84" s="37" t="e">
        <f>IF(ISBLANK(Data!#REF!),"",Data!#REF!)</f>
        <v>#REF!</v>
      </c>
      <c r="K84" s="22" t="e">
        <f>IF(ISBLANK(Data!#REF!),"",Data!#REF!)</f>
        <v>#REF!</v>
      </c>
      <c r="L84" s="22" t="e">
        <f>IF(ISBLANK(Data!#REF!),"",Data!#REF!)</f>
        <v>#REF!</v>
      </c>
      <c r="M84" s="22"/>
      <c r="N84" s="37" t="e">
        <f>IF(ISBLANK(Data!#REF!),"",Data!#REF!)</f>
        <v>#REF!</v>
      </c>
      <c r="O84" s="37" t="e">
        <f>IF(ISBLANK(Data!#REF!),"",Data!#REF!)</f>
        <v>#REF!</v>
      </c>
      <c r="P84" s="37" t="e">
        <f>IF(ISBLANK(Data!#REF!),"",Data!#REF!)</f>
        <v>#REF!</v>
      </c>
      <c r="Q84" s="37" t="e">
        <f>IF(ISBLANK(Data!#REF!),"",Data!#REF!)</f>
        <v>#REF!</v>
      </c>
    </row>
    <row r="85" spans="1:17" x14ac:dyDescent="0.25">
      <c r="A85" s="23" t="e">
        <f t="shared" si="2"/>
        <v>#REF!</v>
      </c>
      <c r="B85" s="42" t="e">
        <f>IF(ISBLANK(Data!#REF!),"",Data!#REF!)</f>
        <v>#REF!</v>
      </c>
      <c r="C85" s="35" t="e">
        <f>IF(ISBLANK(Data!#REF!),"",Data!#REF!)</f>
        <v>#REF!</v>
      </c>
      <c r="D85" s="36" t="e">
        <f>IF(ISBLANK(Data!#REF!),"",Data!#REF!)</f>
        <v>#REF!</v>
      </c>
      <c r="E85" s="36" t="e">
        <f>IF(ISBLANK(Data!#REF!),"",Data!#REF!)</f>
        <v>#REF!</v>
      </c>
      <c r="F85" s="36" t="e">
        <f>IF(ISBLANK(Data!#REF!),"",Data!#REF!)</f>
        <v>#REF!</v>
      </c>
      <c r="G85" s="37" t="e">
        <f>IF(ISBLANK(Data!#REF!),"",Data!#REF!)</f>
        <v>#REF!</v>
      </c>
      <c r="H85" s="37" t="e">
        <f>IF(ISBLANK(Data!#REF!),"",Data!#REF!)</f>
        <v>#REF!</v>
      </c>
      <c r="I85" s="37" t="e">
        <f>IF(ISBLANK(Data!#REF!),"",Data!#REF!)</f>
        <v>#REF!</v>
      </c>
      <c r="J85" s="37" t="e">
        <f>IF(ISBLANK(Data!#REF!),"",Data!#REF!)</f>
        <v>#REF!</v>
      </c>
      <c r="K85" s="22" t="e">
        <f>IF(ISBLANK(Data!#REF!),"",Data!#REF!)</f>
        <v>#REF!</v>
      </c>
      <c r="L85" s="22" t="e">
        <f>IF(ISBLANK(Data!#REF!),"",Data!#REF!)</f>
        <v>#REF!</v>
      </c>
      <c r="M85" s="22"/>
      <c r="N85" s="37" t="e">
        <f>IF(ISBLANK(Data!#REF!),"",Data!#REF!)</f>
        <v>#REF!</v>
      </c>
      <c r="O85" s="37" t="e">
        <f>IF(ISBLANK(Data!#REF!),"",Data!#REF!)</f>
        <v>#REF!</v>
      </c>
      <c r="P85" s="37" t="e">
        <f>IF(ISBLANK(Data!#REF!),"",Data!#REF!)</f>
        <v>#REF!</v>
      </c>
      <c r="Q85" s="37" t="e">
        <f>IF(ISBLANK(Data!#REF!),"",Data!#REF!)</f>
        <v>#REF!</v>
      </c>
    </row>
    <row r="86" spans="1:17" x14ac:dyDescent="0.25">
      <c r="A86" s="23" t="e">
        <f t="shared" si="2"/>
        <v>#REF!</v>
      </c>
      <c r="B86" s="42" t="e">
        <f>IF(ISBLANK(Data!#REF!),"",Data!#REF!)</f>
        <v>#REF!</v>
      </c>
      <c r="C86" s="35" t="e">
        <f>IF(ISBLANK(Data!#REF!),"",Data!#REF!)</f>
        <v>#REF!</v>
      </c>
      <c r="D86" s="36" t="e">
        <f>IF(ISBLANK(Data!#REF!),"",Data!#REF!)</f>
        <v>#REF!</v>
      </c>
      <c r="E86" s="36" t="e">
        <f>IF(ISBLANK(Data!#REF!),"",Data!#REF!)</f>
        <v>#REF!</v>
      </c>
      <c r="F86" s="36" t="e">
        <f>IF(ISBLANK(Data!#REF!),"",Data!#REF!)</f>
        <v>#REF!</v>
      </c>
      <c r="G86" s="37" t="e">
        <f>IF(ISBLANK(Data!#REF!),"",Data!#REF!)</f>
        <v>#REF!</v>
      </c>
      <c r="H86" s="37" t="e">
        <f>IF(ISBLANK(Data!#REF!),"",Data!#REF!)</f>
        <v>#REF!</v>
      </c>
      <c r="I86" s="37" t="e">
        <f>IF(ISBLANK(Data!#REF!),"",Data!#REF!)</f>
        <v>#REF!</v>
      </c>
      <c r="J86" s="37" t="e">
        <f>IF(ISBLANK(Data!#REF!),"",Data!#REF!)</f>
        <v>#REF!</v>
      </c>
      <c r="K86" s="22" t="e">
        <f>IF(ISBLANK(Data!#REF!),"",Data!#REF!)</f>
        <v>#REF!</v>
      </c>
      <c r="L86" s="22" t="e">
        <f>IF(ISBLANK(Data!#REF!),"",Data!#REF!)</f>
        <v>#REF!</v>
      </c>
      <c r="M86" s="22"/>
      <c r="N86" s="37" t="e">
        <f>IF(ISBLANK(Data!#REF!),"",Data!#REF!)</f>
        <v>#REF!</v>
      </c>
      <c r="O86" s="37" t="e">
        <f>IF(ISBLANK(Data!#REF!),"",Data!#REF!)</f>
        <v>#REF!</v>
      </c>
      <c r="P86" s="37" t="e">
        <f>IF(ISBLANK(Data!#REF!),"",Data!#REF!)</f>
        <v>#REF!</v>
      </c>
      <c r="Q86" s="37" t="e">
        <f>IF(ISBLANK(Data!#REF!),"",Data!#REF!)</f>
        <v>#REF!</v>
      </c>
    </row>
    <row r="87" spans="1:17" x14ac:dyDescent="0.25">
      <c r="A87" s="23" t="e">
        <f t="shared" si="2"/>
        <v>#REF!</v>
      </c>
      <c r="B87" s="42" t="e">
        <f>IF(ISBLANK(Data!#REF!),"",Data!#REF!)</f>
        <v>#REF!</v>
      </c>
      <c r="C87" s="35" t="e">
        <f>IF(ISBLANK(Data!#REF!),"",Data!#REF!)</f>
        <v>#REF!</v>
      </c>
      <c r="D87" s="36" t="e">
        <f>IF(ISBLANK(Data!#REF!),"",Data!#REF!)</f>
        <v>#REF!</v>
      </c>
      <c r="E87" s="36" t="e">
        <f>IF(ISBLANK(Data!#REF!),"",Data!#REF!)</f>
        <v>#REF!</v>
      </c>
      <c r="F87" s="36" t="e">
        <f>IF(ISBLANK(Data!#REF!),"",Data!#REF!)</f>
        <v>#REF!</v>
      </c>
      <c r="G87" s="37" t="e">
        <f>IF(ISBLANK(Data!#REF!),"",Data!#REF!)</f>
        <v>#REF!</v>
      </c>
      <c r="H87" s="37" t="e">
        <f>IF(ISBLANK(Data!#REF!),"",Data!#REF!)</f>
        <v>#REF!</v>
      </c>
      <c r="I87" s="37" t="e">
        <f>IF(ISBLANK(Data!#REF!),"",Data!#REF!)</f>
        <v>#REF!</v>
      </c>
      <c r="J87" s="37" t="e">
        <f>IF(ISBLANK(Data!#REF!),"",Data!#REF!)</f>
        <v>#REF!</v>
      </c>
      <c r="K87" s="22" t="e">
        <f>IF(ISBLANK(Data!#REF!),"",Data!#REF!)</f>
        <v>#REF!</v>
      </c>
      <c r="L87" s="22" t="e">
        <f>IF(ISBLANK(Data!#REF!),"",Data!#REF!)</f>
        <v>#REF!</v>
      </c>
      <c r="M87" s="22"/>
      <c r="N87" s="37" t="e">
        <f>IF(ISBLANK(Data!#REF!),"",Data!#REF!)</f>
        <v>#REF!</v>
      </c>
      <c r="O87" s="37" t="e">
        <f>IF(ISBLANK(Data!#REF!),"",Data!#REF!)</f>
        <v>#REF!</v>
      </c>
      <c r="P87" s="37" t="e">
        <f>IF(ISBLANK(Data!#REF!),"",Data!#REF!)</f>
        <v>#REF!</v>
      </c>
      <c r="Q87" s="37" t="e">
        <f>IF(ISBLANK(Data!#REF!),"",Data!#REF!)</f>
        <v>#REF!</v>
      </c>
    </row>
    <row r="88" spans="1:17" x14ac:dyDescent="0.25">
      <c r="A88" s="23" t="e">
        <f t="shared" si="2"/>
        <v>#REF!</v>
      </c>
      <c r="B88" s="42" t="e">
        <f>IF(ISBLANK(Data!#REF!),"",Data!#REF!)</f>
        <v>#REF!</v>
      </c>
      <c r="C88" s="35" t="e">
        <f>IF(ISBLANK(Data!#REF!),"",Data!#REF!)</f>
        <v>#REF!</v>
      </c>
      <c r="D88" s="36" t="e">
        <f>IF(ISBLANK(Data!#REF!),"",Data!#REF!)</f>
        <v>#REF!</v>
      </c>
      <c r="E88" s="36" t="e">
        <f>IF(ISBLANK(Data!#REF!),"",Data!#REF!)</f>
        <v>#REF!</v>
      </c>
      <c r="F88" s="36" t="e">
        <f>IF(ISBLANK(Data!#REF!),"",Data!#REF!)</f>
        <v>#REF!</v>
      </c>
      <c r="G88" s="37" t="e">
        <f>IF(ISBLANK(Data!#REF!),"",Data!#REF!)</f>
        <v>#REF!</v>
      </c>
      <c r="H88" s="37" t="e">
        <f>IF(ISBLANK(Data!#REF!),"",Data!#REF!)</f>
        <v>#REF!</v>
      </c>
      <c r="I88" s="37" t="e">
        <f>IF(ISBLANK(Data!#REF!),"",Data!#REF!)</f>
        <v>#REF!</v>
      </c>
      <c r="J88" s="37" t="e">
        <f>IF(ISBLANK(Data!#REF!),"",Data!#REF!)</f>
        <v>#REF!</v>
      </c>
      <c r="K88" s="22" t="e">
        <f>IF(ISBLANK(Data!#REF!),"",Data!#REF!)</f>
        <v>#REF!</v>
      </c>
      <c r="L88" s="22" t="e">
        <f>IF(ISBLANK(Data!#REF!),"",Data!#REF!)</f>
        <v>#REF!</v>
      </c>
      <c r="M88" s="22"/>
      <c r="N88" s="37" t="e">
        <f>IF(ISBLANK(Data!#REF!),"",Data!#REF!)</f>
        <v>#REF!</v>
      </c>
      <c r="O88" s="37" t="e">
        <f>IF(ISBLANK(Data!#REF!),"",Data!#REF!)</f>
        <v>#REF!</v>
      </c>
      <c r="P88" s="37" t="e">
        <f>IF(ISBLANK(Data!#REF!),"",Data!#REF!)</f>
        <v>#REF!</v>
      </c>
      <c r="Q88" s="37" t="e">
        <f>IF(ISBLANK(Data!#REF!),"",Data!#REF!)</f>
        <v>#REF!</v>
      </c>
    </row>
    <row r="89" spans="1:17" x14ac:dyDescent="0.25">
      <c r="A89" s="23" t="e">
        <f t="shared" si="2"/>
        <v>#REF!</v>
      </c>
      <c r="B89" s="42" t="e">
        <f>IF(ISBLANK(Data!#REF!),"",Data!#REF!)</f>
        <v>#REF!</v>
      </c>
      <c r="C89" s="35" t="e">
        <f>IF(ISBLANK(Data!#REF!),"",Data!#REF!)</f>
        <v>#REF!</v>
      </c>
      <c r="D89" s="36" t="e">
        <f>IF(ISBLANK(Data!#REF!),"",Data!#REF!)</f>
        <v>#REF!</v>
      </c>
      <c r="E89" s="36" t="e">
        <f>IF(ISBLANK(Data!#REF!),"",Data!#REF!)</f>
        <v>#REF!</v>
      </c>
      <c r="F89" s="36" t="e">
        <f>IF(ISBLANK(Data!#REF!),"",Data!#REF!)</f>
        <v>#REF!</v>
      </c>
      <c r="G89" s="37" t="e">
        <f>IF(ISBLANK(Data!#REF!),"",Data!#REF!)</f>
        <v>#REF!</v>
      </c>
      <c r="H89" s="37" t="e">
        <f>IF(ISBLANK(Data!#REF!),"",Data!#REF!)</f>
        <v>#REF!</v>
      </c>
      <c r="I89" s="37" t="e">
        <f>IF(ISBLANK(Data!#REF!),"",Data!#REF!)</f>
        <v>#REF!</v>
      </c>
      <c r="J89" s="37" t="e">
        <f>IF(ISBLANK(Data!#REF!),"",Data!#REF!)</f>
        <v>#REF!</v>
      </c>
      <c r="K89" s="22" t="e">
        <f>IF(ISBLANK(Data!#REF!),"",Data!#REF!)</f>
        <v>#REF!</v>
      </c>
      <c r="L89" s="22" t="e">
        <f>IF(ISBLANK(Data!#REF!),"",Data!#REF!)</f>
        <v>#REF!</v>
      </c>
      <c r="M89" s="22"/>
      <c r="N89" s="37" t="e">
        <f>IF(ISBLANK(Data!#REF!),"",Data!#REF!)</f>
        <v>#REF!</v>
      </c>
      <c r="O89" s="37" t="e">
        <f>IF(ISBLANK(Data!#REF!),"",Data!#REF!)</f>
        <v>#REF!</v>
      </c>
      <c r="P89" s="37" t="e">
        <f>IF(ISBLANK(Data!#REF!),"",Data!#REF!)</f>
        <v>#REF!</v>
      </c>
      <c r="Q89" s="37" t="e">
        <f>IF(ISBLANK(Data!#REF!),"",Data!#REF!)</f>
        <v>#REF!</v>
      </c>
    </row>
    <row r="90" spans="1:17" x14ac:dyDescent="0.25">
      <c r="A90" s="23" t="e">
        <f t="shared" si="2"/>
        <v>#REF!</v>
      </c>
      <c r="B90" s="42" t="e">
        <f>IF(ISBLANK(Data!#REF!),"",Data!#REF!)</f>
        <v>#REF!</v>
      </c>
      <c r="C90" s="35" t="e">
        <f>IF(ISBLANK(Data!#REF!),"",Data!#REF!)</f>
        <v>#REF!</v>
      </c>
      <c r="D90" s="36" t="e">
        <f>IF(ISBLANK(Data!#REF!),"",Data!#REF!)</f>
        <v>#REF!</v>
      </c>
      <c r="E90" s="36" t="e">
        <f>IF(ISBLANK(Data!#REF!),"",Data!#REF!)</f>
        <v>#REF!</v>
      </c>
      <c r="F90" s="36" t="e">
        <f>IF(ISBLANK(Data!#REF!),"",Data!#REF!)</f>
        <v>#REF!</v>
      </c>
      <c r="G90" s="37" t="e">
        <f>IF(ISBLANK(Data!#REF!),"",Data!#REF!)</f>
        <v>#REF!</v>
      </c>
      <c r="H90" s="37" t="e">
        <f>IF(ISBLANK(Data!#REF!),"",Data!#REF!)</f>
        <v>#REF!</v>
      </c>
      <c r="I90" s="37" t="e">
        <f>IF(ISBLANK(Data!#REF!),"",Data!#REF!)</f>
        <v>#REF!</v>
      </c>
      <c r="J90" s="37" t="e">
        <f>IF(ISBLANK(Data!#REF!),"",Data!#REF!)</f>
        <v>#REF!</v>
      </c>
      <c r="K90" s="22" t="e">
        <f>IF(ISBLANK(Data!#REF!),"",Data!#REF!)</f>
        <v>#REF!</v>
      </c>
      <c r="L90" s="22" t="e">
        <f>IF(ISBLANK(Data!#REF!),"",Data!#REF!)</f>
        <v>#REF!</v>
      </c>
      <c r="M90" s="22"/>
      <c r="N90" s="37" t="e">
        <f>IF(ISBLANK(Data!#REF!),"",Data!#REF!)</f>
        <v>#REF!</v>
      </c>
      <c r="O90" s="37" t="e">
        <f>IF(ISBLANK(Data!#REF!),"",Data!#REF!)</f>
        <v>#REF!</v>
      </c>
      <c r="P90" s="37" t="e">
        <f>IF(ISBLANK(Data!#REF!),"",Data!#REF!)</f>
        <v>#REF!</v>
      </c>
      <c r="Q90" s="37" t="e">
        <f>IF(ISBLANK(Data!#REF!),"",Data!#REF!)</f>
        <v>#REF!</v>
      </c>
    </row>
    <row r="91" spans="1:17" x14ac:dyDescent="0.25">
      <c r="A91" s="23" t="e">
        <f t="shared" si="2"/>
        <v>#REF!</v>
      </c>
      <c r="B91" s="42" t="e">
        <f>IF(ISBLANK(Data!#REF!),"",Data!#REF!)</f>
        <v>#REF!</v>
      </c>
      <c r="C91" s="35" t="e">
        <f>IF(ISBLANK(Data!#REF!),"",Data!#REF!)</f>
        <v>#REF!</v>
      </c>
      <c r="D91" s="36" t="e">
        <f>IF(ISBLANK(Data!#REF!),"",Data!#REF!)</f>
        <v>#REF!</v>
      </c>
      <c r="E91" s="36" t="e">
        <f>IF(ISBLANK(Data!#REF!),"",Data!#REF!)</f>
        <v>#REF!</v>
      </c>
      <c r="F91" s="36" t="e">
        <f>IF(ISBLANK(Data!#REF!),"",Data!#REF!)</f>
        <v>#REF!</v>
      </c>
      <c r="G91" s="37" t="e">
        <f>IF(ISBLANK(Data!#REF!),"",Data!#REF!)</f>
        <v>#REF!</v>
      </c>
      <c r="H91" s="37" t="e">
        <f>IF(ISBLANK(Data!#REF!),"",Data!#REF!)</f>
        <v>#REF!</v>
      </c>
      <c r="I91" s="37" t="e">
        <f>IF(ISBLANK(Data!#REF!),"",Data!#REF!)</f>
        <v>#REF!</v>
      </c>
      <c r="J91" s="37" t="e">
        <f>IF(ISBLANK(Data!#REF!),"",Data!#REF!)</f>
        <v>#REF!</v>
      </c>
      <c r="K91" s="22" t="e">
        <f>IF(ISBLANK(Data!#REF!),"",Data!#REF!)</f>
        <v>#REF!</v>
      </c>
      <c r="L91" s="22" t="e">
        <f>IF(ISBLANK(Data!#REF!),"",Data!#REF!)</f>
        <v>#REF!</v>
      </c>
      <c r="M91" s="22"/>
      <c r="N91" s="37" t="e">
        <f>IF(ISBLANK(Data!#REF!),"",Data!#REF!)</f>
        <v>#REF!</v>
      </c>
      <c r="O91" s="37" t="e">
        <f>IF(ISBLANK(Data!#REF!),"",Data!#REF!)</f>
        <v>#REF!</v>
      </c>
      <c r="P91" s="37" t="e">
        <f>IF(ISBLANK(Data!#REF!),"",Data!#REF!)</f>
        <v>#REF!</v>
      </c>
      <c r="Q91" s="37" t="e">
        <f>IF(ISBLANK(Data!#REF!),"",Data!#REF!)</f>
        <v>#REF!</v>
      </c>
    </row>
    <row r="92" spans="1:17" x14ac:dyDescent="0.25">
      <c r="A92" s="23" t="e">
        <f t="shared" si="2"/>
        <v>#REF!</v>
      </c>
      <c r="B92" s="42" t="e">
        <f>IF(ISBLANK(Data!#REF!),"",Data!#REF!)</f>
        <v>#REF!</v>
      </c>
      <c r="C92" s="35" t="e">
        <f>IF(ISBLANK(Data!#REF!),"",Data!#REF!)</f>
        <v>#REF!</v>
      </c>
      <c r="D92" s="36" t="e">
        <f>IF(ISBLANK(Data!#REF!),"",Data!#REF!)</f>
        <v>#REF!</v>
      </c>
      <c r="E92" s="36" t="e">
        <f>IF(ISBLANK(Data!#REF!),"",Data!#REF!)</f>
        <v>#REF!</v>
      </c>
      <c r="F92" s="36" t="e">
        <f>IF(ISBLANK(Data!#REF!),"",Data!#REF!)</f>
        <v>#REF!</v>
      </c>
      <c r="G92" s="37" t="e">
        <f>IF(ISBLANK(Data!#REF!),"",Data!#REF!)</f>
        <v>#REF!</v>
      </c>
      <c r="H92" s="37" t="e">
        <f>IF(ISBLANK(Data!#REF!),"",Data!#REF!)</f>
        <v>#REF!</v>
      </c>
      <c r="I92" s="37" t="e">
        <f>IF(ISBLANK(Data!#REF!),"",Data!#REF!)</f>
        <v>#REF!</v>
      </c>
      <c r="J92" s="37" t="e">
        <f>IF(ISBLANK(Data!#REF!),"",Data!#REF!)</f>
        <v>#REF!</v>
      </c>
      <c r="K92" s="22" t="e">
        <f>IF(ISBLANK(Data!#REF!),"",Data!#REF!)</f>
        <v>#REF!</v>
      </c>
      <c r="L92" s="22" t="e">
        <f>IF(ISBLANK(Data!#REF!),"",Data!#REF!)</f>
        <v>#REF!</v>
      </c>
      <c r="M92" s="22"/>
      <c r="N92" s="37" t="e">
        <f>IF(ISBLANK(Data!#REF!),"",Data!#REF!)</f>
        <v>#REF!</v>
      </c>
      <c r="O92" s="37" t="e">
        <f>IF(ISBLANK(Data!#REF!),"",Data!#REF!)</f>
        <v>#REF!</v>
      </c>
      <c r="P92" s="37" t="e">
        <f>IF(ISBLANK(Data!#REF!),"",Data!#REF!)</f>
        <v>#REF!</v>
      </c>
      <c r="Q92" s="37" t="e">
        <f>IF(ISBLANK(Data!#REF!),"",Data!#REF!)</f>
        <v>#REF!</v>
      </c>
    </row>
    <row r="93" spans="1:17" x14ac:dyDescent="0.25">
      <c r="A93" s="23" t="e">
        <f t="shared" si="2"/>
        <v>#REF!</v>
      </c>
      <c r="B93" s="42" t="e">
        <f>IF(ISBLANK(Data!#REF!),"",Data!#REF!)</f>
        <v>#REF!</v>
      </c>
      <c r="C93" s="35" t="e">
        <f>IF(ISBLANK(Data!#REF!),"",Data!#REF!)</f>
        <v>#REF!</v>
      </c>
      <c r="D93" s="36" t="e">
        <f>IF(ISBLANK(Data!#REF!),"",Data!#REF!)</f>
        <v>#REF!</v>
      </c>
      <c r="E93" s="36" t="e">
        <f>IF(ISBLANK(Data!#REF!),"",Data!#REF!)</f>
        <v>#REF!</v>
      </c>
      <c r="F93" s="36" t="e">
        <f>IF(ISBLANK(Data!#REF!),"",Data!#REF!)</f>
        <v>#REF!</v>
      </c>
      <c r="G93" s="37" t="e">
        <f>IF(ISBLANK(Data!#REF!),"",Data!#REF!)</f>
        <v>#REF!</v>
      </c>
      <c r="H93" s="37" t="e">
        <f>IF(ISBLANK(Data!#REF!),"",Data!#REF!)</f>
        <v>#REF!</v>
      </c>
      <c r="I93" s="37" t="e">
        <f>IF(ISBLANK(Data!#REF!),"",Data!#REF!)</f>
        <v>#REF!</v>
      </c>
      <c r="J93" s="37" t="e">
        <f>IF(ISBLANK(Data!#REF!),"",Data!#REF!)</f>
        <v>#REF!</v>
      </c>
      <c r="K93" s="22" t="e">
        <f>IF(ISBLANK(Data!#REF!),"",Data!#REF!)</f>
        <v>#REF!</v>
      </c>
      <c r="L93" s="22" t="e">
        <f>IF(ISBLANK(Data!#REF!),"",Data!#REF!)</f>
        <v>#REF!</v>
      </c>
      <c r="M93" s="22"/>
      <c r="N93" s="37" t="e">
        <f>IF(ISBLANK(Data!#REF!),"",Data!#REF!)</f>
        <v>#REF!</v>
      </c>
      <c r="O93" s="37" t="e">
        <f>IF(ISBLANK(Data!#REF!),"",Data!#REF!)</f>
        <v>#REF!</v>
      </c>
      <c r="P93" s="37" t="e">
        <f>IF(ISBLANK(Data!#REF!),"",Data!#REF!)</f>
        <v>#REF!</v>
      </c>
      <c r="Q93" s="37" t="e">
        <f>IF(ISBLANK(Data!#REF!),"",Data!#REF!)</f>
        <v>#REF!</v>
      </c>
    </row>
    <row r="94" spans="1:17" x14ac:dyDescent="0.25">
      <c r="A94" s="23" t="e">
        <f t="shared" si="2"/>
        <v>#REF!</v>
      </c>
      <c r="B94" s="42" t="e">
        <f>IF(ISBLANK(Data!#REF!),"",Data!#REF!)</f>
        <v>#REF!</v>
      </c>
      <c r="C94" s="35" t="e">
        <f>IF(ISBLANK(Data!#REF!),"",Data!#REF!)</f>
        <v>#REF!</v>
      </c>
      <c r="D94" s="36" t="e">
        <f>IF(ISBLANK(Data!#REF!),"",Data!#REF!)</f>
        <v>#REF!</v>
      </c>
      <c r="E94" s="36" t="e">
        <f>IF(ISBLANK(Data!#REF!),"",Data!#REF!)</f>
        <v>#REF!</v>
      </c>
      <c r="F94" s="36" t="e">
        <f>IF(ISBLANK(Data!#REF!),"",Data!#REF!)</f>
        <v>#REF!</v>
      </c>
      <c r="G94" s="37" t="e">
        <f>IF(ISBLANK(Data!#REF!),"",Data!#REF!)</f>
        <v>#REF!</v>
      </c>
      <c r="H94" s="37" t="e">
        <f>IF(ISBLANK(Data!#REF!),"",Data!#REF!)</f>
        <v>#REF!</v>
      </c>
      <c r="I94" s="37" t="e">
        <f>IF(ISBLANK(Data!#REF!),"",Data!#REF!)</f>
        <v>#REF!</v>
      </c>
      <c r="J94" s="37" t="e">
        <f>IF(ISBLANK(Data!#REF!),"",Data!#REF!)</f>
        <v>#REF!</v>
      </c>
      <c r="K94" s="22" t="e">
        <f>IF(ISBLANK(Data!#REF!),"",Data!#REF!)</f>
        <v>#REF!</v>
      </c>
      <c r="L94" s="22" t="e">
        <f>IF(ISBLANK(Data!#REF!),"",Data!#REF!)</f>
        <v>#REF!</v>
      </c>
      <c r="M94" s="22"/>
      <c r="N94" s="37" t="e">
        <f>IF(ISBLANK(Data!#REF!),"",Data!#REF!)</f>
        <v>#REF!</v>
      </c>
      <c r="O94" s="37" t="e">
        <f>IF(ISBLANK(Data!#REF!),"",Data!#REF!)</f>
        <v>#REF!</v>
      </c>
      <c r="P94" s="37" t="e">
        <f>IF(ISBLANK(Data!#REF!),"",Data!#REF!)</f>
        <v>#REF!</v>
      </c>
      <c r="Q94" s="37" t="e">
        <f>IF(ISBLANK(Data!#REF!),"",Data!#REF!)</f>
        <v>#REF!</v>
      </c>
    </row>
    <row r="95" spans="1:17" x14ac:dyDescent="0.25">
      <c r="A95" s="23" t="e">
        <f t="shared" si="2"/>
        <v>#REF!</v>
      </c>
      <c r="B95" s="42" t="e">
        <f>IF(ISBLANK(Data!#REF!),"",Data!#REF!)</f>
        <v>#REF!</v>
      </c>
      <c r="C95" s="35" t="e">
        <f>IF(ISBLANK(Data!#REF!),"",Data!#REF!)</f>
        <v>#REF!</v>
      </c>
      <c r="D95" s="36" t="e">
        <f>IF(ISBLANK(Data!#REF!),"",Data!#REF!)</f>
        <v>#REF!</v>
      </c>
      <c r="E95" s="36" t="e">
        <f>IF(ISBLANK(Data!#REF!),"",Data!#REF!)</f>
        <v>#REF!</v>
      </c>
      <c r="F95" s="36" t="e">
        <f>IF(ISBLANK(Data!#REF!),"",Data!#REF!)</f>
        <v>#REF!</v>
      </c>
      <c r="G95" s="37" t="e">
        <f>IF(ISBLANK(Data!#REF!),"",Data!#REF!)</f>
        <v>#REF!</v>
      </c>
      <c r="H95" s="37" t="e">
        <f>IF(ISBLANK(Data!#REF!),"",Data!#REF!)</f>
        <v>#REF!</v>
      </c>
      <c r="I95" s="37" t="e">
        <f>IF(ISBLANK(Data!#REF!),"",Data!#REF!)</f>
        <v>#REF!</v>
      </c>
      <c r="J95" s="37" t="e">
        <f>IF(ISBLANK(Data!#REF!),"",Data!#REF!)</f>
        <v>#REF!</v>
      </c>
      <c r="K95" s="22" t="e">
        <f>IF(ISBLANK(Data!#REF!),"",Data!#REF!)</f>
        <v>#REF!</v>
      </c>
      <c r="L95" s="22" t="e">
        <f>IF(ISBLANK(Data!#REF!),"",Data!#REF!)</f>
        <v>#REF!</v>
      </c>
      <c r="M95" s="22"/>
      <c r="N95" s="37" t="e">
        <f>IF(ISBLANK(Data!#REF!),"",Data!#REF!)</f>
        <v>#REF!</v>
      </c>
      <c r="O95" s="37" t="e">
        <f>IF(ISBLANK(Data!#REF!),"",Data!#REF!)</f>
        <v>#REF!</v>
      </c>
      <c r="P95" s="37" t="e">
        <f>IF(ISBLANK(Data!#REF!),"",Data!#REF!)</f>
        <v>#REF!</v>
      </c>
      <c r="Q95" s="37" t="e">
        <f>IF(ISBLANK(Data!#REF!),"",Data!#REF!)</f>
        <v>#REF!</v>
      </c>
    </row>
    <row r="96" spans="1:17" x14ac:dyDescent="0.25">
      <c r="A96" s="23" t="e">
        <f t="shared" si="2"/>
        <v>#REF!</v>
      </c>
      <c r="B96" s="42" t="e">
        <f>IF(ISBLANK(Data!#REF!),"",Data!#REF!)</f>
        <v>#REF!</v>
      </c>
      <c r="C96" s="35" t="e">
        <f>IF(ISBLANK(Data!#REF!),"",Data!#REF!)</f>
        <v>#REF!</v>
      </c>
      <c r="D96" s="36" t="e">
        <f>IF(ISBLANK(Data!#REF!),"",Data!#REF!)</f>
        <v>#REF!</v>
      </c>
      <c r="E96" s="36" t="e">
        <f>IF(ISBLANK(Data!#REF!),"",Data!#REF!)</f>
        <v>#REF!</v>
      </c>
      <c r="F96" s="36" t="e">
        <f>IF(ISBLANK(Data!#REF!),"",Data!#REF!)</f>
        <v>#REF!</v>
      </c>
      <c r="G96" s="37" t="e">
        <f>IF(ISBLANK(Data!#REF!),"",Data!#REF!)</f>
        <v>#REF!</v>
      </c>
      <c r="H96" s="37" t="e">
        <f>IF(ISBLANK(Data!#REF!),"",Data!#REF!)</f>
        <v>#REF!</v>
      </c>
      <c r="I96" s="37" t="e">
        <f>IF(ISBLANK(Data!#REF!),"",Data!#REF!)</f>
        <v>#REF!</v>
      </c>
      <c r="J96" s="37" t="e">
        <f>IF(ISBLANK(Data!#REF!),"",Data!#REF!)</f>
        <v>#REF!</v>
      </c>
      <c r="K96" s="22" t="e">
        <f>IF(ISBLANK(Data!#REF!),"",Data!#REF!)</f>
        <v>#REF!</v>
      </c>
      <c r="L96" s="22" t="e">
        <f>IF(ISBLANK(Data!#REF!),"",Data!#REF!)</f>
        <v>#REF!</v>
      </c>
      <c r="M96" s="22"/>
      <c r="N96" s="37" t="e">
        <f>IF(ISBLANK(Data!#REF!),"",Data!#REF!)</f>
        <v>#REF!</v>
      </c>
      <c r="O96" s="37" t="e">
        <f>IF(ISBLANK(Data!#REF!),"",Data!#REF!)</f>
        <v>#REF!</v>
      </c>
      <c r="P96" s="37" t="e">
        <f>IF(ISBLANK(Data!#REF!),"",Data!#REF!)</f>
        <v>#REF!</v>
      </c>
      <c r="Q96" s="37" t="e">
        <f>IF(ISBLANK(Data!#REF!),"",Data!#REF!)</f>
        <v>#REF!</v>
      </c>
    </row>
    <row r="97" spans="1:17" x14ac:dyDescent="0.25">
      <c r="A97" s="23" t="e">
        <f t="shared" si="2"/>
        <v>#REF!</v>
      </c>
      <c r="B97" s="42" t="e">
        <f>IF(ISBLANK(Data!#REF!),"",Data!#REF!)</f>
        <v>#REF!</v>
      </c>
      <c r="C97" s="35" t="e">
        <f>IF(ISBLANK(Data!#REF!),"",Data!#REF!)</f>
        <v>#REF!</v>
      </c>
      <c r="D97" s="36" t="e">
        <f>IF(ISBLANK(Data!#REF!),"",Data!#REF!)</f>
        <v>#REF!</v>
      </c>
      <c r="E97" s="36" t="e">
        <f>IF(ISBLANK(Data!#REF!),"",Data!#REF!)</f>
        <v>#REF!</v>
      </c>
      <c r="F97" s="36" t="e">
        <f>IF(ISBLANK(Data!#REF!),"",Data!#REF!)</f>
        <v>#REF!</v>
      </c>
      <c r="G97" s="37" t="e">
        <f>IF(ISBLANK(Data!#REF!),"",Data!#REF!)</f>
        <v>#REF!</v>
      </c>
      <c r="H97" s="37" t="e">
        <f>IF(ISBLANK(Data!#REF!),"",Data!#REF!)</f>
        <v>#REF!</v>
      </c>
      <c r="I97" s="37" t="e">
        <f>IF(ISBLANK(Data!#REF!),"",Data!#REF!)</f>
        <v>#REF!</v>
      </c>
      <c r="J97" s="37" t="e">
        <f>IF(ISBLANK(Data!#REF!),"",Data!#REF!)</f>
        <v>#REF!</v>
      </c>
      <c r="K97" s="22" t="e">
        <f>IF(ISBLANK(Data!#REF!),"",Data!#REF!)</f>
        <v>#REF!</v>
      </c>
      <c r="L97" s="22" t="e">
        <f>IF(ISBLANK(Data!#REF!),"",Data!#REF!)</f>
        <v>#REF!</v>
      </c>
      <c r="M97" s="22"/>
      <c r="N97" s="37" t="e">
        <f>IF(ISBLANK(Data!#REF!),"",Data!#REF!)</f>
        <v>#REF!</v>
      </c>
      <c r="O97" s="37" t="e">
        <f>IF(ISBLANK(Data!#REF!),"",Data!#REF!)</f>
        <v>#REF!</v>
      </c>
      <c r="P97" s="37" t="e">
        <f>IF(ISBLANK(Data!#REF!),"",Data!#REF!)</f>
        <v>#REF!</v>
      </c>
      <c r="Q97" s="37" t="e">
        <f>IF(ISBLANK(Data!#REF!),"",Data!#REF!)</f>
        <v>#REF!</v>
      </c>
    </row>
    <row r="98" spans="1:17" x14ac:dyDescent="0.25">
      <c r="A98" s="23" t="e">
        <f t="shared" si="2"/>
        <v>#REF!</v>
      </c>
      <c r="B98" s="42" t="e">
        <f>IF(ISBLANK(Data!#REF!),"",Data!#REF!)</f>
        <v>#REF!</v>
      </c>
      <c r="C98" s="35" t="e">
        <f>IF(ISBLANK(Data!#REF!),"",Data!#REF!)</f>
        <v>#REF!</v>
      </c>
      <c r="D98" s="36" t="e">
        <f>IF(ISBLANK(Data!#REF!),"",Data!#REF!)</f>
        <v>#REF!</v>
      </c>
      <c r="E98" s="36" t="e">
        <f>IF(ISBLANK(Data!#REF!),"",Data!#REF!)</f>
        <v>#REF!</v>
      </c>
      <c r="F98" s="36" t="e">
        <f>IF(ISBLANK(Data!#REF!),"",Data!#REF!)</f>
        <v>#REF!</v>
      </c>
      <c r="G98" s="37" t="e">
        <f>IF(ISBLANK(Data!#REF!),"",Data!#REF!)</f>
        <v>#REF!</v>
      </c>
      <c r="H98" s="37" t="e">
        <f>IF(ISBLANK(Data!#REF!),"",Data!#REF!)</f>
        <v>#REF!</v>
      </c>
      <c r="I98" s="37" t="e">
        <f>IF(ISBLANK(Data!#REF!),"",Data!#REF!)</f>
        <v>#REF!</v>
      </c>
      <c r="J98" s="37" t="e">
        <f>IF(ISBLANK(Data!#REF!),"",Data!#REF!)</f>
        <v>#REF!</v>
      </c>
      <c r="K98" s="22" t="e">
        <f>IF(ISBLANK(Data!#REF!),"",Data!#REF!)</f>
        <v>#REF!</v>
      </c>
      <c r="L98" s="22" t="e">
        <f>IF(ISBLANK(Data!#REF!),"",Data!#REF!)</f>
        <v>#REF!</v>
      </c>
      <c r="M98" s="22"/>
      <c r="N98" s="37" t="e">
        <f>IF(ISBLANK(Data!#REF!),"",Data!#REF!)</f>
        <v>#REF!</v>
      </c>
      <c r="O98" s="37" t="e">
        <f>IF(ISBLANK(Data!#REF!),"",Data!#REF!)</f>
        <v>#REF!</v>
      </c>
      <c r="P98" s="37" t="e">
        <f>IF(ISBLANK(Data!#REF!),"",Data!#REF!)</f>
        <v>#REF!</v>
      </c>
      <c r="Q98" s="37" t="e">
        <f>IF(ISBLANK(Data!#REF!),"",Data!#REF!)</f>
        <v>#REF!</v>
      </c>
    </row>
    <row r="99" spans="1:17" x14ac:dyDescent="0.25">
      <c r="A99" s="23" t="e">
        <f t="shared" si="2"/>
        <v>#REF!</v>
      </c>
      <c r="B99" s="42" t="e">
        <f>IF(ISBLANK(Data!#REF!),"",Data!#REF!)</f>
        <v>#REF!</v>
      </c>
      <c r="C99" s="35" t="e">
        <f>IF(ISBLANK(Data!#REF!),"",Data!#REF!)</f>
        <v>#REF!</v>
      </c>
      <c r="D99" s="36" t="e">
        <f>IF(ISBLANK(Data!#REF!),"",Data!#REF!)</f>
        <v>#REF!</v>
      </c>
      <c r="E99" s="36" t="e">
        <f>IF(ISBLANK(Data!#REF!),"",Data!#REF!)</f>
        <v>#REF!</v>
      </c>
      <c r="F99" s="36" t="e">
        <f>IF(ISBLANK(Data!#REF!),"",Data!#REF!)</f>
        <v>#REF!</v>
      </c>
      <c r="G99" s="37" t="e">
        <f>IF(ISBLANK(Data!#REF!),"",Data!#REF!)</f>
        <v>#REF!</v>
      </c>
      <c r="H99" s="37" t="e">
        <f>IF(ISBLANK(Data!#REF!),"",Data!#REF!)</f>
        <v>#REF!</v>
      </c>
      <c r="I99" s="37" t="e">
        <f>IF(ISBLANK(Data!#REF!),"",Data!#REF!)</f>
        <v>#REF!</v>
      </c>
      <c r="J99" s="37" t="e">
        <f>IF(ISBLANK(Data!#REF!),"",Data!#REF!)</f>
        <v>#REF!</v>
      </c>
      <c r="K99" s="22" t="e">
        <f>IF(ISBLANK(Data!#REF!),"",Data!#REF!)</f>
        <v>#REF!</v>
      </c>
      <c r="L99" s="22" t="e">
        <f>IF(ISBLANK(Data!#REF!),"",Data!#REF!)</f>
        <v>#REF!</v>
      </c>
      <c r="M99" s="22"/>
      <c r="N99" s="37" t="e">
        <f>IF(ISBLANK(Data!#REF!),"",Data!#REF!)</f>
        <v>#REF!</v>
      </c>
      <c r="O99" s="37" t="e">
        <f>IF(ISBLANK(Data!#REF!),"",Data!#REF!)</f>
        <v>#REF!</v>
      </c>
      <c r="P99" s="37" t="e">
        <f>IF(ISBLANK(Data!#REF!),"",Data!#REF!)</f>
        <v>#REF!</v>
      </c>
      <c r="Q99" s="37" t="e">
        <f>IF(ISBLANK(Data!#REF!),"",Data!#REF!)</f>
        <v>#REF!</v>
      </c>
    </row>
    <row r="100" spans="1:17" x14ac:dyDescent="0.25">
      <c r="A100" s="23" t="e">
        <f t="shared" si="2"/>
        <v>#REF!</v>
      </c>
      <c r="B100" s="42" t="e">
        <f>IF(ISBLANK(Data!#REF!),"",Data!#REF!)</f>
        <v>#REF!</v>
      </c>
      <c r="C100" s="35" t="e">
        <f>IF(ISBLANK(Data!#REF!),"",Data!#REF!)</f>
        <v>#REF!</v>
      </c>
      <c r="D100" s="36" t="e">
        <f>IF(ISBLANK(Data!#REF!),"",Data!#REF!)</f>
        <v>#REF!</v>
      </c>
      <c r="E100" s="36" t="e">
        <f>IF(ISBLANK(Data!#REF!),"",Data!#REF!)</f>
        <v>#REF!</v>
      </c>
      <c r="F100" s="36" t="e">
        <f>IF(ISBLANK(Data!#REF!),"",Data!#REF!)</f>
        <v>#REF!</v>
      </c>
      <c r="G100" s="37" t="e">
        <f>IF(ISBLANK(Data!#REF!),"",Data!#REF!)</f>
        <v>#REF!</v>
      </c>
      <c r="H100" s="37" t="e">
        <f>IF(ISBLANK(Data!#REF!),"",Data!#REF!)</f>
        <v>#REF!</v>
      </c>
      <c r="I100" s="37" t="e">
        <f>IF(ISBLANK(Data!#REF!),"",Data!#REF!)</f>
        <v>#REF!</v>
      </c>
      <c r="J100" s="37" t="e">
        <f>IF(ISBLANK(Data!#REF!),"",Data!#REF!)</f>
        <v>#REF!</v>
      </c>
      <c r="K100" s="22" t="e">
        <f>IF(ISBLANK(Data!#REF!),"",Data!#REF!)</f>
        <v>#REF!</v>
      </c>
      <c r="L100" s="22" t="e">
        <f>IF(ISBLANK(Data!#REF!),"",Data!#REF!)</f>
        <v>#REF!</v>
      </c>
      <c r="M100" s="22"/>
      <c r="N100" s="37" t="e">
        <f>IF(ISBLANK(Data!#REF!),"",Data!#REF!)</f>
        <v>#REF!</v>
      </c>
      <c r="O100" s="37" t="e">
        <f>IF(ISBLANK(Data!#REF!),"",Data!#REF!)</f>
        <v>#REF!</v>
      </c>
      <c r="P100" s="37" t="e">
        <f>IF(ISBLANK(Data!#REF!),"",Data!#REF!)</f>
        <v>#REF!</v>
      </c>
      <c r="Q100" s="37" t="e">
        <f>IF(ISBLANK(Data!#REF!),"",Data!#REF!)</f>
        <v>#REF!</v>
      </c>
    </row>
    <row r="101" spans="1:17" x14ac:dyDescent="0.25">
      <c r="A101" s="23" t="e">
        <f t="shared" si="2"/>
        <v>#REF!</v>
      </c>
      <c r="B101" s="42" t="e">
        <f>IF(ISBLANK(Data!#REF!),"",Data!#REF!)</f>
        <v>#REF!</v>
      </c>
      <c r="C101" s="35" t="e">
        <f>IF(ISBLANK(Data!#REF!),"",Data!#REF!)</f>
        <v>#REF!</v>
      </c>
      <c r="D101" s="36" t="e">
        <f>IF(ISBLANK(Data!#REF!),"",Data!#REF!)</f>
        <v>#REF!</v>
      </c>
      <c r="E101" s="36" t="e">
        <f>IF(ISBLANK(Data!#REF!),"",Data!#REF!)</f>
        <v>#REF!</v>
      </c>
      <c r="F101" s="36" t="e">
        <f>IF(ISBLANK(Data!#REF!),"",Data!#REF!)</f>
        <v>#REF!</v>
      </c>
      <c r="G101" s="37" t="e">
        <f>IF(ISBLANK(Data!#REF!),"",Data!#REF!)</f>
        <v>#REF!</v>
      </c>
      <c r="H101" s="37" t="e">
        <f>IF(ISBLANK(Data!#REF!),"",Data!#REF!)</f>
        <v>#REF!</v>
      </c>
      <c r="I101" s="37" t="e">
        <f>IF(ISBLANK(Data!#REF!),"",Data!#REF!)</f>
        <v>#REF!</v>
      </c>
      <c r="J101" s="37" t="e">
        <f>IF(ISBLANK(Data!#REF!),"",Data!#REF!)</f>
        <v>#REF!</v>
      </c>
      <c r="K101" s="22" t="e">
        <f>IF(ISBLANK(Data!#REF!),"",Data!#REF!)</f>
        <v>#REF!</v>
      </c>
      <c r="L101" s="22" t="e">
        <f>IF(ISBLANK(Data!#REF!),"",Data!#REF!)</f>
        <v>#REF!</v>
      </c>
      <c r="M101" s="22"/>
      <c r="N101" s="37" t="e">
        <f>IF(ISBLANK(Data!#REF!),"",Data!#REF!)</f>
        <v>#REF!</v>
      </c>
      <c r="O101" s="37" t="e">
        <f>IF(ISBLANK(Data!#REF!),"",Data!#REF!)</f>
        <v>#REF!</v>
      </c>
      <c r="P101" s="37" t="e">
        <f>IF(ISBLANK(Data!#REF!),"",Data!#REF!)</f>
        <v>#REF!</v>
      </c>
      <c r="Q101" s="37" t="e">
        <f>IF(ISBLANK(Data!#REF!),"",Data!#REF!)</f>
        <v>#REF!</v>
      </c>
    </row>
    <row r="102" spans="1:17" x14ac:dyDescent="0.25">
      <c r="A102" s="23" t="e">
        <f t="shared" si="2"/>
        <v>#REF!</v>
      </c>
      <c r="B102" s="42" t="e">
        <f>IF(ISBLANK(Data!#REF!),"",Data!#REF!)</f>
        <v>#REF!</v>
      </c>
      <c r="C102" s="35" t="e">
        <f>IF(ISBLANK(Data!#REF!),"",Data!#REF!)</f>
        <v>#REF!</v>
      </c>
      <c r="D102" s="36" t="e">
        <f>IF(ISBLANK(Data!#REF!),"",Data!#REF!)</f>
        <v>#REF!</v>
      </c>
      <c r="E102" s="36" t="e">
        <f>IF(ISBLANK(Data!#REF!),"",Data!#REF!)</f>
        <v>#REF!</v>
      </c>
      <c r="F102" s="36" t="e">
        <f>IF(ISBLANK(Data!#REF!),"",Data!#REF!)</f>
        <v>#REF!</v>
      </c>
      <c r="G102" s="37" t="e">
        <f>IF(ISBLANK(Data!#REF!),"",Data!#REF!)</f>
        <v>#REF!</v>
      </c>
      <c r="H102" s="37" t="e">
        <f>IF(ISBLANK(Data!#REF!),"",Data!#REF!)</f>
        <v>#REF!</v>
      </c>
      <c r="I102" s="37" t="e">
        <f>IF(ISBLANK(Data!#REF!),"",Data!#REF!)</f>
        <v>#REF!</v>
      </c>
      <c r="J102" s="37" t="e">
        <f>IF(ISBLANK(Data!#REF!),"",Data!#REF!)</f>
        <v>#REF!</v>
      </c>
      <c r="K102" s="22" t="e">
        <f>IF(ISBLANK(Data!#REF!),"",Data!#REF!)</f>
        <v>#REF!</v>
      </c>
      <c r="L102" s="22" t="e">
        <f>IF(ISBLANK(Data!#REF!),"",Data!#REF!)</f>
        <v>#REF!</v>
      </c>
      <c r="M102" s="22"/>
      <c r="N102" s="37" t="e">
        <f>IF(ISBLANK(Data!#REF!),"",Data!#REF!)</f>
        <v>#REF!</v>
      </c>
      <c r="O102" s="37" t="e">
        <f>IF(ISBLANK(Data!#REF!),"",Data!#REF!)</f>
        <v>#REF!</v>
      </c>
      <c r="P102" s="37" t="e">
        <f>IF(ISBLANK(Data!#REF!),"",Data!#REF!)</f>
        <v>#REF!</v>
      </c>
      <c r="Q102" s="37" t="e">
        <f>IF(ISBLANK(Data!#REF!),"",Data!#REF!)</f>
        <v>#REF!</v>
      </c>
    </row>
    <row r="103" spans="1:17" x14ac:dyDescent="0.25">
      <c r="A103" s="23" t="e">
        <f t="shared" si="2"/>
        <v>#REF!</v>
      </c>
      <c r="B103" s="42" t="e">
        <f>IF(ISBLANK(Data!#REF!),"",Data!#REF!)</f>
        <v>#REF!</v>
      </c>
      <c r="C103" s="35" t="e">
        <f>IF(ISBLANK(Data!#REF!),"",Data!#REF!)</f>
        <v>#REF!</v>
      </c>
      <c r="D103" s="36" t="e">
        <f>IF(ISBLANK(Data!#REF!),"",Data!#REF!)</f>
        <v>#REF!</v>
      </c>
      <c r="E103" s="36" t="e">
        <f>IF(ISBLANK(Data!#REF!),"",Data!#REF!)</f>
        <v>#REF!</v>
      </c>
      <c r="F103" s="36" t="e">
        <f>IF(ISBLANK(Data!#REF!),"",Data!#REF!)</f>
        <v>#REF!</v>
      </c>
      <c r="G103" s="37" t="e">
        <f>IF(ISBLANK(Data!#REF!),"",Data!#REF!)</f>
        <v>#REF!</v>
      </c>
      <c r="H103" s="37" t="e">
        <f>IF(ISBLANK(Data!#REF!),"",Data!#REF!)</f>
        <v>#REF!</v>
      </c>
      <c r="I103" s="37" t="e">
        <f>IF(ISBLANK(Data!#REF!),"",Data!#REF!)</f>
        <v>#REF!</v>
      </c>
      <c r="J103" s="37" t="e">
        <f>IF(ISBLANK(Data!#REF!),"",Data!#REF!)</f>
        <v>#REF!</v>
      </c>
      <c r="K103" s="22" t="e">
        <f>IF(ISBLANK(Data!#REF!),"",Data!#REF!)</f>
        <v>#REF!</v>
      </c>
      <c r="L103" s="22" t="e">
        <f>IF(ISBLANK(Data!#REF!),"",Data!#REF!)</f>
        <v>#REF!</v>
      </c>
      <c r="M103" s="22"/>
      <c r="N103" s="37" t="e">
        <f>IF(ISBLANK(Data!#REF!),"",Data!#REF!)</f>
        <v>#REF!</v>
      </c>
      <c r="O103" s="37" t="e">
        <f>IF(ISBLANK(Data!#REF!),"",Data!#REF!)</f>
        <v>#REF!</v>
      </c>
      <c r="P103" s="37" t="e">
        <f>IF(ISBLANK(Data!#REF!),"",Data!#REF!)</f>
        <v>#REF!</v>
      </c>
      <c r="Q103" s="37" t="e">
        <f>IF(ISBLANK(Data!#REF!),"",Data!#REF!)</f>
        <v>#REF!</v>
      </c>
    </row>
    <row r="104" spans="1:17" x14ac:dyDescent="0.25">
      <c r="A104" s="23" t="e">
        <f t="shared" si="2"/>
        <v>#REF!</v>
      </c>
      <c r="B104" s="42" t="e">
        <f>IF(ISBLANK(Data!#REF!),"",Data!#REF!)</f>
        <v>#REF!</v>
      </c>
      <c r="C104" s="35" t="e">
        <f>IF(ISBLANK(Data!#REF!),"",Data!#REF!)</f>
        <v>#REF!</v>
      </c>
      <c r="D104" s="36" t="e">
        <f>IF(ISBLANK(Data!#REF!),"",Data!#REF!)</f>
        <v>#REF!</v>
      </c>
      <c r="E104" s="36" t="e">
        <f>IF(ISBLANK(Data!#REF!),"",Data!#REF!)</f>
        <v>#REF!</v>
      </c>
      <c r="F104" s="36" t="e">
        <f>IF(ISBLANK(Data!#REF!),"",Data!#REF!)</f>
        <v>#REF!</v>
      </c>
      <c r="G104" s="37" t="e">
        <f>IF(ISBLANK(Data!#REF!),"",Data!#REF!)</f>
        <v>#REF!</v>
      </c>
      <c r="H104" s="37" t="e">
        <f>IF(ISBLANK(Data!#REF!),"",Data!#REF!)</f>
        <v>#REF!</v>
      </c>
      <c r="I104" s="37" t="e">
        <f>IF(ISBLANK(Data!#REF!),"",Data!#REF!)</f>
        <v>#REF!</v>
      </c>
      <c r="J104" s="37" t="e">
        <f>IF(ISBLANK(Data!#REF!),"",Data!#REF!)</f>
        <v>#REF!</v>
      </c>
      <c r="K104" s="22" t="e">
        <f>IF(ISBLANK(Data!#REF!),"",Data!#REF!)</f>
        <v>#REF!</v>
      </c>
      <c r="L104" s="22" t="e">
        <f>IF(ISBLANK(Data!#REF!),"",Data!#REF!)</f>
        <v>#REF!</v>
      </c>
      <c r="M104" s="22"/>
      <c r="N104" s="37" t="e">
        <f>IF(ISBLANK(Data!#REF!),"",Data!#REF!)</f>
        <v>#REF!</v>
      </c>
      <c r="O104" s="37" t="e">
        <f>IF(ISBLANK(Data!#REF!),"",Data!#REF!)</f>
        <v>#REF!</v>
      </c>
      <c r="P104" s="37" t="e">
        <f>IF(ISBLANK(Data!#REF!),"",Data!#REF!)</f>
        <v>#REF!</v>
      </c>
      <c r="Q104" s="37" t="e">
        <f>IF(ISBLANK(Data!#REF!),"",Data!#REF!)</f>
        <v>#REF!</v>
      </c>
    </row>
    <row r="105" spans="1:17" x14ac:dyDescent="0.25">
      <c r="A105" s="23" t="e">
        <f t="shared" si="2"/>
        <v>#REF!</v>
      </c>
      <c r="B105" s="42" t="e">
        <f>IF(ISBLANK(Data!#REF!),"",Data!#REF!)</f>
        <v>#REF!</v>
      </c>
      <c r="C105" s="35" t="e">
        <f>IF(ISBLANK(Data!#REF!),"",Data!#REF!)</f>
        <v>#REF!</v>
      </c>
      <c r="D105" s="36" t="e">
        <f>IF(ISBLANK(Data!#REF!),"",Data!#REF!)</f>
        <v>#REF!</v>
      </c>
      <c r="E105" s="36" t="e">
        <f>IF(ISBLANK(Data!#REF!),"",Data!#REF!)</f>
        <v>#REF!</v>
      </c>
      <c r="F105" s="36" t="e">
        <f>IF(ISBLANK(Data!#REF!),"",Data!#REF!)</f>
        <v>#REF!</v>
      </c>
      <c r="G105" s="37" t="e">
        <f>IF(ISBLANK(Data!#REF!),"",Data!#REF!)</f>
        <v>#REF!</v>
      </c>
      <c r="H105" s="37" t="e">
        <f>IF(ISBLANK(Data!#REF!),"",Data!#REF!)</f>
        <v>#REF!</v>
      </c>
      <c r="I105" s="37" t="e">
        <f>IF(ISBLANK(Data!#REF!),"",Data!#REF!)</f>
        <v>#REF!</v>
      </c>
      <c r="J105" s="37" t="e">
        <f>IF(ISBLANK(Data!#REF!),"",Data!#REF!)</f>
        <v>#REF!</v>
      </c>
      <c r="K105" s="22" t="e">
        <f>IF(ISBLANK(Data!#REF!),"",Data!#REF!)</f>
        <v>#REF!</v>
      </c>
      <c r="L105" s="22" t="e">
        <f>IF(ISBLANK(Data!#REF!),"",Data!#REF!)</f>
        <v>#REF!</v>
      </c>
      <c r="M105" s="22"/>
      <c r="N105" s="37" t="e">
        <f>IF(ISBLANK(Data!#REF!),"",Data!#REF!)</f>
        <v>#REF!</v>
      </c>
      <c r="O105" s="37" t="e">
        <f>IF(ISBLANK(Data!#REF!),"",Data!#REF!)</f>
        <v>#REF!</v>
      </c>
      <c r="P105" s="37" t="e">
        <f>IF(ISBLANK(Data!#REF!),"",Data!#REF!)</f>
        <v>#REF!</v>
      </c>
      <c r="Q105" s="37" t="e">
        <f>IF(ISBLANK(Data!#REF!),"",Data!#REF!)</f>
        <v>#REF!</v>
      </c>
    </row>
    <row r="106" spans="1:17" x14ac:dyDescent="0.25">
      <c r="A106" s="23" t="e">
        <f t="shared" si="2"/>
        <v>#REF!</v>
      </c>
      <c r="B106" s="42" t="e">
        <f>IF(ISBLANK(Data!#REF!),"",Data!#REF!)</f>
        <v>#REF!</v>
      </c>
      <c r="C106" s="35" t="e">
        <f>IF(ISBLANK(Data!#REF!),"",Data!#REF!)</f>
        <v>#REF!</v>
      </c>
      <c r="D106" s="36" t="e">
        <f>IF(ISBLANK(Data!#REF!),"",Data!#REF!)</f>
        <v>#REF!</v>
      </c>
      <c r="E106" s="36" t="e">
        <f>IF(ISBLANK(Data!#REF!),"",Data!#REF!)</f>
        <v>#REF!</v>
      </c>
      <c r="F106" s="36" t="e">
        <f>IF(ISBLANK(Data!#REF!),"",Data!#REF!)</f>
        <v>#REF!</v>
      </c>
      <c r="G106" s="37" t="e">
        <f>IF(ISBLANK(Data!#REF!),"",Data!#REF!)</f>
        <v>#REF!</v>
      </c>
      <c r="H106" s="37" t="e">
        <f>IF(ISBLANK(Data!#REF!),"",Data!#REF!)</f>
        <v>#REF!</v>
      </c>
      <c r="I106" s="37" t="e">
        <f>IF(ISBLANK(Data!#REF!),"",Data!#REF!)</f>
        <v>#REF!</v>
      </c>
      <c r="J106" s="37" t="e">
        <f>IF(ISBLANK(Data!#REF!),"",Data!#REF!)</f>
        <v>#REF!</v>
      </c>
      <c r="K106" s="22" t="e">
        <f>IF(ISBLANK(Data!#REF!),"",Data!#REF!)</f>
        <v>#REF!</v>
      </c>
      <c r="L106" s="22" t="e">
        <f>IF(ISBLANK(Data!#REF!),"",Data!#REF!)</f>
        <v>#REF!</v>
      </c>
      <c r="M106" s="22"/>
      <c r="N106" s="37" t="e">
        <f>IF(ISBLANK(Data!#REF!),"",Data!#REF!)</f>
        <v>#REF!</v>
      </c>
      <c r="O106" s="37" t="e">
        <f>IF(ISBLANK(Data!#REF!),"",Data!#REF!)</f>
        <v>#REF!</v>
      </c>
      <c r="P106" s="37" t="e">
        <f>IF(ISBLANK(Data!#REF!),"",Data!#REF!)</f>
        <v>#REF!</v>
      </c>
      <c r="Q106" s="37" t="e">
        <f>IF(ISBLANK(Data!#REF!),"",Data!#REF!)</f>
        <v>#REF!</v>
      </c>
    </row>
    <row r="107" spans="1:17" x14ac:dyDescent="0.25">
      <c r="A107" s="23" t="e">
        <f t="shared" si="2"/>
        <v>#REF!</v>
      </c>
      <c r="B107" s="42" t="e">
        <f>IF(ISBLANK(Data!#REF!),"",Data!#REF!)</f>
        <v>#REF!</v>
      </c>
      <c r="C107" s="35" t="e">
        <f>IF(ISBLANK(Data!#REF!),"",Data!#REF!)</f>
        <v>#REF!</v>
      </c>
      <c r="D107" s="36" t="e">
        <f>IF(ISBLANK(Data!#REF!),"",Data!#REF!)</f>
        <v>#REF!</v>
      </c>
      <c r="E107" s="36" t="e">
        <f>IF(ISBLANK(Data!#REF!),"",Data!#REF!)</f>
        <v>#REF!</v>
      </c>
      <c r="F107" s="36" t="e">
        <f>IF(ISBLANK(Data!#REF!),"",Data!#REF!)</f>
        <v>#REF!</v>
      </c>
      <c r="G107" s="37" t="e">
        <f>IF(ISBLANK(Data!#REF!),"",Data!#REF!)</f>
        <v>#REF!</v>
      </c>
      <c r="H107" s="37" t="e">
        <f>IF(ISBLANK(Data!#REF!),"",Data!#REF!)</f>
        <v>#REF!</v>
      </c>
      <c r="I107" s="37" t="e">
        <f>IF(ISBLANK(Data!#REF!),"",Data!#REF!)</f>
        <v>#REF!</v>
      </c>
      <c r="J107" s="37" t="e">
        <f>IF(ISBLANK(Data!#REF!),"",Data!#REF!)</f>
        <v>#REF!</v>
      </c>
      <c r="K107" s="22" t="e">
        <f>IF(ISBLANK(Data!#REF!),"",Data!#REF!)</f>
        <v>#REF!</v>
      </c>
      <c r="L107" s="22" t="e">
        <f>IF(ISBLANK(Data!#REF!),"",Data!#REF!)</f>
        <v>#REF!</v>
      </c>
      <c r="M107" s="22"/>
      <c r="N107" s="37" t="e">
        <f>IF(ISBLANK(Data!#REF!),"",Data!#REF!)</f>
        <v>#REF!</v>
      </c>
      <c r="O107" s="37" t="e">
        <f>IF(ISBLANK(Data!#REF!),"",Data!#REF!)</f>
        <v>#REF!</v>
      </c>
      <c r="P107" s="37" t="e">
        <f>IF(ISBLANK(Data!#REF!),"",Data!#REF!)</f>
        <v>#REF!</v>
      </c>
      <c r="Q107" s="37" t="e">
        <f>IF(ISBLANK(Data!#REF!),"",Data!#REF!)</f>
        <v>#REF!</v>
      </c>
    </row>
    <row r="108" spans="1:17" x14ac:dyDescent="0.25">
      <c r="A108" s="23" t="e">
        <f t="shared" si="2"/>
        <v>#REF!</v>
      </c>
      <c r="B108" s="42" t="e">
        <f>IF(ISBLANK(Data!#REF!),"",Data!#REF!)</f>
        <v>#REF!</v>
      </c>
      <c r="C108" s="35" t="e">
        <f>IF(ISBLANK(Data!#REF!),"",Data!#REF!)</f>
        <v>#REF!</v>
      </c>
      <c r="D108" s="36" t="e">
        <f>IF(ISBLANK(Data!#REF!),"",Data!#REF!)</f>
        <v>#REF!</v>
      </c>
      <c r="E108" s="36" t="e">
        <f>IF(ISBLANK(Data!#REF!),"",Data!#REF!)</f>
        <v>#REF!</v>
      </c>
      <c r="F108" s="36" t="e">
        <f>IF(ISBLANK(Data!#REF!),"",Data!#REF!)</f>
        <v>#REF!</v>
      </c>
      <c r="G108" s="37" t="e">
        <f>IF(ISBLANK(Data!#REF!),"",Data!#REF!)</f>
        <v>#REF!</v>
      </c>
      <c r="H108" s="37" t="e">
        <f>IF(ISBLANK(Data!#REF!),"",Data!#REF!)</f>
        <v>#REF!</v>
      </c>
      <c r="I108" s="37" t="e">
        <f>IF(ISBLANK(Data!#REF!),"",Data!#REF!)</f>
        <v>#REF!</v>
      </c>
      <c r="J108" s="37" t="e">
        <f>IF(ISBLANK(Data!#REF!),"",Data!#REF!)</f>
        <v>#REF!</v>
      </c>
      <c r="K108" s="22" t="e">
        <f>IF(ISBLANK(Data!#REF!),"",Data!#REF!)</f>
        <v>#REF!</v>
      </c>
      <c r="L108" s="22" t="e">
        <f>IF(ISBLANK(Data!#REF!),"",Data!#REF!)</f>
        <v>#REF!</v>
      </c>
      <c r="M108" s="22"/>
      <c r="N108" s="37" t="e">
        <f>IF(ISBLANK(Data!#REF!),"",Data!#REF!)</f>
        <v>#REF!</v>
      </c>
      <c r="O108" s="37" t="e">
        <f>IF(ISBLANK(Data!#REF!),"",Data!#REF!)</f>
        <v>#REF!</v>
      </c>
      <c r="P108" s="37" t="e">
        <f>IF(ISBLANK(Data!#REF!),"",Data!#REF!)</f>
        <v>#REF!</v>
      </c>
      <c r="Q108" s="37" t="e">
        <f>IF(ISBLANK(Data!#REF!),"",Data!#REF!)</f>
        <v>#REF!</v>
      </c>
    </row>
    <row r="109" spans="1:17" x14ac:dyDescent="0.25">
      <c r="A109" s="23" t="e">
        <f t="shared" si="2"/>
        <v>#REF!</v>
      </c>
      <c r="B109" s="42" t="e">
        <f>IF(ISBLANK(Data!#REF!),"",Data!#REF!)</f>
        <v>#REF!</v>
      </c>
      <c r="C109" s="35" t="e">
        <f>IF(ISBLANK(Data!#REF!),"",Data!#REF!)</f>
        <v>#REF!</v>
      </c>
      <c r="D109" s="36" t="e">
        <f>IF(ISBLANK(Data!#REF!),"",Data!#REF!)</f>
        <v>#REF!</v>
      </c>
      <c r="E109" s="36" t="e">
        <f>IF(ISBLANK(Data!#REF!),"",Data!#REF!)</f>
        <v>#REF!</v>
      </c>
      <c r="F109" s="36" t="e">
        <f>IF(ISBLANK(Data!#REF!),"",Data!#REF!)</f>
        <v>#REF!</v>
      </c>
      <c r="G109" s="37" t="e">
        <f>IF(ISBLANK(Data!#REF!),"",Data!#REF!)</f>
        <v>#REF!</v>
      </c>
      <c r="H109" s="37" t="e">
        <f>IF(ISBLANK(Data!#REF!),"",Data!#REF!)</f>
        <v>#REF!</v>
      </c>
      <c r="I109" s="37" t="e">
        <f>IF(ISBLANK(Data!#REF!),"",Data!#REF!)</f>
        <v>#REF!</v>
      </c>
      <c r="J109" s="37" t="e">
        <f>IF(ISBLANK(Data!#REF!),"",Data!#REF!)</f>
        <v>#REF!</v>
      </c>
      <c r="K109" s="22" t="e">
        <f>IF(ISBLANK(Data!#REF!),"",Data!#REF!)</f>
        <v>#REF!</v>
      </c>
      <c r="L109" s="22" t="e">
        <f>IF(ISBLANK(Data!#REF!),"",Data!#REF!)</f>
        <v>#REF!</v>
      </c>
      <c r="M109" s="22"/>
      <c r="N109" s="37" t="e">
        <f>IF(ISBLANK(Data!#REF!),"",Data!#REF!)</f>
        <v>#REF!</v>
      </c>
      <c r="O109" s="37" t="e">
        <f>IF(ISBLANK(Data!#REF!),"",Data!#REF!)</f>
        <v>#REF!</v>
      </c>
      <c r="P109" s="37" t="e">
        <f>IF(ISBLANK(Data!#REF!),"",Data!#REF!)</f>
        <v>#REF!</v>
      </c>
      <c r="Q109" s="37" t="e">
        <f>IF(ISBLANK(Data!#REF!),"",Data!#REF!)</f>
        <v>#REF!</v>
      </c>
    </row>
    <row r="110" spans="1:17" x14ac:dyDescent="0.25">
      <c r="A110" s="23" t="e">
        <f t="shared" si="2"/>
        <v>#REF!</v>
      </c>
      <c r="B110" s="42" t="e">
        <f>IF(ISBLANK(Data!#REF!),"",Data!#REF!)</f>
        <v>#REF!</v>
      </c>
      <c r="C110" s="35" t="e">
        <f>IF(ISBLANK(Data!#REF!),"",Data!#REF!)</f>
        <v>#REF!</v>
      </c>
      <c r="D110" s="36" t="e">
        <f>IF(ISBLANK(Data!#REF!),"",Data!#REF!)</f>
        <v>#REF!</v>
      </c>
      <c r="E110" s="36" t="e">
        <f>IF(ISBLANK(Data!#REF!),"",Data!#REF!)</f>
        <v>#REF!</v>
      </c>
      <c r="F110" s="36" t="e">
        <f>IF(ISBLANK(Data!#REF!),"",Data!#REF!)</f>
        <v>#REF!</v>
      </c>
      <c r="G110" s="37" t="e">
        <f>IF(ISBLANK(Data!#REF!),"",Data!#REF!)</f>
        <v>#REF!</v>
      </c>
      <c r="H110" s="37" t="e">
        <f>IF(ISBLANK(Data!#REF!),"",Data!#REF!)</f>
        <v>#REF!</v>
      </c>
      <c r="I110" s="37" t="e">
        <f>IF(ISBLANK(Data!#REF!),"",Data!#REF!)</f>
        <v>#REF!</v>
      </c>
      <c r="J110" s="37" t="e">
        <f>IF(ISBLANK(Data!#REF!),"",Data!#REF!)</f>
        <v>#REF!</v>
      </c>
      <c r="K110" s="22" t="e">
        <f>IF(ISBLANK(Data!#REF!),"",Data!#REF!)</f>
        <v>#REF!</v>
      </c>
      <c r="L110" s="22" t="e">
        <f>IF(ISBLANK(Data!#REF!),"",Data!#REF!)</f>
        <v>#REF!</v>
      </c>
      <c r="M110" s="22"/>
      <c r="N110" s="37" t="e">
        <f>IF(ISBLANK(Data!#REF!),"",Data!#REF!)</f>
        <v>#REF!</v>
      </c>
      <c r="O110" s="37" t="e">
        <f>IF(ISBLANK(Data!#REF!),"",Data!#REF!)</f>
        <v>#REF!</v>
      </c>
      <c r="P110" s="37" t="e">
        <f>IF(ISBLANK(Data!#REF!),"",Data!#REF!)</f>
        <v>#REF!</v>
      </c>
      <c r="Q110" s="37" t="e">
        <f>IF(ISBLANK(Data!#REF!),"",Data!#REF!)</f>
        <v>#REF!</v>
      </c>
    </row>
    <row r="111" spans="1:17" x14ac:dyDescent="0.25">
      <c r="A111" s="23" t="e">
        <f t="shared" si="2"/>
        <v>#REF!</v>
      </c>
      <c r="B111" s="42" t="e">
        <f>IF(ISBLANK(Data!#REF!),"",Data!#REF!)</f>
        <v>#REF!</v>
      </c>
      <c r="C111" s="35" t="e">
        <f>IF(ISBLANK(Data!#REF!),"",Data!#REF!)</f>
        <v>#REF!</v>
      </c>
      <c r="D111" s="36" t="e">
        <f>IF(ISBLANK(Data!#REF!),"",Data!#REF!)</f>
        <v>#REF!</v>
      </c>
      <c r="E111" s="36" t="e">
        <f>IF(ISBLANK(Data!#REF!),"",Data!#REF!)</f>
        <v>#REF!</v>
      </c>
      <c r="F111" s="36" t="e">
        <f>IF(ISBLANK(Data!#REF!),"",Data!#REF!)</f>
        <v>#REF!</v>
      </c>
      <c r="G111" s="37" t="e">
        <f>IF(ISBLANK(Data!#REF!),"",Data!#REF!)</f>
        <v>#REF!</v>
      </c>
      <c r="H111" s="37" t="e">
        <f>IF(ISBLANK(Data!#REF!),"",Data!#REF!)</f>
        <v>#REF!</v>
      </c>
      <c r="I111" s="37" t="e">
        <f>IF(ISBLANK(Data!#REF!),"",Data!#REF!)</f>
        <v>#REF!</v>
      </c>
      <c r="J111" s="37" t="e">
        <f>IF(ISBLANK(Data!#REF!),"",Data!#REF!)</f>
        <v>#REF!</v>
      </c>
      <c r="K111" s="22" t="e">
        <f>IF(ISBLANK(Data!#REF!),"",Data!#REF!)</f>
        <v>#REF!</v>
      </c>
      <c r="L111" s="22" t="e">
        <f>IF(ISBLANK(Data!#REF!),"",Data!#REF!)</f>
        <v>#REF!</v>
      </c>
      <c r="M111" s="22"/>
      <c r="N111" s="37" t="e">
        <f>IF(ISBLANK(Data!#REF!),"",Data!#REF!)</f>
        <v>#REF!</v>
      </c>
      <c r="O111" s="37" t="e">
        <f>IF(ISBLANK(Data!#REF!),"",Data!#REF!)</f>
        <v>#REF!</v>
      </c>
      <c r="P111" s="37" t="e">
        <f>IF(ISBLANK(Data!#REF!),"",Data!#REF!)</f>
        <v>#REF!</v>
      </c>
      <c r="Q111" s="37" t="e">
        <f>IF(ISBLANK(Data!#REF!),"",Data!#REF!)</f>
        <v>#REF!</v>
      </c>
    </row>
    <row r="112" spans="1:17" x14ac:dyDescent="0.25">
      <c r="A112" s="23" t="e">
        <f t="shared" si="2"/>
        <v>#REF!</v>
      </c>
      <c r="B112" s="42" t="e">
        <f>IF(ISBLANK(Data!#REF!),"",Data!#REF!)</f>
        <v>#REF!</v>
      </c>
      <c r="C112" s="35" t="e">
        <f>IF(ISBLANK(Data!#REF!),"",Data!#REF!)</f>
        <v>#REF!</v>
      </c>
      <c r="D112" s="36" t="e">
        <f>IF(ISBLANK(Data!#REF!),"",Data!#REF!)</f>
        <v>#REF!</v>
      </c>
      <c r="E112" s="36" t="e">
        <f>IF(ISBLANK(Data!#REF!),"",Data!#REF!)</f>
        <v>#REF!</v>
      </c>
      <c r="F112" s="36" t="e">
        <f>IF(ISBLANK(Data!#REF!),"",Data!#REF!)</f>
        <v>#REF!</v>
      </c>
      <c r="G112" s="37" t="e">
        <f>IF(ISBLANK(Data!#REF!),"",Data!#REF!)</f>
        <v>#REF!</v>
      </c>
      <c r="H112" s="37" t="e">
        <f>IF(ISBLANK(Data!#REF!),"",Data!#REF!)</f>
        <v>#REF!</v>
      </c>
      <c r="I112" s="37" t="e">
        <f>IF(ISBLANK(Data!#REF!),"",Data!#REF!)</f>
        <v>#REF!</v>
      </c>
      <c r="J112" s="37" t="e">
        <f>IF(ISBLANK(Data!#REF!),"",Data!#REF!)</f>
        <v>#REF!</v>
      </c>
      <c r="K112" s="22" t="e">
        <f>IF(ISBLANK(Data!#REF!),"",Data!#REF!)</f>
        <v>#REF!</v>
      </c>
      <c r="L112" s="22" t="e">
        <f>IF(ISBLANK(Data!#REF!),"",Data!#REF!)</f>
        <v>#REF!</v>
      </c>
      <c r="M112" s="22"/>
      <c r="N112" s="37" t="e">
        <f>IF(ISBLANK(Data!#REF!),"",Data!#REF!)</f>
        <v>#REF!</v>
      </c>
      <c r="O112" s="37" t="e">
        <f>IF(ISBLANK(Data!#REF!),"",Data!#REF!)</f>
        <v>#REF!</v>
      </c>
      <c r="P112" s="37" t="e">
        <f>IF(ISBLANK(Data!#REF!),"",Data!#REF!)</f>
        <v>#REF!</v>
      </c>
      <c r="Q112" s="37" t="e">
        <f>IF(ISBLANK(Data!#REF!),"",Data!#REF!)</f>
        <v>#REF!</v>
      </c>
    </row>
    <row r="113" spans="1:17" x14ac:dyDescent="0.25">
      <c r="A113" s="23" t="e">
        <f t="shared" si="2"/>
        <v>#REF!</v>
      </c>
      <c r="B113" s="42" t="e">
        <f>IF(ISBLANK(Data!#REF!),"",Data!#REF!)</f>
        <v>#REF!</v>
      </c>
      <c r="C113" s="35" t="e">
        <f>IF(ISBLANK(Data!#REF!),"",Data!#REF!)</f>
        <v>#REF!</v>
      </c>
      <c r="D113" s="36" t="e">
        <f>IF(ISBLANK(Data!#REF!),"",Data!#REF!)</f>
        <v>#REF!</v>
      </c>
      <c r="E113" s="36" t="e">
        <f>IF(ISBLANK(Data!#REF!),"",Data!#REF!)</f>
        <v>#REF!</v>
      </c>
      <c r="F113" s="36" t="e">
        <f>IF(ISBLANK(Data!#REF!),"",Data!#REF!)</f>
        <v>#REF!</v>
      </c>
      <c r="G113" s="37" t="e">
        <f>IF(ISBLANK(Data!#REF!),"",Data!#REF!)</f>
        <v>#REF!</v>
      </c>
      <c r="H113" s="37" t="e">
        <f>IF(ISBLANK(Data!#REF!),"",Data!#REF!)</f>
        <v>#REF!</v>
      </c>
      <c r="I113" s="37" t="e">
        <f>IF(ISBLANK(Data!#REF!),"",Data!#REF!)</f>
        <v>#REF!</v>
      </c>
      <c r="J113" s="37" t="e">
        <f>IF(ISBLANK(Data!#REF!),"",Data!#REF!)</f>
        <v>#REF!</v>
      </c>
      <c r="K113" s="22" t="e">
        <f>IF(ISBLANK(Data!#REF!),"",Data!#REF!)</f>
        <v>#REF!</v>
      </c>
      <c r="L113" s="22" t="e">
        <f>IF(ISBLANK(Data!#REF!),"",Data!#REF!)</f>
        <v>#REF!</v>
      </c>
      <c r="M113" s="22"/>
      <c r="N113" s="37" t="e">
        <f>IF(ISBLANK(Data!#REF!),"",Data!#REF!)</f>
        <v>#REF!</v>
      </c>
      <c r="O113" s="37" t="e">
        <f>IF(ISBLANK(Data!#REF!),"",Data!#REF!)</f>
        <v>#REF!</v>
      </c>
      <c r="P113" s="37" t="e">
        <f>IF(ISBLANK(Data!#REF!),"",Data!#REF!)</f>
        <v>#REF!</v>
      </c>
      <c r="Q113" s="37" t="e">
        <f>IF(ISBLANK(Data!#REF!),"",Data!#REF!)</f>
        <v>#REF!</v>
      </c>
    </row>
    <row r="114" spans="1:17" x14ac:dyDescent="0.25">
      <c r="A114" s="23" t="e">
        <f t="shared" si="2"/>
        <v>#REF!</v>
      </c>
      <c r="B114" s="42" t="e">
        <f>IF(ISBLANK(Data!#REF!),"",Data!#REF!)</f>
        <v>#REF!</v>
      </c>
      <c r="C114" s="35" t="e">
        <f>IF(ISBLANK(Data!#REF!),"",Data!#REF!)</f>
        <v>#REF!</v>
      </c>
      <c r="D114" s="36" t="e">
        <f>IF(ISBLANK(Data!#REF!),"",Data!#REF!)</f>
        <v>#REF!</v>
      </c>
      <c r="E114" s="36" t="e">
        <f>IF(ISBLANK(Data!#REF!),"",Data!#REF!)</f>
        <v>#REF!</v>
      </c>
      <c r="F114" s="36" t="e">
        <f>IF(ISBLANK(Data!#REF!),"",Data!#REF!)</f>
        <v>#REF!</v>
      </c>
      <c r="G114" s="37" t="e">
        <f>IF(ISBLANK(Data!#REF!),"",Data!#REF!)</f>
        <v>#REF!</v>
      </c>
      <c r="H114" s="37" t="e">
        <f>IF(ISBLANK(Data!#REF!),"",Data!#REF!)</f>
        <v>#REF!</v>
      </c>
      <c r="I114" s="37" t="e">
        <f>IF(ISBLANK(Data!#REF!),"",Data!#REF!)</f>
        <v>#REF!</v>
      </c>
      <c r="J114" s="37" t="e">
        <f>IF(ISBLANK(Data!#REF!),"",Data!#REF!)</f>
        <v>#REF!</v>
      </c>
      <c r="K114" s="22" t="e">
        <f>IF(ISBLANK(Data!#REF!),"",Data!#REF!)</f>
        <v>#REF!</v>
      </c>
      <c r="L114" s="22" t="e">
        <f>IF(ISBLANK(Data!#REF!),"",Data!#REF!)</f>
        <v>#REF!</v>
      </c>
      <c r="M114" s="22"/>
      <c r="N114" s="37" t="e">
        <f>IF(ISBLANK(Data!#REF!),"",Data!#REF!)</f>
        <v>#REF!</v>
      </c>
      <c r="O114" s="37" t="e">
        <f>IF(ISBLANK(Data!#REF!),"",Data!#REF!)</f>
        <v>#REF!</v>
      </c>
      <c r="P114" s="37" t="e">
        <f>IF(ISBLANK(Data!#REF!),"",Data!#REF!)</f>
        <v>#REF!</v>
      </c>
      <c r="Q114" s="37" t="e">
        <f>IF(ISBLANK(Data!#REF!),"",Data!#REF!)</f>
        <v>#REF!</v>
      </c>
    </row>
    <row r="115" spans="1:17" x14ac:dyDescent="0.25">
      <c r="A115" s="23" t="e">
        <f t="shared" si="2"/>
        <v>#REF!</v>
      </c>
      <c r="B115" s="42" t="e">
        <f>IF(ISBLANK(Data!#REF!),"",Data!#REF!)</f>
        <v>#REF!</v>
      </c>
      <c r="C115" s="35" t="e">
        <f>IF(ISBLANK(Data!#REF!),"",Data!#REF!)</f>
        <v>#REF!</v>
      </c>
      <c r="D115" s="36" t="e">
        <f>IF(ISBLANK(Data!#REF!),"",Data!#REF!)</f>
        <v>#REF!</v>
      </c>
      <c r="E115" s="36" t="e">
        <f>IF(ISBLANK(Data!#REF!),"",Data!#REF!)</f>
        <v>#REF!</v>
      </c>
      <c r="F115" s="36" t="e">
        <f>IF(ISBLANK(Data!#REF!),"",Data!#REF!)</f>
        <v>#REF!</v>
      </c>
      <c r="G115" s="37" t="e">
        <f>IF(ISBLANK(Data!#REF!),"",Data!#REF!)</f>
        <v>#REF!</v>
      </c>
      <c r="H115" s="37" t="e">
        <f>IF(ISBLANK(Data!#REF!),"",Data!#REF!)</f>
        <v>#REF!</v>
      </c>
      <c r="I115" s="37" t="e">
        <f>IF(ISBLANK(Data!#REF!),"",Data!#REF!)</f>
        <v>#REF!</v>
      </c>
      <c r="J115" s="37" t="e">
        <f>IF(ISBLANK(Data!#REF!),"",Data!#REF!)</f>
        <v>#REF!</v>
      </c>
      <c r="K115" s="22" t="e">
        <f>IF(ISBLANK(Data!#REF!),"",Data!#REF!)</f>
        <v>#REF!</v>
      </c>
      <c r="L115" s="22" t="e">
        <f>IF(ISBLANK(Data!#REF!),"",Data!#REF!)</f>
        <v>#REF!</v>
      </c>
      <c r="M115" s="22"/>
      <c r="N115" s="37" t="e">
        <f>IF(ISBLANK(Data!#REF!),"",Data!#REF!)</f>
        <v>#REF!</v>
      </c>
      <c r="O115" s="37" t="e">
        <f>IF(ISBLANK(Data!#REF!),"",Data!#REF!)</f>
        <v>#REF!</v>
      </c>
      <c r="P115" s="37" t="e">
        <f>IF(ISBLANK(Data!#REF!),"",Data!#REF!)</f>
        <v>#REF!</v>
      </c>
      <c r="Q115" s="37" t="e">
        <f>IF(ISBLANK(Data!#REF!),"",Data!#REF!)</f>
        <v>#REF!</v>
      </c>
    </row>
    <row r="116" spans="1:17" x14ac:dyDescent="0.25">
      <c r="A116" s="23" t="e">
        <f t="shared" si="2"/>
        <v>#REF!</v>
      </c>
      <c r="B116" s="42" t="e">
        <f>IF(ISBLANK(Data!#REF!),"",Data!#REF!)</f>
        <v>#REF!</v>
      </c>
      <c r="C116" s="35" t="e">
        <f>IF(ISBLANK(Data!#REF!),"",Data!#REF!)</f>
        <v>#REF!</v>
      </c>
      <c r="D116" s="36" t="e">
        <f>IF(ISBLANK(Data!#REF!),"",Data!#REF!)</f>
        <v>#REF!</v>
      </c>
      <c r="E116" s="36" t="e">
        <f>IF(ISBLANK(Data!#REF!),"",Data!#REF!)</f>
        <v>#REF!</v>
      </c>
      <c r="F116" s="36" t="e">
        <f>IF(ISBLANK(Data!#REF!),"",Data!#REF!)</f>
        <v>#REF!</v>
      </c>
      <c r="G116" s="37" t="e">
        <f>IF(ISBLANK(Data!#REF!),"",Data!#REF!)</f>
        <v>#REF!</v>
      </c>
      <c r="H116" s="37" t="e">
        <f>IF(ISBLANK(Data!#REF!),"",Data!#REF!)</f>
        <v>#REF!</v>
      </c>
      <c r="I116" s="37" t="e">
        <f>IF(ISBLANK(Data!#REF!),"",Data!#REF!)</f>
        <v>#REF!</v>
      </c>
      <c r="J116" s="37" t="e">
        <f>IF(ISBLANK(Data!#REF!),"",Data!#REF!)</f>
        <v>#REF!</v>
      </c>
      <c r="K116" s="22" t="e">
        <f>IF(ISBLANK(Data!#REF!),"",Data!#REF!)</f>
        <v>#REF!</v>
      </c>
      <c r="L116" s="22" t="e">
        <f>IF(ISBLANK(Data!#REF!),"",Data!#REF!)</f>
        <v>#REF!</v>
      </c>
      <c r="M116" s="22"/>
      <c r="N116" s="37" t="e">
        <f>IF(ISBLANK(Data!#REF!),"",Data!#REF!)</f>
        <v>#REF!</v>
      </c>
      <c r="O116" s="37" t="e">
        <f>IF(ISBLANK(Data!#REF!),"",Data!#REF!)</f>
        <v>#REF!</v>
      </c>
      <c r="P116" s="37" t="e">
        <f>IF(ISBLANK(Data!#REF!),"",Data!#REF!)</f>
        <v>#REF!</v>
      </c>
      <c r="Q116" s="37" t="e">
        <f>IF(ISBLANK(Data!#REF!),"",Data!#REF!)</f>
        <v>#REF!</v>
      </c>
    </row>
    <row r="117" spans="1:17" x14ac:dyDescent="0.25">
      <c r="A117" s="23" t="e">
        <f t="shared" si="2"/>
        <v>#REF!</v>
      </c>
      <c r="B117" s="42" t="e">
        <f>IF(ISBLANK(Data!#REF!),"",Data!#REF!)</f>
        <v>#REF!</v>
      </c>
      <c r="C117" s="35" t="e">
        <f>IF(ISBLANK(Data!#REF!),"",Data!#REF!)</f>
        <v>#REF!</v>
      </c>
      <c r="D117" s="36" t="e">
        <f>IF(ISBLANK(Data!#REF!),"",Data!#REF!)</f>
        <v>#REF!</v>
      </c>
      <c r="E117" s="36" t="e">
        <f>IF(ISBLANK(Data!#REF!),"",Data!#REF!)</f>
        <v>#REF!</v>
      </c>
      <c r="F117" s="36" t="e">
        <f>IF(ISBLANK(Data!#REF!),"",Data!#REF!)</f>
        <v>#REF!</v>
      </c>
      <c r="G117" s="37" t="e">
        <f>IF(ISBLANK(Data!#REF!),"",Data!#REF!)</f>
        <v>#REF!</v>
      </c>
      <c r="H117" s="37" t="e">
        <f>IF(ISBLANK(Data!#REF!),"",Data!#REF!)</f>
        <v>#REF!</v>
      </c>
      <c r="I117" s="37" t="e">
        <f>IF(ISBLANK(Data!#REF!),"",Data!#REF!)</f>
        <v>#REF!</v>
      </c>
      <c r="J117" s="37" t="e">
        <f>IF(ISBLANK(Data!#REF!),"",Data!#REF!)</f>
        <v>#REF!</v>
      </c>
      <c r="K117" s="22" t="e">
        <f>IF(ISBLANK(Data!#REF!),"",Data!#REF!)</f>
        <v>#REF!</v>
      </c>
      <c r="L117" s="22" t="e">
        <f>IF(ISBLANK(Data!#REF!),"",Data!#REF!)</f>
        <v>#REF!</v>
      </c>
      <c r="M117" s="22"/>
      <c r="N117" s="37" t="e">
        <f>IF(ISBLANK(Data!#REF!),"",Data!#REF!)</f>
        <v>#REF!</v>
      </c>
      <c r="O117" s="37" t="e">
        <f>IF(ISBLANK(Data!#REF!),"",Data!#REF!)</f>
        <v>#REF!</v>
      </c>
      <c r="P117" s="37" t="e">
        <f>IF(ISBLANK(Data!#REF!),"",Data!#REF!)</f>
        <v>#REF!</v>
      </c>
      <c r="Q117" s="37" t="e">
        <f>IF(ISBLANK(Data!#REF!),"",Data!#REF!)</f>
        <v>#REF!</v>
      </c>
    </row>
    <row r="118" spans="1:17" x14ac:dyDescent="0.25">
      <c r="A118" s="23" t="e">
        <f t="shared" si="2"/>
        <v>#REF!</v>
      </c>
      <c r="B118" s="42" t="e">
        <f>IF(ISBLANK(Data!#REF!),"",Data!#REF!)</f>
        <v>#REF!</v>
      </c>
      <c r="C118" s="35" t="e">
        <f>IF(ISBLANK(Data!#REF!),"",Data!#REF!)</f>
        <v>#REF!</v>
      </c>
      <c r="D118" s="36" t="e">
        <f>IF(ISBLANK(Data!#REF!),"",Data!#REF!)</f>
        <v>#REF!</v>
      </c>
      <c r="E118" s="36" t="e">
        <f>IF(ISBLANK(Data!#REF!),"",Data!#REF!)</f>
        <v>#REF!</v>
      </c>
      <c r="F118" s="36" t="e">
        <f>IF(ISBLANK(Data!#REF!),"",Data!#REF!)</f>
        <v>#REF!</v>
      </c>
      <c r="G118" s="37" t="e">
        <f>IF(ISBLANK(Data!#REF!),"",Data!#REF!)</f>
        <v>#REF!</v>
      </c>
      <c r="H118" s="37" t="e">
        <f>IF(ISBLANK(Data!#REF!),"",Data!#REF!)</f>
        <v>#REF!</v>
      </c>
      <c r="I118" s="37" t="e">
        <f>IF(ISBLANK(Data!#REF!),"",Data!#REF!)</f>
        <v>#REF!</v>
      </c>
      <c r="J118" s="37" t="e">
        <f>IF(ISBLANK(Data!#REF!),"",Data!#REF!)</f>
        <v>#REF!</v>
      </c>
      <c r="K118" s="22" t="e">
        <f>IF(ISBLANK(Data!#REF!),"",Data!#REF!)</f>
        <v>#REF!</v>
      </c>
      <c r="L118" s="22" t="e">
        <f>IF(ISBLANK(Data!#REF!),"",Data!#REF!)</f>
        <v>#REF!</v>
      </c>
      <c r="M118" s="22"/>
      <c r="N118" s="37" t="e">
        <f>IF(ISBLANK(Data!#REF!),"",Data!#REF!)</f>
        <v>#REF!</v>
      </c>
      <c r="O118" s="37" t="e">
        <f>IF(ISBLANK(Data!#REF!),"",Data!#REF!)</f>
        <v>#REF!</v>
      </c>
      <c r="P118" s="37" t="e">
        <f>IF(ISBLANK(Data!#REF!),"",Data!#REF!)</f>
        <v>#REF!</v>
      </c>
      <c r="Q118" s="37" t="e">
        <f>IF(ISBLANK(Data!#REF!),"",Data!#REF!)</f>
        <v>#REF!</v>
      </c>
    </row>
    <row r="119" spans="1:17" x14ac:dyDescent="0.25">
      <c r="A119" s="23" t="e">
        <f t="shared" si="2"/>
        <v>#REF!</v>
      </c>
      <c r="B119" s="42" t="e">
        <f>IF(ISBLANK(Data!#REF!),"",Data!#REF!)</f>
        <v>#REF!</v>
      </c>
      <c r="C119" s="35" t="e">
        <f>IF(ISBLANK(Data!#REF!),"",Data!#REF!)</f>
        <v>#REF!</v>
      </c>
      <c r="D119" s="36" t="e">
        <f>IF(ISBLANK(Data!#REF!),"",Data!#REF!)</f>
        <v>#REF!</v>
      </c>
      <c r="E119" s="36" t="e">
        <f>IF(ISBLANK(Data!#REF!),"",Data!#REF!)</f>
        <v>#REF!</v>
      </c>
      <c r="F119" s="36" t="e">
        <f>IF(ISBLANK(Data!#REF!),"",Data!#REF!)</f>
        <v>#REF!</v>
      </c>
      <c r="G119" s="37" t="e">
        <f>IF(ISBLANK(Data!#REF!),"",Data!#REF!)</f>
        <v>#REF!</v>
      </c>
      <c r="H119" s="37" t="e">
        <f>IF(ISBLANK(Data!#REF!),"",Data!#REF!)</f>
        <v>#REF!</v>
      </c>
      <c r="I119" s="37" t="e">
        <f>IF(ISBLANK(Data!#REF!),"",Data!#REF!)</f>
        <v>#REF!</v>
      </c>
      <c r="J119" s="37" t="e">
        <f>IF(ISBLANK(Data!#REF!),"",Data!#REF!)</f>
        <v>#REF!</v>
      </c>
      <c r="K119" s="22" t="e">
        <f>IF(ISBLANK(Data!#REF!),"",Data!#REF!)</f>
        <v>#REF!</v>
      </c>
      <c r="L119" s="22" t="e">
        <f>IF(ISBLANK(Data!#REF!),"",Data!#REF!)</f>
        <v>#REF!</v>
      </c>
      <c r="M119" s="22"/>
      <c r="N119" s="37" t="e">
        <f>IF(ISBLANK(Data!#REF!),"",Data!#REF!)</f>
        <v>#REF!</v>
      </c>
      <c r="O119" s="37" t="e">
        <f>IF(ISBLANK(Data!#REF!),"",Data!#REF!)</f>
        <v>#REF!</v>
      </c>
      <c r="P119" s="37" t="e">
        <f>IF(ISBLANK(Data!#REF!),"",Data!#REF!)</f>
        <v>#REF!</v>
      </c>
      <c r="Q119" s="37" t="e">
        <f>IF(ISBLANK(Data!#REF!),"",Data!#REF!)</f>
        <v>#REF!</v>
      </c>
    </row>
    <row r="120" spans="1:17" x14ac:dyDescent="0.25">
      <c r="A120" s="23" t="e">
        <f t="shared" si="2"/>
        <v>#REF!</v>
      </c>
      <c r="B120" s="42" t="e">
        <f>IF(ISBLANK(Data!#REF!),"",Data!#REF!)</f>
        <v>#REF!</v>
      </c>
      <c r="C120" s="35" t="e">
        <f>IF(ISBLANK(Data!#REF!),"",Data!#REF!)</f>
        <v>#REF!</v>
      </c>
      <c r="D120" s="36" t="e">
        <f>IF(ISBLANK(Data!#REF!),"",Data!#REF!)</f>
        <v>#REF!</v>
      </c>
      <c r="E120" s="36" t="e">
        <f>IF(ISBLANK(Data!#REF!),"",Data!#REF!)</f>
        <v>#REF!</v>
      </c>
      <c r="F120" s="36" t="e">
        <f>IF(ISBLANK(Data!#REF!),"",Data!#REF!)</f>
        <v>#REF!</v>
      </c>
      <c r="G120" s="37" t="e">
        <f>IF(ISBLANK(Data!#REF!),"",Data!#REF!)</f>
        <v>#REF!</v>
      </c>
      <c r="H120" s="37" t="e">
        <f>IF(ISBLANK(Data!#REF!),"",Data!#REF!)</f>
        <v>#REF!</v>
      </c>
      <c r="I120" s="37" t="e">
        <f>IF(ISBLANK(Data!#REF!),"",Data!#REF!)</f>
        <v>#REF!</v>
      </c>
      <c r="J120" s="37" t="e">
        <f>IF(ISBLANK(Data!#REF!),"",Data!#REF!)</f>
        <v>#REF!</v>
      </c>
      <c r="K120" s="22" t="e">
        <f>IF(ISBLANK(Data!#REF!),"",Data!#REF!)</f>
        <v>#REF!</v>
      </c>
      <c r="L120" s="22" t="e">
        <f>IF(ISBLANK(Data!#REF!),"",Data!#REF!)</f>
        <v>#REF!</v>
      </c>
      <c r="M120" s="22"/>
      <c r="N120" s="37" t="e">
        <f>IF(ISBLANK(Data!#REF!),"",Data!#REF!)</f>
        <v>#REF!</v>
      </c>
      <c r="O120" s="37" t="e">
        <f>IF(ISBLANK(Data!#REF!),"",Data!#REF!)</f>
        <v>#REF!</v>
      </c>
      <c r="P120" s="37" t="e">
        <f>IF(ISBLANK(Data!#REF!),"",Data!#REF!)</f>
        <v>#REF!</v>
      </c>
      <c r="Q120" s="37" t="e">
        <f>IF(ISBLANK(Data!#REF!),"",Data!#REF!)</f>
        <v>#REF!</v>
      </c>
    </row>
    <row r="121" spans="1:17" x14ac:dyDescent="0.25">
      <c r="A121" s="23" t="e">
        <f t="shared" si="2"/>
        <v>#REF!</v>
      </c>
      <c r="B121" s="42" t="e">
        <f>IF(ISBLANK(Data!#REF!),"",Data!#REF!)</f>
        <v>#REF!</v>
      </c>
      <c r="C121" s="35" t="e">
        <f>IF(ISBLANK(Data!#REF!),"",Data!#REF!)</f>
        <v>#REF!</v>
      </c>
      <c r="D121" s="36" t="e">
        <f>IF(ISBLANK(Data!#REF!),"",Data!#REF!)</f>
        <v>#REF!</v>
      </c>
      <c r="E121" s="36" t="e">
        <f>IF(ISBLANK(Data!#REF!),"",Data!#REF!)</f>
        <v>#REF!</v>
      </c>
      <c r="F121" s="36" t="e">
        <f>IF(ISBLANK(Data!#REF!),"",Data!#REF!)</f>
        <v>#REF!</v>
      </c>
      <c r="G121" s="37" t="e">
        <f>IF(ISBLANK(Data!#REF!),"",Data!#REF!)</f>
        <v>#REF!</v>
      </c>
      <c r="H121" s="37" t="e">
        <f>IF(ISBLANK(Data!#REF!),"",Data!#REF!)</f>
        <v>#REF!</v>
      </c>
      <c r="I121" s="37" t="e">
        <f>IF(ISBLANK(Data!#REF!),"",Data!#REF!)</f>
        <v>#REF!</v>
      </c>
      <c r="J121" s="37" t="e">
        <f>IF(ISBLANK(Data!#REF!),"",Data!#REF!)</f>
        <v>#REF!</v>
      </c>
      <c r="K121" s="22" t="e">
        <f>IF(ISBLANK(Data!#REF!),"",Data!#REF!)</f>
        <v>#REF!</v>
      </c>
      <c r="L121" s="22" t="e">
        <f>IF(ISBLANK(Data!#REF!),"",Data!#REF!)</f>
        <v>#REF!</v>
      </c>
      <c r="M121" s="22"/>
      <c r="N121" s="37" t="e">
        <f>IF(ISBLANK(Data!#REF!),"",Data!#REF!)</f>
        <v>#REF!</v>
      </c>
      <c r="O121" s="37" t="e">
        <f>IF(ISBLANK(Data!#REF!),"",Data!#REF!)</f>
        <v>#REF!</v>
      </c>
      <c r="P121" s="37" t="e">
        <f>IF(ISBLANK(Data!#REF!),"",Data!#REF!)</f>
        <v>#REF!</v>
      </c>
      <c r="Q121" s="37" t="e">
        <f>IF(ISBLANK(Data!#REF!),"",Data!#REF!)</f>
        <v>#REF!</v>
      </c>
    </row>
    <row r="122" spans="1:17" x14ac:dyDescent="0.25">
      <c r="A122" s="23" t="e">
        <f t="shared" si="2"/>
        <v>#REF!</v>
      </c>
      <c r="B122" s="42" t="e">
        <f>IF(ISBLANK(Data!#REF!),"",Data!#REF!)</f>
        <v>#REF!</v>
      </c>
      <c r="C122" s="35" t="e">
        <f>IF(ISBLANK(Data!#REF!),"",Data!#REF!)</f>
        <v>#REF!</v>
      </c>
      <c r="D122" s="36" t="e">
        <f>IF(ISBLANK(Data!#REF!),"",Data!#REF!)</f>
        <v>#REF!</v>
      </c>
      <c r="E122" s="36" t="e">
        <f>IF(ISBLANK(Data!#REF!),"",Data!#REF!)</f>
        <v>#REF!</v>
      </c>
      <c r="F122" s="36" t="e">
        <f>IF(ISBLANK(Data!#REF!),"",Data!#REF!)</f>
        <v>#REF!</v>
      </c>
      <c r="G122" s="37" t="e">
        <f>IF(ISBLANK(Data!#REF!),"",Data!#REF!)</f>
        <v>#REF!</v>
      </c>
      <c r="H122" s="37" t="e">
        <f>IF(ISBLANK(Data!#REF!),"",Data!#REF!)</f>
        <v>#REF!</v>
      </c>
      <c r="I122" s="37" t="e">
        <f>IF(ISBLANK(Data!#REF!),"",Data!#REF!)</f>
        <v>#REF!</v>
      </c>
      <c r="J122" s="37" t="e">
        <f>IF(ISBLANK(Data!#REF!),"",Data!#REF!)</f>
        <v>#REF!</v>
      </c>
      <c r="K122" s="22" t="e">
        <f>IF(ISBLANK(Data!#REF!),"",Data!#REF!)</f>
        <v>#REF!</v>
      </c>
      <c r="L122" s="22" t="e">
        <f>IF(ISBLANK(Data!#REF!),"",Data!#REF!)</f>
        <v>#REF!</v>
      </c>
      <c r="M122" s="22"/>
      <c r="N122" s="37" t="e">
        <f>IF(ISBLANK(Data!#REF!),"",Data!#REF!)</f>
        <v>#REF!</v>
      </c>
      <c r="O122" s="37" t="e">
        <f>IF(ISBLANK(Data!#REF!),"",Data!#REF!)</f>
        <v>#REF!</v>
      </c>
      <c r="P122" s="37" t="e">
        <f>IF(ISBLANK(Data!#REF!),"",Data!#REF!)</f>
        <v>#REF!</v>
      </c>
      <c r="Q122" s="37" t="e">
        <f>IF(ISBLANK(Data!#REF!),"",Data!#REF!)</f>
        <v>#REF!</v>
      </c>
    </row>
    <row r="123" spans="1:17" x14ac:dyDescent="0.25">
      <c r="A123" s="23" t="e">
        <f t="shared" si="2"/>
        <v>#REF!</v>
      </c>
      <c r="B123" s="42" t="e">
        <f>IF(ISBLANK(Data!#REF!),"",Data!#REF!)</f>
        <v>#REF!</v>
      </c>
      <c r="C123" s="35" t="e">
        <f>IF(ISBLANK(Data!#REF!),"",Data!#REF!)</f>
        <v>#REF!</v>
      </c>
      <c r="D123" s="36" t="e">
        <f>IF(ISBLANK(Data!#REF!),"",Data!#REF!)</f>
        <v>#REF!</v>
      </c>
      <c r="E123" s="36" t="e">
        <f>IF(ISBLANK(Data!#REF!),"",Data!#REF!)</f>
        <v>#REF!</v>
      </c>
      <c r="F123" s="36" t="e">
        <f>IF(ISBLANK(Data!#REF!),"",Data!#REF!)</f>
        <v>#REF!</v>
      </c>
      <c r="G123" s="37" t="e">
        <f>IF(ISBLANK(Data!#REF!),"",Data!#REF!)</f>
        <v>#REF!</v>
      </c>
      <c r="H123" s="37" t="e">
        <f>IF(ISBLANK(Data!#REF!),"",Data!#REF!)</f>
        <v>#REF!</v>
      </c>
      <c r="I123" s="37" t="e">
        <f>IF(ISBLANK(Data!#REF!),"",Data!#REF!)</f>
        <v>#REF!</v>
      </c>
      <c r="J123" s="37" t="e">
        <f>IF(ISBLANK(Data!#REF!),"",Data!#REF!)</f>
        <v>#REF!</v>
      </c>
      <c r="K123" s="22" t="e">
        <f>IF(ISBLANK(Data!#REF!),"",Data!#REF!)</f>
        <v>#REF!</v>
      </c>
      <c r="L123" s="22" t="e">
        <f>IF(ISBLANK(Data!#REF!),"",Data!#REF!)</f>
        <v>#REF!</v>
      </c>
      <c r="M123" s="22"/>
      <c r="N123" s="37" t="e">
        <f>IF(ISBLANK(Data!#REF!),"",Data!#REF!)</f>
        <v>#REF!</v>
      </c>
      <c r="O123" s="37" t="e">
        <f>IF(ISBLANK(Data!#REF!),"",Data!#REF!)</f>
        <v>#REF!</v>
      </c>
      <c r="P123" s="37" t="e">
        <f>IF(ISBLANK(Data!#REF!),"",Data!#REF!)</f>
        <v>#REF!</v>
      </c>
      <c r="Q123" s="37" t="e">
        <f>IF(ISBLANK(Data!#REF!),"",Data!#REF!)</f>
        <v>#REF!</v>
      </c>
    </row>
    <row r="124" spans="1:17" x14ac:dyDescent="0.25">
      <c r="A124" s="23" t="e">
        <f t="shared" si="2"/>
        <v>#REF!</v>
      </c>
      <c r="B124" s="42" t="e">
        <f>IF(ISBLANK(Data!#REF!),"",Data!#REF!)</f>
        <v>#REF!</v>
      </c>
      <c r="C124" s="35" t="e">
        <f>IF(ISBLANK(Data!#REF!),"",Data!#REF!)</f>
        <v>#REF!</v>
      </c>
      <c r="D124" s="36" t="e">
        <f>IF(ISBLANK(Data!#REF!),"",Data!#REF!)</f>
        <v>#REF!</v>
      </c>
      <c r="E124" s="36" t="e">
        <f>IF(ISBLANK(Data!#REF!),"",Data!#REF!)</f>
        <v>#REF!</v>
      </c>
      <c r="F124" s="36" t="e">
        <f>IF(ISBLANK(Data!#REF!),"",Data!#REF!)</f>
        <v>#REF!</v>
      </c>
      <c r="G124" s="37" t="e">
        <f>IF(ISBLANK(Data!#REF!),"",Data!#REF!)</f>
        <v>#REF!</v>
      </c>
      <c r="H124" s="37" t="e">
        <f>IF(ISBLANK(Data!#REF!),"",Data!#REF!)</f>
        <v>#REF!</v>
      </c>
      <c r="I124" s="37" t="e">
        <f>IF(ISBLANK(Data!#REF!),"",Data!#REF!)</f>
        <v>#REF!</v>
      </c>
      <c r="J124" s="37" t="e">
        <f>IF(ISBLANK(Data!#REF!),"",Data!#REF!)</f>
        <v>#REF!</v>
      </c>
      <c r="K124" s="22" t="e">
        <f>IF(ISBLANK(Data!#REF!),"",Data!#REF!)</f>
        <v>#REF!</v>
      </c>
      <c r="L124" s="22" t="e">
        <f>IF(ISBLANK(Data!#REF!),"",Data!#REF!)</f>
        <v>#REF!</v>
      </c>
      <c r="M124" s="22"/>
      <c r="N124" s="37" t="e">
        <f>IF(ISBLANK(Data!#REF!),"",Data!#REF!)</f>
        <v>#REF!</v>
      </c>
      <c r="O124" s="37" t="e">
        <f>IF(ISBLANK(Data!#REF!),"",Data!#REF!)</f>
        <v>#REF!</v>
      </c>
      <c r="P124" s="37" t="e">
        <f>IF(ISBLANK(Data!#REF!),"",Data!#REF!)</f>
        <v>#REF!</v>
      </c>
      <c r="Q124" s="37" t="e">
        <f>IF(ISBLANK(Data!#REF!),"",Data!#REF!)</f>
        <v>#REF!</v>
      </c>
    </row>
    <row r="125" spans="1:17" x14ac:dyDescent="0.25">
      <c r="A125" s="23" t="e">
        <f t="shared" si="2"/>
        <v>#REF!</v>
      </c>
      <c r="B125" s="42" t="e">
        <f>IF(ISBLANK(Data!#REF!),"",Data!#REF!)</f>
        <v>#REF!</v>
      </c>
      <c r="C125" s="35" t="e">
        <f>IF(ISBLANK(Data!#REF!),"",Data!#REF!)</f>
        <v>#REF!</v>
      </c>
      <c r="D125" s="36" t="e">
        <f>IF(ISBLANK(Data!#REF!),"",Data!#REF!)</f>
        <v>#REF!</v>
      </c>
      <c r="E125" s="36" t="e">
        <f>IF(ISBLANK(Data!#REF!),"",Data!#REF!)</f>
        <v>#REF!</v>
      </c>
      <c r="F125" s="36" t="e">
        <f>IF(ISBLANK(Data!#REF!),"",Data!#REF!)</f>
        <v>#REF!</v>
      </c>
      <c r="G125" s="37" t="e">
        <f>IF(ISBLANK(Data!#REF!),"",Data!#REF!)</f>
        <v>#REF!</v>
      </c>
      <c r="H125" s="37" t="e">
        <f>IF(ISBLANK(Data!#REF!),"",Data!#REF!)</f>
        <v>#REF!</v>
      </c>
      <c r="I125" s="37" t="e">
        <f>IF(ISBLANK(Data!#REF!),"",Data!#REF!)</f>
        <v>#REF!</v>
      </c>
      <c r="J125" s="37" t="e">
        <f>IF(ISBLANK(Data!#REF!),"",Data!#REF!)</f>
        <v>#REF!</v>
      </c>
      <c r="K125" s="22" t="e">
        <f>IF(ISBLANK(Data!#REF!),"",Data!#REF!)</f>
        <v>#REF!</v>
      </c>
      <c r="L125" s="22" t="e">
        <f>IF(ISBLANK(Data!#REF!),"",Data!#REF!)</f>
        <v>#REF!</v>
      </c>
      <c r="M125" s="22"/>
      <c r="N125" s="37" t="e">
        <f>IF(ISBLANK(Data!#REF!),"",Data!#REF!)</f>
        <v>#REF!</v>
      </c>
      <c r="O125" s="37" t="e">
        <f>IF(ISBLANK(Data!#REF!),"",Data!#REF!)</f>
        <v>#REF!</v>
      </c>
      <c r="P125" s="37" t="e">
        <f>IF(ISBLANK(Data!#REF!),"",Data!#REF!)</f>
        <v>#REF!</v>
      </c>
      <c r="Q125" s="37" t="e">
        <f>IF(ISBLANK(Data!#REF!),"",Data!#REF!)</f>
        <v>#REF!</v>
      </c>
    </row>
    <row r="126" spans="1:17" x14ac:dyDescent="0.25">
      <c r="A126" s="23" t="e">
        <f t="shared" si="2"/>
        <v>#REF!</v>
      </c>
      <c r="B126" s="42" t="e">
        <f>IF(ISBLANK(Data!#REF!),"",Data!#REF!)</f>
        <v>#REF!</v>
      </c>
      <c r="C126" s="35" t="e">
        <f>IF(ISBLANK(Data!#REF!),"",Data!#REF!)</f>
        <v>#REF!</v>
      </c>
      <c r="D126" s="36" t="e">
        <f>IF(ISBLANK(Data!#REF!),"",Data!#REF!)</f>
        <v>#REF!</v>
      </c>
      <c r="E126" s="36" t="e">
        <f>IF(ISBLANK(Data!#REF!),"",Data!#REF!)</f>
        <v>#REF!</v>
      </c>
      <c r="F126" s="36" t="e">
        <f>IF(ISBLANK(Data!#REF!),"",Data!#REF!)</f>
        <v>#REF!</v>
      </c>
      <c r="G126" s="37" t="e">
        <f>IF(ISBLANK(Data!#REF!),"",Data!#REF!)</f>
        <v>#REF!</v>
      </c>
      <c r="H126" s="37" t="e">
        <f>IF(ISBLANK(Data!#REF!),"",Data!#REF!)</f>
        <v>#REF!</v>
      </c>
      <c r="I126" s="37" t="e">
        <f>IF(ISBLANK(Data!#REF!),"",Data!#REF!)</f>
        <v>#REF!</v>
      </c>
      <c r="J126" s="37" t="e">
        <f>IF(ISBLANK(Data!#REF!),"",Data!#REF!)</f>
        <v>#REF!</v>
      </c>
      <c r="K126" s="22" t="e">
        <f>IF(ISBLANK(Data!#REF!),"",Data!#REF!)</f>
        <v>#REF!</v>
      </c>
      <c r="L126" s="22" t="e">
        <f>IF(ISBLANK(Data!#REF!),"",Data!#REF!)</f>
        <v>#REF!</v>
      </c>
      <c r="M126" s="22"/>
      <c r="N126" s="37" t="e">
        <f>IF(ISBLANK(Data!#REF!),"",Data!#REF!)</f>
        <v>#REF!</v>
      </c>
      <c r="O126" s="37" t="e">
        <f>IF(ISBLANK(Data!#REF!),"",Data!#REF!)</f>
        <v>#REF!</v>
      </c>
      <c r="P126" s="37" t="e">
        <f>IF(ISBLANK(Data!#REF!),"",Data!#REF!)</f>
        <v>#REF!</v>
      </c>
      <c r="Q126" s="37" t="e">
        <f>IF(ISBLANK(Data!#REF!),"",Data!#REF!)</f>
        <v>#REF!</v>
      </c>
    </row>
    <row r="127" spans="1:17" x14ac:dyDescent="0.25">
      <c r="A127" s="23" t="e">
        <f t="shared" si="2"/>
        <v>#REF!</v>
      </c>
      <c r="B127" s="42" t="e">
        <f>IF(ISBLANK(Data!#REF!),"",Data!#REF!)</f>
        <v>#REF!</v>
      </c>
      <c r="C127" s="35" t="e">
        <f>IF(ISBLANK(Data!#REF!),"",Data!#REF!)</f>
        <v>#REF!</v>
      </c>
      <c r="D127" s="36" t="e">
        <f>IF(ISBLANK(Data!#REF!),"",Data!#REF!)</f>
        <v>#REF!</v>
      </c>
      <c r="E127" s="36" t="e">
        <f>IF(ISBLANK(Data!#REF!),"",Data!#REF!)</f>
        <v>#REF!</v>
      </c>
      <c r="F127" s="36" t="e">
        <f>IF(ISBLANK(Data!#REF!),"",Data!#REF!)</f>
        <v>#REF!</v>
      </c>
      <c r="G127" s="37" t="e">
        <f>IF(ISBLANK(Data!#REF!),"",Data!#REF!)</f>
        <v>#REF!</v>
      </c>
      <c r="H127" s="37" t="e">
        <f>IF(ISBLANK(Data!#REF!),"",Data!#REF!)</f>
        <v>#REF!</v>
      </c>
      <c r="I127" s="37" t="e">
        <f>IF(ISBLANK(Data!#REF!),"",Data!#REF!)</f>
        <v>#REF!</v>
      </c>
      <c r="J127" s="37" t="e">
        <f>IF(ISBLANK(Data!#REF!),"",Data!#REF!)</f>
        <v>#REF!</v>
      </c>
      <c r="K127" s="22" t="e">
        <f>IF(ISBLANK(Data!#REF!),"",Data!#REF!)</f>
        <v>#REF!</v>
      </c>
      <c r="L127" s="22" t="e">
        <f>IF(ISBLANK(Data!#REF!),"",Data!#REF!)</f>
        <v>#REF!</v>
      </c>
      <c r="M127" s="22"/>
      <c r="N127" s="37" t="e">
        <f>IF(ISBLANK(Data!#REF!),"",Data!#REF!)</f>
        <v>#REF!</v>
      </c>
      <c r="O127" s="37" t="e">
        <f>IF(ISBLANK(Data!#REF!),"",Data!#REF!)</f>
        <v>#REF!</v>
      </c>
      <c r="P127" s="37" t="e">
        <f>IF(ISBLANK(Data!#REF!),"",Data!#REF!)</f>
        <v>#REF!</v>
      </c>
      <c r="Q127" s="37" t="e">
        <f>IF(ISBLANK(Data!#REF!),"",Data!#REF!)</f>
        <v>#REF!</v>
      </c>
    </row>
    <row r="128" spans="1:17" x14ac:dyDescent="0.25">
      <c r="A128" s="23" t="e">
        <f t="shared" si="2"/>
        <v>#REF!</v>
      </c>
      <c r="B128" s="42" t="e">
        <f>IF(ISBLANK(Data!#REF!),"",Data!#REF!)</f>
        <v>#REF!</v>
      </c>
      <c r="C128" s="35" t="e">
        <f>IF(ISBLANK(Data!#REF!),"",Data!#REF!)</f>
        <v>#REF!</v>
      </c>
      <c r="D128" s="36" t="e">
        <f>IF(ISBLANK(Data!#REF!),"",Data!#REF!)</f>
        <v>#REF!</v>
      </c>
      <c r="E128" s="36" t="e">
        <f>IF(ISBLANK(Data!#REF!),"",Data!#REF!)</f>
        <v>#REF!</v>
      </c>
      <c r="F128" s="36" t="e">
        <f>IF(ISBLANK(Data!#REF!),"",Data!#REF!)</f>
        <v>#REF!</v>
      </c>
      <c r="G128" s="37" t="e">
        <f>IF(ISBLANK(Data!#REF!),"",Data!#REF!)</f>
        <v>#REF!</v>
      </c>
      <c r="H128" s="37" t="e">
        <f>IF(ISBLANK(Data!#REF!),"",Data!#REF!)</f>
        <v>#REF!</v>
      </c>
      <c r="I128" s="37" t="e">
        <f>IF(ISBLANK(Data!#REF!),"",Data!#REF!)</f>
        <v>#REF!</v>
      </c>
      <c r="J128" s="37" t="e">
        <f>IF(ISBLANK(Data!#REF!),"",Data!#REF!)</f>
        <v>#REF!</v>
      </c>
      <c r="K128" s="22" t="e">
        <f>IF(ISBLANK(Data!#REF!),"",Data!#REF!)</f>
        <v>#REF!</v>
      </c>
      <c r="L128" s="22" t="e">
        <f>IF(ISBLANK(Data!#REF!),"",Data!#REF!)</f>
        <v>#REF!</v>
      </c>
      <c r="M128" s="22"/>
      <c r="N128" s="37" t="e">
        <f>IF(ISBLANK(Data!#REF!),"",Data!#REF!)</f>
        <v>#REF!</v>
      </c>
      <c r="O128" s="37" t="e">
        <f>IF(ISBLANK(Data!#REF!),"",Data!#REF!)</f>
        <v>#REF!</v>
      </c>
      <c r="P128" s="37" t="e">
        <f>IF(ISBLANK(Data!#REF!),"",Data!#REF!)</f>
        <v>#REF!</v>
      </c>
      <c r="Q128" s="37" t="e">
        <f>IF(ISBLANK(Data!#REF!),"",Data!#REF!)</f>
        <v>#REF!</v>
      </c>
    </row>
    <row r="129" spans="1:17" x14ac:dyDescent="0.25">
      <c r="A129" s="23" t="e">
        <f t="shared" si="2"/>
        <v>#REF!</v>
      </c>
      <c r="B129" s="42" t="e">
        <f>IF(ISBLANK(Data!#REF!),"",Data!#REF!)</f>
        <v>#REF!</v>
      </c>
      <c r="C129" s="35" t="e">
        <f>IF(ISBLANK(Data!#REF!),"",Data!#REF!)</f>
        <v>#REF!</v>
      </c>
      <c r="D129" s="36" t="e">
        <f>IF(ISBLANK(Data!#REF!),"",Data!#REF!)</f>
        <v>#REF!</v>
      </c>
      <c r="E129" s="36" t="e">
        <f>IF(ISBLANK(Data!#REF!),"",Data!#REF!)</f>
        <v>#REF!</v>
      </c>
      <c r="F129" s="36" t="e">
        <f>IF(ISBLANK(Data!#REF!),"",Data!#REF!)</f>
        <v>#REF!</v>
      </c>
      <c r="G129" s="37" t="e">
        <f>IF(ISBLANK(Data!#REF!),"",Data!#REF!)</f>
        <v>#REF!</v>
      </c>
      <c r="H129" s="37" t="e">
        <f>IF(ISBLANK(Data!#REF!),"",Data!#REF!)</f>
        <v>#REF!</v>
      </c>
      <c r="I129" s="37" t="e">
        <f>IF(ISBLANK(Data!#REF!),"",Data!#REF!)</f>
        <v>#REF!</v>
      </c>
      <c r="J129" s="37" t="e">
        <f>IF(ISBLANK(Data!#REF!),"",Data!#REF!)</f>
        <v>#REF!</v>
      </c>
      <c r="K129" s="22" t="e">
        <f>IF(ISBLANK(Data!#REF!),"",Data!#REF!)</f>
        <v>#REF!</v>
      </c>
      <c r="L129" s="22" t="e">
        <f>IF(ISBLANK(Data!#REF!),"",Data!#REF!)</f>
        <v>#REF!</v>
      </c>
      <c r="M129" s="22"/>
      <c r="N129" s="37" t="e">
        <f>IF(ISBLANK(Data!#REF!),"",Data!#REF!)</f>
        <v>#REF!</v>
      </c>
      <c r="O129" s="37" t="e">
        <f>IF(ISBLANK(Data!#REF!),"",Data!#REF!)</f>
        <v>#REF!</v>
      </c>
      <c r="P129" s="37" t="e">
        <f>IF(ISBLANK(Data!#REF!),"",Data!#REF!)</f>
        <v>#REF!</v>
      </c>
      <c r="Q129" s="37" t="e">
        <f>IF(ISBLANK(Data!#REF!),"",Data!#REF!)</f>
        <v>#REF!</v>
      </c>
    </row>
    <row r="130" spans="1:17" x14ac:dyDescent="0.25">
      <c r="A130" s="23" t="e">
        <f t="shared" si="2"/>
        <v>#REF!</v>
      </c>
      <c r="B130" s="42" t="e">
        <f>IF(ISBLANK(Data!#REF!),"",Data!#REF!)</f>
        <v>#REF!</v>
      </c>
      <c r="C130" s="35" t="e">
        <f>IF(ISBLANK(Data!#REF!),"",Data!#REF!)</f>
        <v>#REF!</v>
      </c>
      <c r="D130" s="36" t="e">
        <f>IF(ISBLANK(Data!#REF!),"",Data!#REF!)</f>
        <v>#REF!</v>
      </c>
      <c r="E130" s="36" t="e">
        <f>IF(ISBLANK(Data!#REF!),"",Data!#REF!)</f>
        <v>#REF!</v>
      </c>
      <c r="F130" s="36" t="e">
        <f>IF(ISBLANK(Data!#REF!),"",Data!#REF!)</f>
        <v>#REF!</v>
      </c>
      <c r="G130" s="37" t="e">
        <f>IF(ISBLANK(Data!#REF!),"",Data!#REF!)</f>
        <v>#REF!</v>
      </c>
      <c r="H130" s="37" t="e">
        <f>IF(ISBLANK(Data!#REF!),"",Data!#REF!)</f>
        <v>#REF!</v>
      </c>
      <c r="I130" s="37" t="e">
        <f>IF(ISBLANK(Data!#REF!),"",Data!#REF!)</f>
        <v>#REF!</v>
      </c>
      <c r="J130" s="37" t="e">
        <f>IF(ISBLANK(Data!#REF!),"",Data!#REF!)</f>
        <v>#REF!</v>
      </c>
      <c r="K130" s="22" t="e">
        <f>IF(ISBLANK(Data!#REF!),"",Data!#REF!)</f>
        <v>#REF!</v>
      </c>
      <c r="L130" s="22" t="e">
        <f>IF(ISBLANK(Data!#REF!),"",Data!#REF!)</f>
        <v>#REF!</v>
      </c>
      <c r="M130" s="22"/>
      <c r="N130" s="37" t="e">
        <f>IF(ISBLANK(Data!#REF!),"",Data!#REF!)</f>
        <v>#REF!</v>
      </c>
      <c r="O130" s="37" t="e">
        <f>IF(ISBLANK(Data!#REF!),"",Data!#REF!)</f>
        <v>#REF!</v>
      </c>
      <c r="P130" s="37" t="e">
        <f>IF(ISBLANK(Data!#REF!),"",Data!#REF!)</f>
        <v>#REF!</v>
      </c>
      <c r="Q130" s="37" t="e">
        <f>IF(ISBLANK(Data!#REF!),"",Data!#REF!)</f>
        <v>#REF!</v>
      </c>
    </row>
    <row r="131" spans="1:17" x14ac:dyDescent="0.25">
      <c r="A131" s="23" t="e">
        <f t="shared" ref="A131:A194" si="3">IF(B131="","",YEAR(B131))</f>
        <v>#REF!</v>
      </c>
      <c r="B131" s="42" t="e">
        <f>IF(ISBLANK(Data!#REF!),"",Data!#REF!)</f>
        <v>#REF!</v>
      </c>
      <c r="C131" s="35" t="e">
        <f>IF(ISBLANK(Data!#REF!),"",Data!#REF!)</f>
        <v>#REF!</v>
      </c>
      <c r="D131" s="36" t="e">
        <f>IF(ISBLANK(Data!#REF!),"",Data!#REF!)</f>
        <v>#REF!</v>
      </c>
      <c r="E131" s="36" t="e">
        <f>IF(ISBLANK(Data!#REF!),"",Data!#REF!)</f>
        <v>#REF!</v>
      </c>
      <c r="F131" s="36" t="e">
        <f>IF(ISBLANK(Data!#REF!),"",Data!#REF!)</f>
        <v>#REF!</v>
      </c>
      <c r="G131" s="37" t="e">
        <f>IF(ISBLANK(Data!#REF!),"",Data!#REF!)</f>
        <v>#REF!</v>
      </c>
      <c r="H131" s="37" t="e">
        <f>IF(ISBLANK(Data!#REF!),"",Data!#REF!)</f>
        <v>#REF!</v>
      </c>
      <c r="I131" s="37" t="e">
        <f>IF(ISBLANK(Data!#REF!),"",Data!#REF!)</f>
        <v>#REF!</v>
      </c>
      <c r="J131" s="37" t="e">
        <f>IF(ISBLANK(Data!#REF!),"",Data!#REF!)</f>
        <v>#REF!</v>
      </c>
      <c r="K131" s="22" t="e">
        <f>IF(ISBLANK(Data!#REF!),"",Data!#REF!)</f>
        <v>#REF!</v>
      </c>
      <c r="L131" s="22" t="e">
        <f>IF(ISBLANK(Data!#REF!),"",Data!#REF!)</f>
        <v>#REF!</v>
      </c>
      <c r="M131" s="22"/>
      <c r="N131" s="37" t="e">
        <f>IF(ISBLANK(Data!#REF!),"",Data!#REF!)</f>
        <v>#REF!</v>
      </c>
      <c r="O131" s="37" t="e">
        <f>IF(ISBLANK(Data!#REF!),"",Data!#REF!)</f>
        <v>#REF!</v>
      </c>
      <c r="P131" s="37" t="e">
        <f>IF(ISBLANK(Data!#REF!),"",Data!#REF!)</f>
        <v>#REF!</v>
      </c>
      <c r="Q131" s="37" t="e">
        <f>IF(ISBLANK(Data!#REF!),"",Data!#REF!)</f>
        <v>#REF!</v>
      </c>
    </row>
    <row r="132" spans="1:17" x14ac:dyDescent="0.25">
      <c r="A132" s="23" t="e">
        <f t="shared" si="3"/>
        <v>#REF!</v>
      </c>
      <c r="B132" s="42" t="e">
        <f>IF(ISBLANK(Data!#REF!),"",Data!#REF!)</f>
        <v>#REF!</v>
      </c>
      <c r="C132" s="35" t="e">
        <f>IF(ISBLANK(Data!#REF!),"",Data!#REF!)</f>
        <v>#REF!</v>
      </c>
      <c r="D132" s="36" t="e">
        <f>IF(ISBLANK(Data!#REF!),"",Data!#REF!)</f>
        <v>#REF!</v>
      </c>
      <c r="E132" s="36" t="e">
        <f>IF(ISBLANK(Data!#REF!),"",Data!#REF!)</f>
        <v>#REF!</v>
      </c>
      <c r="F132" s="36" t="e">
        <f>IF(ISBLANK(Data!#REF!),"",Data!#REF!)</f>
        <v>#REF!</v>
      </c>
      <c r="G132" s="37" t="e">
        <f>IF(ISBLANK(Data!#REF!),"",Data!#REF!)</f>
        <v>#REF!</v>
      </c>
      <c r="H132" s="37" t="e">
        <f>IF(ISBLANK(Data!#REF!),"",Data!#REF!)</f>
        <v>#REF!</v>
      </c>
      <c r="I132" s="37" t="e">
        <f>IF(ISBLANK(Data!#REF!),"",Data!#REF!)</f>
        <v>#REF!</v>
      </c>
      <c r="J132" s="37" t="e">
        <f>IF(ISBLANK(Data!#REF!),"",Data!#REF!)</f>
        <v>#REF!</v>
      </c>
      <c r="K132" s="22" t="e">
        <f>IF(ISBLANK(Data!#REF!),"",Data!#REF!)</f>
        <v>#REF!</v>
      </c>
      <c r="L132" s="22" t="e">
        <f>IF(ISBLANK(Data!#REF!),"",Data!#REF!)</f>
        <v>#REF!</v>
      </c>
      <c r="M132" s="22"/>
      <c r="N132" s="37" t="e">
        <f>IF(ISBLANK(Data!#REF!),"",Data!#REF!)</f>
        <v>#REF!</v>
      </c>
      <c r="O132" s="37" t="e">
        <f>IF(ISBLANK(Data!#REF!),"",Data!#REF!)</f>
        <v>#REF!</v>
      </c>
      <c r="P132" s="37" t="e">
        <f>IF(ISBLANK(Data!#REF!),"",Data!#REF!)</f>
        <v>#REF!</v>
      </c>
      <c r="Q132" s="37" t="e">
        <f>IF(ISBLANK(Data!#REF!),"",Data!#REF!)</f>
        <v>#REF!</v>
      </c>
    </row>
    <row r="133" spans="1:17" x14ac:dyDescent="0.25">
      <c r="A133" s="23" t="e">
        <f t="shared" si="3"/>
        <v>#REF!</v>
      </c>
      <c r="B133" s="42" t="e">
        <f>IF(ISBLANK(Data!#REF!),"",Data!#REF!)</f>
        <v>#REF!</v>
      </c>
      <c r="C133" s="35" t="e">
        <f>IF(ISBLANK(Data!#REF!),"",Data!#REF!)</f>
        <v>#REF!</v>
      </c>
      <c r="D133" s="36" t="e">
        <f>IF(ISBLANK(Data!#REF!),"",Data!#REF!)</f>
        <v>#REF!</v>
      </c>
      <c r="E133" s="36" t="e">
        <f>IF(ISBLANK(Data!#REF!),"",Data!#REF!)</f>
        <v>#REF!</v>
      </c>
      <c r="F133" s="36" t="e">
        <f>IF(ISBLANK(Data!#REF!),"",Data!#REF!)</f>
        <v>#REF!</v>
      </c>
      <c r="G133" s="37" t="e">
        <f>IF(ISBLANK(Data!#REF!),"",Data!#REF!)</f>
        <v>#REF!</v>
      </c>
      <c r="H133" s="37" t="e">
        <f>IF(ISBLANK(Data!#REF!),"",Data!#REF!)</f>
        <v>#REF!</v>
      </c>
      <c r="I133" s="37" t="e">
        <f>IF(ISBLANK(Data!#REF!),"",Data!#REF!)</f>
        <v>#REF!</v>
      </c>
      <c r="J133" s="37" t="e">
        <f>IF(ISBLANK(Data!#REF!),"",Data!#REF!)</f>
        <v>#REF!</v>
      </c>
      <c r="K133" s="22" t="e">
        <f>IF(ISBLANK(Data!#REF!),"",Data!#REF!)</f>
        <v>#REF!</v>
      </c>
      <c r="L133" s="22" t="e">
        <f>IF(ISBLANK(Data!#REF!),"",Data!#REF!)</f>
        <v>#REF!</v>
      </c>
      <c r="M133" s="22"/>
      <c r="N133" s="37" t="e">
        <f>IF(ISBLANK(Data!#REF!),"",Data!#REF!)</f>
        <v>#REF!</v>
      </c>
      <c r="O133" s="37" t="e">
        <f>IF(ISBLANK(Data!#REF!),"",Data!#REF!)</f>
        <v>#REF!</v>
      </c>
      <c r="P133" s="37" t="e">
        <f>IF(ISBLANK(Data!#REF!),"",Data!#REF!)</f>
        <v>#REF!</v>
      </c>
      <c r="Q133" s="37" t="e">
        <f>IF(ISBLANK(Data!#REF!),"",Data!#REF!)</f>
        <v>#REF!</v>
      </c>
    </row>
    <row r="134" spans="1:17" x14ac:dyDescent="0.25">
      <c r="A134" s="23" t="e">
        <f t="shared" si="3"/>
        <v>#REF!</v>
      </c>
      <c r="B134" s="42" t="e">
        <f>IF(ISBLANK(Data!#REF!),"",Data!#REF!)</f>
        <v>#REF!</v>
      </c>
      <c r="C134" s="35" t="e">
        <f>IF(ISBLANK(Data!#REF!),"",Data!#REF!)</f>
        <v>#REF!</v>
      </c>
      <c r="D134" s="36" t="e">
        <f>IF(ISBLANK(Data!#REF!),"",Data!#REF!)</f>
        <v>#REF!</v>
      </c>
      <c r="E134" s="36" t="e">
        <f>IF(ISBLANK(Data!#REF!),"",Data!#REF!)</f>
        <v>#REF!</v>
      </c>
      <c r="F134" s="36" t="e">
        <f>IF(ISBLANK(Data!#REF!),"",Data!#REF!)</f>
        <v>#REF!</v>
      </c>
      <c r="G134" s="37" t="e">
        <f>IF(ISBLANK(Data!#REF!),"",Data!#REF!)</f>
        <v>#REF!</v>
      </c>
      <c r="H134" s="37" t="e">
        <f>IF(ISBLANK(Data!#REF!),"",Data!#REF!)</f>
        <v>#REF!</v>
      </c>
      <c r="I134" s="37" t="e">
        <f>IF(ISBLANK(Data!#REF!),"",Data!#REF!)</f>
        <v>#REF!</v>
      </c>
      <c r="J134" s="37" t="e">
        <f>IF(ISBLANK(Data!#REF!),"",Data!#REF!)</f>
        <v>#REF!</v>
      </c>
      <c r="K134" s="22" t="e">
        <f>IF(ISBLANK(Data!#REF!),"",Data!#REF!)</f>
        <v>#REF!</v>
      </c>
      <c r="L134" s="22" t="e">
        <f>IF(ISBLANK(Data!#REF!),"",Data!#REF!)</f>
        <v>#REF!</v>
      </c>
      <c r="M134" s="22"/>
      <c r="N134" s="37" t="e">
        <f>IF(ISBLANK(Data!#REF!),"",Data!#REF!)</f>
        <v>#REF!</v>
      </c>
      <c r="O134" s="37" t="e">
        <f>IF(ISBLANK(Data!#REF!),"",Data!#REF!)</f>
        <v>#REF!</v>
      </c>
      <c r="P134" s="37" t="e">
        <f>IF(ISBLANK(Data!#REF!),"",Data!#REF!)</f>
        <v>#REF!</v>
      </c>
      <c r="Q134" s="37" t="e">
        <f>IF(ISBLANK(Data!#REF!),"",Data!#REF!)</f>
        <v>#REF!</v>
      </c>
    </row>
    <row r="135" spans="1:17" x14ac:dyDescent="0.25">
      <c r="A135" s="23" t="e">
        <f t="shared" si="3"/>
        <v>#REF!</v>
      </c>
      <c r="B135" s="42" t="e">
        <f>IF(ISBLANK(Data!#REF!),"",Data!#REF!)</f>
        <v>#REF!</v>
      </c>
      <c r="C135" s="35" t="e">
        <f>IF(ISBLANK(Data!#REF!),"",Data!#REF!)</f>
        <v>#REF!</v>
      </c>
      <c r="D135" s="36" t="e">
        <f>IF(ISBLANK(Data!#REF!),"",Data!#REF!)</f>
        <v>#REF!</v>
      </c>
      <c r="E135" s="36" t="e">
        <f>IF(ISBLANK(Data!#REF!),"",Data!#REF!)</f>
        <v>#REF!</v>
      </c>
      <c r="F135" s="36" t="e">
        <f>IF(ISBLANK(Data!#REF!),"",Data!#REF!)</f>
        <v>#REF!</v>
      </c>
      <c r="G135" s="37" t="e">
        <f>IF(ISBLANK(Data!#REF!),"",Data!#REF!)</f>
        <v>#REF!</v>
      </c>
      <c r="H135" s="37" t="e">
        <f>IF(ISBLANK(Data!#REF!),"",Data!#REF!)</f>
        <v>#REF!</v>
      </c>
      <c r="I135" s="37" t="e">
        <f>IF(ISBLANK(Data!#REF!),"",Data!#REF!)</f>
        <v>#REF!</v>
      </c>
      <c r="J135" s="37" t="e">
        <f>IF(ISBLANK(Data!#REF!),"",Data!#REF!)</f>
        <v>#REF!</v>
      </c>
      <c r="K135" s="22" t="e">
        <f>IF(ISBLANK(Data!#REF!),"",Data!#REF!)</f>
        <v>#REF!</v>
      </c>
      <c r="L135" s="22" t="e">
        <f>IF(ISBLANK(Data!#REF!),"",Data!#REF!)</f>
        <v>#REF!</v>
      </c>
      <c r="M135" s="22"/>
      <c r="N135" s="37" t="e">
        <f>IF(ISBLANK(Data!#REF!),"",Data!#REF!)</f>
        <v>#REF!</v>
      </c>
      <c r="O135" s="37" t="e">
        <f>IF(ISBLANK(Data!#REF!),"",Data!#REF!)</f>
        <v>#REF!</v>
      </c>
      <c r="P135" s="37" t="e">
        <f>IF(ISBLANK(Data!#REF!),"",Data!#REF!)</f>
        <v>#REF!</v>
      </c>
      <c r="Q135" s="37" t="e">
        <f>IF(ISBLANK(Data!#REF!),"",Data!#REF!)</f>
        <v>#REF!</v>
      </c>
    </row>
    <row r="136" spans="1:17" x14ac:dyDescent="0.25">
      <c r="A136" s="23" t="e">
        <f t="shared" si="3"/>
        <v>#REF!</v>
      </c>
      <c r="B136" s="42" t="e">
        <f>IF(ISBLANK(Data!#REF!),"",Data!#REF!)</f>
        <v>#REF!</v>
      </c>
      <c r="C136" s="35" t="e">
        <f>IF(ISBLANK(Data!#REF!),"",Data!#REF!)</f>
        <v>#REF!</v>
      </c>
      <c r="D136" s="36" t="e">
        <f>IF(ISBLANK(Data!#REF!),"",Data!#REF!)</f>
        <v>#REF!</v>
      </c>
      <c r="E136" s="36" t="e">
        <f>IF(ISBLANK(Data!#REF!),"",Data!#REF!)</f>
        <v>#REF!</v>
      </c>
      <c r="F136" s="36" t="e">
        <f>IF(ISBLANK(Data!#REF!),"",Data!#REF!)</f>
        <v>#REF!</v>
      </c>
      <c r="G136" s="37" t="e">
        <f>IF(ISBLANK(Data!#REF!),"",Data!#REF!)</f>
        <v>#REF!</v>
      </c>
      <c r="H136" s="37" t="e">
        <f>IF(ISBLANK(Data!#REF!),"",Data!#REF!)</f>
        <v>#REF!</v>
      </c>
      <c r="I136" s="37" t="e">
        <f>IF(ISBLANK(Data!#REF!),"",Data!#REF!)</f>
        <v>#REF!</v>
      </c>
      <c r="J136" s="37" t="e">
        <f>IF(ISBLANK(Data!#REF!),"",Data!#REF!)</f>
        <v>#REF!</v>
      </c>
      <c r="K136" s="22" t="e">
        <f>IF(ISBLANK(Data!#REF!),"",Data!#REF!)</f>
        <v>#REF!</v>
      </c>
      <c r="L136" s="22" t="e">
        <f>IF(ISBLANK(Data!#REF!),"",Data!#REF!)</f>
        <v>#REF!</v>
      </c>
      <c r="M136" s="22"/>
      <c r="N136" s="37" t="e">
        <f>IF(ISBLANK(Data!#REF!),"",Data!#REF!)</f>
        <v>#REF!</v>
      </c>
      <c r="O136" s="37" t="e">
        <f>IF(ISBLANK(Data!#REF!),"",Data!#REF!)</f>
        <v>#REF!</v>
      </c>
      <c r="P136" s="37" t="e">
        <f>IF(ISBLANK(Data!#REF!),"",Data!#REF!)</f>
        <v>#REF!</v>
      </c>
      <c r="Q136" s="37" t="e">
        <f>IF(ISBLANK(Data!#REF!),"",Data!#REF!)</f>
        <v>#REF!</v>
      </c>
    </row>
    <row r="137" spans="1:17" x14ac:dyDescent="0.25">
      <c r="A137" s="23" t="e">
        <f t="shared" si="3"/>
        <v>#REF!</v>
      </c>
      <c r="B137" s="42" t="e">
        <f>IF(ISBLANK(Data!#REF!),"",Data!#REF!)</f>
        <v>#REF!</v>
      </c>
      <c r="C137" s="35" t="e">
        <f>IF(ISBLANK(Data!#REF!),"",Data!#REF!)</f>
        <v>#REF!</v>
      </c>
      <c r="D137" s="36" t="e">
        <f>IF(ISBLANK(Data!#REF!),"",Data!#REF!)</f>
        <v>#REF!</v>
      </c>
      <c r="E137" s="36" t="e">
        <f>IF(ISBLANK(Data!#REF!),"",Data!#REF!)</f>
        <v>#REF!</v>
      </c>
      <c r="F137" s="36" t="e">
        <f>IF(ISBLANK(Data!#REF!),"",Data!#REF!)</f>
        <v>#REF!</v>
      </c>
      <c r="G137" s="37" t="e">
        <f>IF(ISBLANK(Data!#REF!),"",Data!#REF!)</f>
        <v>#REF!</v>
      </c>
      <c r="H137" s="37" t="e">
        <f>IF(ISBLANK(Data!#REF!),"",Data!#REF!)</f>
        <v>#REF!</v>
      </c>
      <c r="I137" s="37" t="e">
        <f>IF(ISBLANK(Data!#REF!),"",Data!#REF!)</f>
        <v>#REF!</v>
      </c>
      <c r="J137" s="37" t="e">
        <f>IF(ISBLANK(Data!#REF!),"",Data!#REF!)</f>
        <v>#REF!</v>
      </c>
      <c r="K137" s="22" t="e">
        <f>IF(ISBLANK(Data!#REF!),"",Data!#REF!)</f>
        <v>#REF!</v>
      </c>
      <c r="L137" s="22" t="e">
        <f>IF(ISBLANK(Data!#REF!),"",Data!#REF!)</f>
        <v>#REF!</v>
      </c>
      <c r="M137" s="22"/>
      <c r="N137" s="37" t="e">
        <f>IF(ISBLANK(Data!#REF!),"",Data!#REF!)</f>
        <v>#REF!</v>
      </c>
      <c r="O137" s="37" t="e">
        <f>IF(ISBLANK(Data!#REF!),"",Data!#REF!)</f>
        <v>#REF!</v>
      </c>
      <c r="P137" s="37" t="e">
        <f>IF(ISBLANK(Data!#REF!),"",Data!#REF!)</f>
        <v>#REF!</v>
      </c>
      <c r="Q137" s="37" t="e">
        <f>IF(ISBLANK(Data!#REF!),"",Data!#REF!)</f>
        <v>#REF!</v>
      </c>
    </row>
    <row r="138" spans="1:17" x14ac:dyDescent="0.25">
      <c r="A138" s="23" t="e">
        <f t="shared" si="3"/>
        <v>#REF!</v>
      </c>
      <c r="B138" s="42" t="e">
        <f>IF(ISBLANK(Data!#REF!),"",Data!#REF!)</f>
        <v>#REF!</v>
      </c>
      <c r="C138" s="35" t="e">
        <f>IF(ISBLANK(Data!#REF!),"",Data!#REF!)</f>
        <v>#REF!</v>
      </c>
      <c r="D138" s="36" t="e">
        <f>IF(ISBLANK(Data!#REF!),"",Data!#REF!)</f>
        <v>#REF!</v>
      </c>
      <c r="E138" s="36" t="e">
        <f>IF(ISBLANK(Data!#REF!),"",Data!#REF!)</f>
        <v>#REF!</v>
      </c>
      <c r="F138" s="36" t="e">
        <f>IF(ISBLANK(Data!#REF!),"",Data!#REF!)</f>
        <v>#REF!</v>
      </c>
      <c r="G138" s="37" t="e">
        <f>IF(ISBLANK(Data!#REF!),"",Data!#REF!)</f>
        <v>#REF!</v>
      </c>
      <c r="H138" s="37" t="e">
        <f>IF(ISBLANK(Data!#REF!),"",Data!#REF!)</f>
        <v>#REF!</v>
      </c>
      <c r="I138" s="37" t="e">
        <f>IF(ISBLANK(Data!#REF!),"",Data!#REF!)</f>
        <v>#REF!</v>
      </c>
      <c r="J138" s="37" t="e">
        <f>IF(ISBLANK(Data!#REF!),"",Data!#REF!)</f>
        <v>#REF!</v>
      </c>
      <c r="K138" s="22" t="e">
        <f>IF(ISBLANK(Data!#REF!),"",Data!#REF!)</f>
        <v>#REF!</v>
      </c>
      <c r="L138" s="22" t="e">
        <f>IF(ISBLANK(Data!#REF!),"",Data!#REF!)</f>
        <v>#REF!</v>
      </c>
      <c r="M138" s="22"/>
      <c r="N138" s="37" t="e">
        <f>IF(ISBLANK(Data!#REF!),"",Data!#REF!)</f>
        <v>#REF!</v>
      </c>
      <c r="O138" s="37" t="e">
        <f>IF(ISBLANK(Data!#REF!),"",Data!#REF!)</f>
        <v>#REF!</v>
      </c>
      <c r="P138" s="37" t="e">
        <f>IF(ISBLANK(Data!#REF!),"",Data!#REF!)</f>
        <v>#REF!</v>
      </c>
      <c r="Q138" s="37" t="e">
        <f>IF(ISBLANK(Data!#REF!),"",Data!#REF!)</f>
        <v>#REF!</v>
      </c>
    </row>
    <row r="139" spans="1:17" x14ac:dyDescent="0.25">
      <c r="A139" s="23" t="e">
        <f t="shared" si="3"/>
        <v>#REF!</v>
      </c>
      <c r="B139" s="42" t="e">
        <f>IF(ISBLANK(Data!#REF!),"",Data!#REF!)</f>
        <v>#REF!</v>
      </c>
      <c r="C139" s="35" t="e">
        <f>IF(ISBLANK(Data!#REF!),"",Data!#REF!)</f>
        <v>#REF!</v>
      </c>
      <c r="D139" s="36" t="e">
        <f>IF(ISBLANK(Data!#REF!),"",Data!#REF!)</f>
        <v>#REF!</v>
      </c>
      <c r="E139" s="36" t="e">
        <f>IF(ISBLANK(Data!#REF!),"",Data!#REF!)</f>
        <v>#REF!</v>
      </c>
      <c r="F139" s="36" t="e">
        <f>IF(ISBLANK(Data!#REF!),"",Data!#REF!)</f>
        <v>#REF!</v>
      </c>
      <c r="G139" s="37" t="e">
        <f>IF(ISBLANK(Data!#REF!),"",Data!#REF!)</f>
        <v>#REF!</v>
      </c>
      <c r="H139" s="37" t="e">
        <f>IF(ISBLANK(Data!#REF!),"",Data!#REF!)</f>
        <v>#REF!</v>
      </c>
      <c r="I139" s="37" t="e">
        <f>IF(ISBLANK(Data!#REF!),"",Data!#REF!)</f>
        <v>#REF!</v>
      </c>
      <c r="J139" s="37" t="e">
        <f>IF(ISBLANK(Data!#REF!),"",Data!#REF!)</f>
        <v>#REF!</v>
      </c>
      <c r="K139" s="22" t="e">
        <f>IF(ISBLANK(Data!#REF!),"",Data!#REF!)</f>
        <v>#REF!</v>
      </c>
      <c r="L139" s="22" t="e">
        <f>IF(ISBLANK(Data!#REF!),"",Data!#REF!)</f>
        <v>#REF!</v>
      </c>
      <c r="M139" s="22"/>
      <c r="N139" s="37" t="e">
        <f>IF(ISBLANK(Data!#REF!),"",Data!#REF!)</f>
        <v>#REF!</v>
      </c>
      <c r="O139" s="37" t="e">
        <f>IF(ISBLANK(Data!#REF!),"",Data!#REF!)</f>
        <v>#REF!</v>
      </c>
      <c r="P139" s="37" t="e">
        <f>IF(ISBLANK(Data!#REF!),"",Data!#REF!)</f>
        <v>#REF!</v>
      </c>
      <c r="Q139" s="37" t="e">
        <f>IF(ISBLANK(Data!#REF!),"",Data!#REF!)</f>
        <v>#REF!</v>
      </c>
    </row>
    <row r="140" spans="1:17" x14ac:dyDescent="0.25">
      <c r="A140" s="23" t="e">
        <f t="shared" si="3"/>
        <v>#REF!</v>
      </c>
      <c r="B140" s="42" t="e">
        <f>IF(ISBLANK(Data!#REF!),"",Data!#REF!)</f>
        <v>#REF!</v>
      </c>
      <c r="C140" s="35" t="e">
        <f>IF(ISBLANK(Data!#REF!),"",Data!#REF!)</f>
        <v>#REF!</v>
      </c>
      <c r="D140" s="36" t="e">
        <f>IF(ISBLANK(Data!#REF!),"",Data!#REF!)</f>
        <v>#REF!</v>
      </c>
      <c r="E140" s="36" t="e">
        <f>IF(ISBLANK(Data!#REF!),"",Data!#REF!)</f>
        <v>#REF!</v>
      </c>
      <c r="F140" s="36" t="e">
        <f>IF(ISBLANK(Data!#REF!),"",Data!#REF!)</f>
        <v>#REF!</v>
      </c>
      <c r="G140" s="37" t="e">
        <f>IF(ISBLANK(Data!#REF!),"",Data!#REF!)</f>
        <v>#REF!</v>
      </c>
      <c r="H140" s="37" t="e">
        <f>IF(ISBLANK(Data!#REF!),"",Data!#REF!)</f>
        <v>#REF!</v>
      </c>
      <c r="I140" s="37" t="e">
        <f>IF(ISBLANK(Data!#REF!),"",Data!#REF!)</f>
        <v>#REF!</v>
      </c>
      <c r="J140" s="37" t="e">
        <f>IF(ISBLANK(Data!#REF!),"",Data!#REF!)</f>
        <v>#REF!</v>
      </c>
      <c r="K140" s="22" t="e">
        <f>IF(ISBLANK(Data!#REF!),"",Data!#REF!)</f>
        <v>#REF!</v>
      </c>
      <c r="L140" s="22" t="e">
        <f>IF(ISBLANK(Data!#REF!),"",Data!#REF!)</f>
        <v>#REF!</v>
      </c>
      <c r="M140" s="22"/>
      <c r="N140" s="37" t="e">
        <f>IF(ISBLANK(Data!#REF!),"",Data!#REF!)</f>
        <v>#REF!</v>
      </c>
      <c r="O140" s="37" t="e">
        <f>IF(ISBLANK(Data!#REF!),"",Data!#REF!)</f>
        <v>#REF!</v>
      </c>
      <c r="P140" s="37" t="e">
        <f>IF(ISBLANK(Data!#REF!),"",Data!#REF!)</f>
        <v>#REF!</v>
      </c>
      <c r="Q140" s="37" t="e">
        <f>IF(ISBLANK(Data!#REF!),"",Data!#REF!)</f>
        <v>#REF!</v>
      </c>
    </row>
    <row r="141" spans="1:17" x14ac:dyDescent="0.25">
      <c r="A141" s="23" t="e">
        <f t="shared" si="3"/>
        <v>#REF!</v>
      </c>
      <c r="B141" s="42" t="e">
        <f>IF(ISBLANK(Data!#REF!),"",Data!#REF!)</f>
        <v>#REF!</v>
      </c>
      <c r="C141" s="35" t="e">
        <f>IF(ISBLANK(Data!#REF!),"",Data!#REF!)</f>
        <v>#REF!</v>
      </c>
      <c r="D141" s="36" t="e">
        <f>IF(ISBLANK(Data!#REF!),"",Data!#REF!)</f>
        <v>#REF!</v>
      </c>
      <c r="E141" s="36" t="e">
        <f>IF(ISBLANK(Data!#REF!),"",Data!#REF!)</f>
        <v>#REF!</v>
      </c>
      <c r="F141" s="36" t="e">
        <f>IF(ISBLANK(Data!#REF!),"",Data!#REF!)</f>
        <v>#REF!</v>
      </c>
      <c r="G141" s="37" t="e">
        <f>IF(ISBLANK(Data!#REF!),"",Data!#REF!)</f>
        <v>#REF!</v>
      </c>
      <c r="H141" s="37" t="e">
        <f>IF(ISBLANK(Data!#REF!),"",Data!#REF!)</f>
        <v>#REF!</v>
      </c>
      <c r="I141" s="37" t="e">
        <f>IF(ISBLANK(Data!#REF!),"",Data!#REF!)</f>
        <v>#REF!</v>
      </c>
      <c r="J141" s="37" t="e">
        <f>IF(ISBLANK(Data!#REF!),"",Data!#REF!)</f>
        <v>#REF!</v>
      </c>
      <c r="K141" s="22" t="e">
        <f>IF(ISBLANK(Data!#REF!),"",Data!#REF!)</f>
        <v>#REF!</v>
      </c>
      <c r="L141" s="22" t="e">
        <f>IF(ISBLANK(Data!#REF!),"",Data!#REF!)</f>
        <v>#REF!</v>
      </c>
      <c r="M141" s="22"/>
      <c r="N141" s="37" t="e">
        <f>IF(ISBLANK(Data!#REF!),"",Data!#REF!)</f>
        <v>#REF!</v>
      </c>
      <c r="O141" s="37" t="e">
        <f>IF(ISBLANK(Data!#REF!),"",Data!#REF!)</f>
        <v>#REF!</v>
      </c>
      <c r="P141" s="37" t="e">
        <f>IF(ISBLANK(Data!#REF!),"",Data!#REF!)</f>
        <v>#REF!</v>
      </c>
      <c r="Q141" s="37" t="e">
        <f>IF(ISBLANK(Data!#REF!),"",Data!#REF!)</f>
        <v>#REF!</v>
      </c>
    </row>
    <row r="142" spans="1:17" x14ac:dyDescent="0.25">
      <c r="A142" s="23" t="e">
        <f t="shared" si="3"/>
        <v>#REF!</v>
      </c>
      <c r="B142" s="42" t="e">
        <f>IF(ISBLANK(Data!#REF!),"",Data!#REF!)</f>
        <v>#REF!</v>
      </c>
      <c r="C142" s="35" t="e">
        <f>IF(ISBLANK(Data!#REF!),"",Data!#REF!)</f>
        <v>#REF!</v>
      </c>
      <c r="D142" s="36" t="e">
        <f>IF(ISBLANK(Data!#REF!),"",Data!#REF!)</f>
        <v>#REF!</v>
      </c>
      <c r="E142" s="36" t="e">
        <f>IF(ISBLANK(Data!#REF!),"",Data!#REF!)</f>
        <v>#REF!</v>
      </c>
      <c r="F142" s="36" t="e">
        <f>IF(ISBLANK(Data!#REF!),"",Data!#REF!)</f>
        <v>#REF!</v>
      </c>
      <c r="G142" s="37" t="e">
        <f>IF(ISBLANK(Data!#REF!),"",Data!#REF!)</f>
        <v>#REF!</v>
      </c>
      <c r="H142" s="37" t="e">
        <f>IF(ISBLANK(Data!#REF!),"",Data!#REF!)</f>
        <v>#REF!</v>
      </c>
      <c r="I142" s="37" t="e">
        <f>IF(ISBLANK(Data!#REF!),"",Data!#REF!)</f>
        <v>#REF!</v>
      </c>
      <c r="J142" s="37" t="e">
        <f>IF(ISBLANK(Data!#REF!),"",Data!#REF!)</f>
        <v>#REF!</v>
      </c>
      <c r="K142" s="22" t="e">
        <f>IF(ISBLANK(Data!#REF!),"",Data!#REF!)</f>
        <v>#REF!</v>
      </c>
      <c r="L142" s="22" t="e">
        <f>IF(ISBLANK(Data!#REF!),"",Data!#REF!)</f>
        <v>#REF!</v>
      </c>
      <c r="M142" s="22"/>
      <c r="N142" s="37" t="e">
        <f>IF(ISBLANK(Data!#REF!),"",Data!#REF!)</f>
        <v>#REF!</v>
      </c>
      <c r="O142" s="37" t="e">
        <f>IF(ISBLANK(Data!#REF!),"",Data!#REF!)</f>
        <v>#REF!</v>
      </c>
      <c r="P142" s="37" t="e">
        <f>IF(ISBLANK(Data!#REF!),"",Data!#REF!)</f>
        <v>#REF!</v>
      </c>
      <c r="Q142" s="37" t="e">
        <f>IF(ISBLANK(Data!#REF!),"",Data!#REF!)</f>
        <v>#REF!</v>
      </c>
    </row>
    <row r="143" spans="1:17" x14ac:dyDescent="0.25">
      <c r="A143" s="23" t="e">
        <f t="shared" si="3"/>
        <v>#REF!</v>
      </c>
      <c r="B143" s="42" t="e">
        <f>IF(ISBLANK(Data!#REF!),"",Data!#REF!)</f>
        <v>#REF!</v>
      </c>
      <c r="C143" s="35" t="e">
        <f>IF(ISBLANK(Data!#REF!),"",Data!#REF!)</f>
        <v>#REF!</v>
      </c>
      <c r="D143" s="36" t="e">
        <f>IF(ISBLANK(Data!#REF!),"",Data!#REF!)</f>
        <v>#REF!</v>
      </c>
      <c r="E143" s="36" t="e">
        <f>IF(ISBLANK(Data!#REF!),"",Data!#REF!)</f>
        <v>#REF!</v>
      </c>
      <c r="F143" s="36" t="e">
        <f>IF(ISBLANK(Data!#REF!),"",Data!#REF!)</f>
        <v>#REF!</v>
      </c>
      <c r="G143" s="37" t="e">
        <f>IF(ISBLANK(Data!#REF!),"",Data!#REF!)</f>
        <v>#REF!</v>
      </c>
      <c r="H143" s="37" t="e">
        <f>IF(ISBLANK(Data!#REF!),"",Data!#REF!)</f>
        <v>#REF!</v>
      </c>
      <c r="I143" s="37" t="e">
        <f>IF(ISBLANK(Data!#REF!),"",Data!#REF!)</f>
        <v>#REF!</v>
      </c>
      <c r="J143" s="37" t="e">
        <f>IF(ISBLANK(Data!#REF!),"",Data!#REF!)</f>
        <v>#REF!</v>
      </c>
      <c r="K143" s="22" t="e">
        <f>IF(ISBLANK(Data!#REF!),"",Data!#REF!)</f>
        <v>#REF!</v>
      </c>
      <c r="L143" s="22" t="e">
        <f>IF(ISBLANK(Data!#REF!),"",Data!#REF!)</f>
        <v>#REF!</v>
      </c>
      <c r="M143" s="22"/>
      <c r="N143" s="37" t="e">
        <f>IF(ISBLANK(Data!#REF!),"",Data!#REF!)</f>
        <v>#REF!</v>
      </c>
      <c r="O143" s="37" t="e">
        <f>IF(ISBLANK(Data!#REF!),"",Data!#REF!)</f>
        <v>#REF!</v>
      </c>
      <c r="P143" s="37" t="e">
        <f>IF(ISBLANK(Data!#REF!),"",Data!#REF!)</f>
        <v>#REF!</v>
      </c>
      <c r="Q143" s="37" t="e">
        <f>IF(ISBLANK(Data!#REF!),"",Data!#REF!)</f>
        <v>#REF!</v>
      </c>
    </row>
    <row r="144" spans="1:17" x14ac:dyDescent="0.25">
      <c r="A144" s="23" t="e">
        <f t="shared" si="3"/>
        <v>#REF!</v>
      </c>
      <c r="B144" s="42" t="e">
        <f>IF(ISBLANK(Data!#REF!),"",Data!#REF!)</f>
        <v>#REF!</v>
      </c>
      <c r="C144" s="35" t="e">
        <f>IF(ISBLANK(Data!#REF!),"",Data!#REF!)</f>
        <v>#REF!</v>
      </c>
      <c r="D144" s="36" t="e">
        <f>IF(ISBLANK(Data!#REF!),"",Data!#REF!)</f>
        <v>#REF!</v>
      </c>
      <c r="E144" s="36" t="e">
        <f>IF(ISBLANK(Data!#REF!),"",Data!#REF!)</f>
        <v>#REF!</v>
      </c>
      <c r="F144" s="36" t="e">
        <f>IF(ISBLANK(Data!#REF!),"",Data!#REF!)</f>
        <v>#REF!</v>
      </c>
      <c r="G144" s="37" t="e">
        <f>IF(ISBLANK(Data!#REF!),"",Data!#REF!)</f>
        <v>#REF!</v>
      </c>
      <c r="H144" s="37" t="e">
        <f>IF(ISBLANK(Data!#REF!),"",Data!#REF!)</f>
        <v>#REF!</v>
      </c>
      <c r="I144" s="37" t="e">
        <f>IF(ISBLANK(Data!#REF!),"",Data!#REF!)</f>
        <v>#REF!</v>
      </c>
      <c r="J144" s="37" t="e">
        <f>IF(ISBLANK(Data!#REF!),"",Data!#REF!)</f>
        <v>#REF!</v>
      </c>
      <c r="K144" s="22" t="e">
        <f>IF(ISBLANK(Data!#REF!),"",Data!#REF!)</f>
        <v>#REF!</v>
      </c>
      <c r="L144" s="22" t="e">
        <f>IF(ISBLANK(Data!#REF!),"",Data!#REF!)</f>
        <v>#REF!</v>
      </c>
      <c r="M144" s="22"/>
      <c r="N144" s="37" t="e">
        <f>IF(ISBLANK(Data!#REF!),"",Data!#REF!)</f>
        <v>#REF!</v>
      </c>
      <c r="O144" s="37" t="e">
        <f>IF(ISBLANK(Data!#REF!),"",Data!#REF!)</f>
        <v>#REF!</v>
      </c>
      <c r="P144" s="37" t="e">
        <f>IF(ISBLANK(Data!#REF!),"",Data!#REF!)</f>
        <v>#REF!</v>
      </c>
      <c r="Q144" s="37" t="e">
        <f>IF(ISBLANK(Data!#REF!),"",Data!#REF!)</f>
        <v>#REF!</v>
      </c>
    </row>
    <row r="145" spans="1:17" x14ac:dyDescent="0.25">
      <c r="A145" s="23" t="e">
        <f t="shared" si="3"/>
        <v>#REF!</v>
      </c>
      <c r="B145" s="42" t="e">
        <f>IF(ISBLANK(Data!#REF!),"",Data!#REF!)</f>
        <v>#REF!</v>
      </c>
      <c r="C145" s="35" t="e">
        <f>IF(ISBLANK(Data!#REF!),"",Data!#REF!)</f>
        <v>#REF!</v>
      </c>
      <c r="D145" s="36" t="e">
        <f>IF(ISBLANK(Data!#REF!),"",Data!#REF!)</f>
        <v>#REF!</v>
      </c>
      <c r="E145" s="36" t="e">
        <f>IF(ISBLANK(Data!#REF!),"",Data!#REF!)</f>
        <v>#REF!</v>
      </c>
      <c r="F145" s="36" t="e">
        <f>IF(ISBLANK(Data!#REF!),"",Data!#REF!)</f>
        <v>#REF!</v>
      </c>
      <c r="G145" s="37" t="e">
        <f>IF(ISBLANK(Data!#REF!),"",Data!#REF!)</f>
        <v>#REF!</v>
      </c>
      <c r="H145" s="37" t="e">
        <f>IF(ISBLANK(Data!#REF!),"",Data!#REF!)</f>
        <v>#REF!</v>
      </c>
      <c r="I145" s="37" t="e">
        <f>IF(ISBLANK(Data!#REF!),"",Data!#REF!)</f>
        <v>#REF!</v>
      </c>
      <c r="J145" s="37" t="e">
        <f>IF(ISBLANK(Data!#REF!),"",Data!#REF!)</f>
        <v>#REF!</v>
      </c>
      <c r="K145" s="22" t="e">
        <f>IF(ISBLANK(Data!#REF!),"",Data!#REF!)</f>
        <v>#REF!</v>
      </c>
      <c r="L145" s="22" t="e">
        <f>IF(ISBLANK(Data!#REF!),"",Data!#REF!)</f>
        <v>#REF!</v>
      </c>
      <c r="M145" s="22"/>
      <c r="N145" s="37" t="e">
        <f>IF(ISBLANK(Data!#REF!),"",Data!#REF!)</f>
        <v>#REF!</v>
      </c>
      <c r="O145" s="37" t="e">
        <f>IF(ISBLANK(Data!#REF!),"",Data!#REF!)</f>
        <v>#REF!</v>
      </c>
      <c r="P145" s="37" t="e">
        <f>IF(ISBLANK(Data!#REF!),"",Data!#REF!)</f>
        <v>#REF!</v>
      </c>
      <c r="Q145" s="37" t="e">
        <f>IF(ISBLANK(Data!#REF!),"",Data!#REF!)</f>
        <v>#REF!</v>
      </c>
    </row>
    <row r="146" spans="1:17" x14ac:dyDescent="0.25">
      <c r="A146" s="23" t="e">
        <f t="shared" si="3"/>
        <v>#REF!</v>
      </c>
      <c r="B146" s="42" t="e">
        <f>IF(ISBLANK(Data!#REF!),"",Data!#REF!)</f>
        <v>#REF!</v>
      </c>
      <c r="C146" s="35" t="e">
        <f>IF(ISBLANK(Data!#REF!),"",Data!#REF!)</f>
        <v>#REF!</v>
      </c>
      <c r="D146" s="36" t="e">
        <f>IF(ISBLANK(Data!#REF!),"",Data!#REF!)</f>
        <v>#REF!</v>
      </c>
      <c r="E146" s="36" t="e">
        <f>IF(ISBLANK(Data!#REF!),"",Data!#REF!)</f>
        <v>#REF!</v>
      </c>
      <c r="F146" s="36" t="e">
        <f>IF(ISBLANK(Data!#REF!),"",Data!#REF!)</f>
        <v>#REF!</v>
      </c>
      <c r="G146" s="37" t="e">
        <f>IF(ISBLANK(Data!#REF!),"",Data!#REF!)</f>
        <v>#REF!</v>
      </c>
      <c r="H146" s="37" t="e">
        <f>IF(ISBLANK(Data!#REF!),"",Data!#REF!)</f>
        <v>#REF!</v>
      </c>
      <c r="I146" s="37" t="e">
        <f>IF(ISBLANK(Data!#REF!),"",Data!#REF!)</f>
        <v>#REF!</v>
      </c>
      <c r="J146" s="37" t="e">
        <f>IF(ISBLANK(Data!#REF!),"",Data!#REF!)</f>
        <v>#REF!</v>
      </c>
      <c r="K146" s="22" t="e">
        <f>IF(ISBLANK(Data!#REF!),"",Data!#REF!)</f>
        <v>#REF!</v>
      </c>
      <c r="L146" s="22" t="e">
        <f>IF(ISBLANK(Data!#REF!),"",Data!#REF!)</f>
        <v>#REF!</v>
      </c>
      <c r="M146" s="22"/>
      <c r="N146" s="37" t="e">
        <f>IF(ISBLANK(Data!#REF!),"",Data!#REF!)</f>
        <v>#REF!</v>
      </c>
      <c r="O146" s="37" t="e">
        <f>IF(ISBLANK(Data!#REF!),"",Data!#REF!)</f>
        <v>#REF!</v>
      </c>
      <c r="P146" s="37" t="e">
        <f>IF(ISBLANK(Data!#REF!),"",Data!#REF!)</f>
        <v>#REF!</v>
      </c>
      <c r="Q146" s="37" t="e">
        <f>IF(ISBLANK(Data!#REF!),"",Data!#REF!)</f>
        <v>#REF!</v>
      </c>
    </row>
    <row r="147" spans="1:17" x14ac:dyDescent="0.25">
      <c r="A147" s="23" t="e">
        <f t="shared" si="3"/>
        <v>#REF!</v>
      </c>
      <c r="B147" s="42" t="e">
        <f>IF(ISBLANK(Data!#REF!),"",Data!#REF!)</f>
        <v>#REF!</v>
      </c>
      <c r="C147" s="35" t="e">
        <f>IF(ISBLANK(Data!#REF!),"",Data!#REF!)</f>
        <v>#REF!</v>
      </c>
      <c r="D147" s="36" t="e">
        <f>IF(ISBLANK(Data!#REF!),"",Data!#REF!)</f>
        <v>#REF!</v>
      </c>
      <c r="E147" s="36" t="e">
        <f>IF(ISBLANK(Data!#REF!),"",Data!#REF!)</f>
        <v>#REF!</v>
      </c>
      <c r="F147" s="36" t="e">
        <f>IF(ISBLANK(Data!#REF!),"",Data!#REF!)</f>
        <v>#REF!</v>
      </c>
      <c r="G147" s="37" t="e">
        <f>IF(ISBLANK(Data!#REF!),"",Data!#REF!)</f>
        <v>#REF!</v>
      </c>
      <c r="H147" s="37" t="e">
        <f>IF(ISBLANK(Data!#REF!),"",Data!#REF!)</f>
        <v>#REF!</v>
      </c>
      <c r="I147" s="37" t="e">
        <f>IF(ISBLANK(Data!#REF!),"",Data!#REF!)</f>
        <v>#REF!</v>
      </c>
      <c r="J147" s="37" t="e">
        <f>IF(ISBLANK(Data!#REF!),"",Data!#REF!)</f>
        <v>#REF!</v>
      </c>
      <c r="K147" s="22" t="e">
        <f>IF(ISBLANK(Data!#REF!),"",Data!#REF!)</f>
        <v>#REF!</v>
      </c>
      <c r="L147" s="22" t="e">
        <f>IF(ISBLANK(Data!#REF!),"",Data!#REF!)</f>
        <v>#REF!</v>
      </c>
      <c r="M147" s="22"/>
      <c r="N147" s="37" t="e">
        <f>IF(ISBLANK(Data!#REF!),"",Data!#REF!)</f>
        <v>#REF!</v>
      </c>
      <c r="O147" s="37" t="e">
        <f>IF(ISBLANK(Data!#REF!),"",Data!#REF!)</f>
        <v>#REF!</v>
      </c>
      <c r="P147" s="37" t="e">
        <f>IF(ISBLANK(Data!#REF!),"",Data!#REF!)</f>
        <v>#REF!</v>
      </c>
      <c r="Q147" s="37" t="e">
        <f>IF(ISBLANK(Data!#REF!),"",Data!#REF!)</f>
        <v>#REF!</v>
      </c>
    </row>
    <row r="148" spans="1:17" x14ac:dyDescent="0.25">
      <c r="A148" s="23" t="e">
        <f t="shared" si="3"/>
        <v>#REF!</v>
      </c>
      <c r="B148" s="42" t="e">
        <f>IF(ISBLANK(Data!#REF!),"",Data!#REF!)</f>
        <v>#REF!</v>
      </c>
      <c r="C148" s="35" t="e">
        <f>IF(ISBLANK(Data!#REF!),"",Data!#REF!)</f>
        <v>#REF!</v>
      </c>
      <c r="D148" s="36" t="e">
        <f>IF(ISBLANK(Data!#REF!),"",Data!#REF!)</f>
        <v>#REF!</v>
      </c>
      <c r="E148" s="36" t="e">
        <f>IF(ISBLANK(Data!#REF!),"",Data!#REF!)</f>
        <v>#REF!</v>
      </c>
      <c r="F148" s="36" t="e">
        <f>IF(ISBLANK(Data!#REF!),"",Data!#REF!)</f>
        <v>#REF!</v>
      </c>
      <c r="G148" s="37" t="e">
        <f>IF(ISBLANK(Data!#REF!),"",Data!#REF!)</f>
        <v>#REF!</v>
      </c>
      <c r="H148" s="37" t="e">
        <f>IF(ISBLANK(Data!#REF!),"",Data!#REF!)</f>
        <v>#REF!</v>
      </c>
      <c r="I148" s="37" t="e">
        <f>IF(ISBLANK(Data!#REF!),"",Data!#REF!)</f>
        <v>#REF!</v>
      </c>
      <c r="J148" s="37" t="e">
        <f>IF(ISBLANK(Data!#REF!),"",Data!#REF!)</f>
        <v>#REF!</v>
      </c>
      <c r="K148" s="22" t="e">
        <f>IF(ISBLANK(Data!#REF!),"",Data!#REF!)</f>
        <v>#REF!</v>
      </c>
      <c r="L148" s="22" t="e">
        <f>IF(ISBLANK(Data!#REF!),"",Data!#REF!)</f>
        <v>#REF!</v>
      </c>
      <c r="M148" s="22"/>
      <c r="N148" s="37" t="e">
        <f>IF(ISBLANK(Data!#REF!),"",Data!#REF!)</f>
        <v>#REF!</v>
      </c>
      <c r="O148" s="37" t="e">
        <f>IF(ISBLANK(Data!#REF!),"",Data!#REF!)</f>
        <v>#REF!</v>
      </c>
      <c r="P148" s="37" t="e">
        <f>IF(ISBLANK(Data!#REF!),"",Data!#REF!)</f>
        <v>#REF!</v>
      </c>
      <c r="Q148" s="37" t="e">
        <f>IF(ISBLANK(Data!#REF!),"",Data!#REF!)</f>
        <v>#REF!</v>
      </c>
    </row>
    <row r="149" spans="1:17" x14ac:dyDescent="0.25">
      <c r="A149" s="23" t="e">
        <f t="shared" si="3"/>
        <v>#REF!</v>
      </c>
      <c r="B149" s="42" t="e">
        <f>IF(ISBLANK(Data!#REF!),"",Data!#REF!)</f>
        <v>#REF!</v>
      </c>
      <c r="C149" s="35" t="e">
        <f>IF(ISBLANK(Data!#REF!),"",Data!#REF!)</f>
        <v>#REF!</v>
      </c>
      <c r="D149" s="36" t="e">
        <f>IF(ISBLANK(Data!#REF!),"",Data!#REF!)</f>
        <v>#REF!</v>
      </c>
      <c r="E149" s="36" t="e">
        <f>IF(ISBLANK(Data!#REF!),"",Data!#REF!)</f>
        <v>#REF!</v>
      </c>
      <c r="F149" s="36" t="e">
        <f>IF(ISBLANK(Data!#REF!),"",Data!#REF!)</f>
        <v>#REF!</v>
      </c>
      <c r="G149" s="37" t="e">
        <f>IF(ISBLANK(Data!#REF!),"",Data!#REF!)</f>
        <v>#REF!</v>
      </c>
      <c r="H149" s="37" t="e">
        <f>IF(ISBLANK(Data!#REF!),"",Data!#REF!)</f>
        <v>#REF!</v>
      </c>
      <c r="I149" s="37" t="e">
        <f>IF(ISBLANK(Data!#REF!),"",Data!#REF!)</f>
        <v>#REF!</v>
      </c>
      <c r="J149" s="37" t="e">
        <f>IF(ISBLANK(Data!#REF!),"",Data!#REF!)</f>
        <v>#REF!</v>
      </c>
      <c r="K149" s="22" t="e">
        <f>IF(ISBLANK(Data!#REF!),"",Data!#REF!)</f>
        <v>#REF!</v>
      </c>
      <c r="L149" s="22" t="e">
        <f>IF(ISBLANK(Data!#REF!),"",Data!#REF!)</f>
        <v>#REF!</v>
      </c>
      <c r="M149" s="22"/>
      <c r="N149" s="37" t="e">
        <f>IF(ISBLANK(Data!#REF!),"",Data!#REF!)</f>
        <v>#REF!</v>
      </c>
      <c r="O149" s="37" t="e">
        <f>IF(ISBLANK(Data!#REF!),"",Data!#REF!)</f>
        <v>#REF!</v>
      </c>
      <c r="P149" s="37" t="e">
        <f>IF(ISBLANK(Data!#REF!),"",Data!#REF!)</f>
        <v>#REF!</v>
      </c>
      <c r="Q149" s="37" t="e">
        <f>IF(ISBLANK(Data!#REF!),"",Data!#REF!)</f>
        <v>#REF!</v>
      </c>
    </row>
    <row r="150" spans="1:17" x14ac:dyDescent="0.25">
      <c r="A150" s="23" t="e">
        <f t="shared" si="3"/>
        <v>#REF!</v>
      </c>
      <c r="B150" s="42" t="e">
        <f>IF(ISBLANK(Data!#REF!),"",Data!#REF!)</f>
        <v>#REF!</v>
      </c>
      <c r="C150" s="35" t="e">
        <f>IF(ISBLANK(Data!#REF!),"",Data!#REF!)</f>
        <v>#REF!</v>
      </c>
      <c r="D150" s="36" t="e">
        <f>IF(ISBLANK(Data!#REF!),"",Data!#REF!)</f>
        <v>#REF!</v>
      </c>
      <c r="E150" s="36" t="e">
        <f>IF(ISBLANK(Data!#REF!),"",Data!#REF!)</f>
        <v>#REF!</v>
      </c>
      <c r="F150" s="36" t="e">
        <f>IF(ISBLANK(Data!#REF!),"",Data!#REF!)</f>
        <v>#REF!</v>
      </c>
      <c r="G150" s="37" t="e">
        <f>IF(ISBLANK(Data!#REF!),"",Data!#REF!)</f>
        <v>#REF!</v>
      </c>
      <c r="H150" s="37" t="e">
        <f>IF(ISBLANK(Data!#REF!),"",Data!#REF!)</f>
        <v>#REF!</v>
      </c>
      <c r="I150" s="37" t="e">
        <f>IF(ISBLANK(Data!#REF!),"",Data!#REF!)</f>
        <v>#REF!</v>
      </c>
      <c r="J150" s="37" t="e">
        <f>IF(ISBLANK(Data!#REF!),"",Data!#REF!)</f>
        <v>#REF!</v>
      </c>
      <c r="K150" s="22" t="e">
        <f>IF(ISBLANK(Data!#REF!),"",Data!#REF!)</f>
        <v>#REF!</v>
      </c>
      <c r="L150" s="22" t="e">
        <f>IF(ISBLANK(Data!#REF!),"",Data!#REF!)</f>
        <v>#REF!</v>
      </c>
      <c r="M150" s="22"/>
      <c r="N150" s="37" t="e">
        <f>IF(ISBLANK(Data!#REF!),"",Data!#REF!)</f>
        <v>#REF!</v>
      </c>
      <c r="O150" s="37" t="e">
        <f>IF(ISBLANK(Data!#REF!),"",Data!#REF!)</f>
        <v>#REF!</v>
      </c>
      <c r="P150" s="37" t="e">
        <f>IF(ISBLANK(Data!#REF!),"",Data!#REF!)</f>
        <v>#REF!</v>
      </c>
      <c r="Q150" s="37" t="e">
        <f>IF(ISBLANK(Data!#REF!),"",Data!#REF!)</f>
        <v>#REF!</v>
      </c>
    </row>
    <row r="151" spans="1:17" x14ac:dyDescent="0.25">
      <c r="A151" s="23" t="e">
        <f t="shared" si="3"/>
        <v>#REF!</v>
      </c>
      <c r="B151" s="42" t="e">
        <f>IF(ISBLANK(Data!#REF!),"",Data!#REF!)</f>
        <v>#REF!</v>
      </c>
      <c r="C151" s="35" t="e">
        <f>IF(ISBLANK(Data!#REF!),"",Data!#REF!)</f>
        <v>#REF!</v>
      </c>
      <c r="D151" s="36" t="e">
        <f>IF(ISBLANK(Data!#REF!),"",Data!#REF!)</f>
        <v>#REF!</v>
      </c>
      <c r="E151" s="36" t="e">
        <f>IF(ISBLANK(Data!#REF!),"",Data!#REF!)</f>
        <v>#REF!</v>
      </c>
      <c r="F151" s="36" t="e">
        <f>IF(ISBLANK(Data!#REF!),"",Data!#REF!)</f>
        <v>#REF!</v>
      </c>
      <c r="G151" s="37" t="e">
        <f>IF(ISBLANK(Data!#REF!),"",Data!#REF!)</f>
        <v>#REF!</v>
      </c>
      <c r="H151" s="37" t="e">
        <f>IF(ISBLANK(Data!#REF!),"",Data!#REF!)</f>
        <v>#REF!</v>
      </c>
      <c r="I151" s="37" t="e">
        <f>IF(ISBLANK(Data!#REF!),"",Data!#REF!)</f>
        <v>#REF!</v>
      </c>
      <c r="J151" s="37" t="e">
        <f>IF(ISBLANK(Data!#REF!),"",Data!#REF!)</f>
        <v>#REF!</v>
      </c>
      <c r="K151" s="22" t="e">
        <f>IF(ISBLANK(Data!#REF!),"",Data!#REF!)</f>
        <v>#REF!</v>
      </c>
      <c r="L151" s="22" t="e">
        <f>IF(ISBLANK(Data!#REF!),"",Data!#REF!)</f>
        <v>#REF!</v>
      </c>
      <c r="M151" s="22"/>
      <c r="N151" s="37" t="e">
        <f>IF(ISBLANK(Data!#REF!),"",Data!#REF!)</f>
        <v>#REF!</v>
      </c>
      <c r="O151" s="37" t="e">
        <f>IF(ISBLANK(Data!#REF!),"",Data!#REF!)</f>
        <v>#REF!</v>
      </c>
      <c r="P151" s="37" t="e">
        <f>IF(ISBLANK(Data!#REF!),"",Data!#REF!)</f>
        <v>#REF!</v>
      </c>
      <c r="Q151" s="37" t="e">
        <f>IF(ISBLANK(Data!#REF!),"",Data!#REF!)</f>
        <v>#REF!</v>
      </c>
    </row>
    <row r="152" spans="1:17" x14ac:dyDescent="0.25">
      <c r="A152" s="23" t="e">
        <f t="shared" si="3"/>
        <v>#REF!</v>
      </c>
      <c r="B152" s="42" t="e">
        <f>IF(ISBLANK(Data!#REF!),"",Data!#REF!)</f>
        <v>#REF!</v>
      </c>
      <c r="C152" s="35" t="e">
        <f>IF(ISBLANK(Data!#REF!),"",Data!#REF!)</f>
        <v>#REF!</v>
      </c>
      <c r="D152" s="36" t="e">
        <f>IF(ISBLANK(Data!#REF!),"",Data!#REF!)</f>
        <v>#REF!</v>
      </c>
      <c r="E152" s="36" t="e">
        <f>IF(ISBLANK(Data!#REF!),"",Data!#REF!)</f>
        <v>#REF!</v>
      </c>
      <c r="F152" s="36" t="e">
        <f>IF(ISBLANK(Data!#REF!),"",Data!#REF!)</f>
        <v>#REF!</v>
      </c>
      <c r="G152" s="37" t="e">
        <f>IF(ISBLANK(Data!#REF!),"",Data!#REF!)</f>
        <v>#REF!</v>
      </c>
      <c r="H152" s="37" t="e">
        <f>IF(ISBLANK(Data!#REF!),"",Data!#REF!)</f>
        <v>#REF!</v>
      </c>
      <c r="I152" s="37" t="e">
        <f>IF(ISBLANK(Data!#REF!),"",Data!#REF!)</f>
        <v>#REF!</v>
      </c>
      <c r="J152" s="37" t="e">
        <f>IF(ISBLANK(Data!#REF!),"",Data!#REF!)</f>
        <v>#REF!</v>
      </c>
      <c r="K152" s="22" t="e">
        <f>IF(ISBLANK(Data!#REF!),"",Data!#REF!)</f>
        <v>#REF!</v>
      </c>
      <c r="L152" s="22" t="e">
        <f>IF(ISBLANK(Data!#REF!),"",Data!#REF!)</f>
        <v>#REF!</v>
      </c>
      <c r="M152" s="22"/>
      <c r="N152" s="37" t="e">
        <f>IF(ISBLANK(Data!#REF!),"",Data!#REF!)</f>
        <v>#REF!</v>
      </c>
      <c r="O152" s="37" t="e">
        <f>IF(ISBLANK(Data!#REF!),"",Data!#REF!)</f>
        <v>#REF!</v>
      </c>
      <c r="P152" s="37" t="e">
        <f>IF(ISBLANK(Data!#REF!),"",Data!#REF!)</f>
        <v>#REF!</v>
      </c>
      <c r="Q152" s="37" t="e">
        <f>IF(ISBLANK(Data!#REF!),"",Data!#REF!)</f>
        <v>#REF!</v>
      </c>
    </row>
    <row r="153" spans="1:17" x14ac:dyDescent="0.25">
      <c r="A153" s="23" t="e">
        <f t="shared" si="3"/>
        <v>#REF!</v>
      </c>
      <c r="B153" s="42" t="e">
        <f>IF(ISBLANK(Data!#REF!),"",Data!#REF!)</f>
        <v>#REF!</v>
      </c>
      <c r="C153" s="35" t="e">
        <f>IF(ISBLANK(Data!#REF!),"",Data!#REF!)</f>
        <v>#REF!</v>
      </c>
      <c r="D153" s="36" t="e">
        <f>IF(ISBLANK(Data!#REF!),"",Data!#REF!)</f>
        <v>#REF!</v>
      </c>
      <c r="E153" s="36" t="e">
        <f>IF(ISBLANK(Data!#REF!),"",Data!#REF!)</f>
        <v>#REF!</v>
      </c>
      <c r="F153" s="36" t="e">
        <f>IF(ISBLANK(Data!#REF!),"",Data!#REF!)</f>
        <v>#REF!</v>
      </c>
      <c r="G153" s="37" t="e">
        <f>IF(ISBLANK(Data!#REF!),"",Data!#REF!)</f>
        <v>#REF!</v>
      </c>
      <c r="H153" s="37" t="e">
        <f>IF(ISBLANK(Data!#REF!),"",Data!#REF!)</f>
        <v>#REF!</v>
      </c>
      <c r="I153" s="37" t="e">
        <f>IF(ISBLANK(Data!#REF!),"",Data!#REF!)</f>
        <v>#REF!</v>
      </c>
      <c r="J153" s="37" t="e">
        <f>IF(ISBLANK(Data!#REF!),"",Data!#REF!)</f>
        <v>#REF!</v>
      </c>
      <c r="K153" s="22" t="e">
        <f>IF(ISBLANK(Data!#REF!),"",Data!#REF!)</f>
        <v>#REF!</v>
      </c>
      <c r="L153" s="22" t="e">
        <f>IF(ISBLANK(Data!#REF!),"",Data!#REF!)</f>
        <v>#REF!</v>
      </c>
      <c r="M153" s="22"/>
      <c r="N153" s="37" t="e">
        <f>IF(ISBLANK(Data!#REF!),"",Data!#REF!)</f>
        <v>#REF!</v>
      </c>
      <c r="O153" s="37" t="e">
        <f>IF(ISBLANK(Data!#REF!),"",Data!#REF!)</f>
        <v>#REF!</v>
      </c>
      <c r="P153" s="37" t="e">
        <f>IF(ISBLANK(Data!#REF!),"",Data!#REF!)</f>
        <v>#REF!</v>
      </c>
      <c r="Q153" s="37" t="e">
        <f>IF(ISBLANK(Data!#REF!),"",Data!#REF!)</f>
        <v>#REF!</v>
      </c>
    </row>
    <row r="154" spans="1:17" x14ac:dyDescent="0.25">
      <c r="A154" s="23" t="e">
        <f t="shared" si="3"/>
        <v>#REF!</v>
      </c>
      <c r="B154" s="42" t="e">
        <f>IF(ISBLANK(Data!#REF!),"",Data!#REF!)</f>
        <v>#REF!</v>
      </c>
      <c r="C154" s="35" t="e">
        <f>IF(ISBLANK(Data!#REF!),"",Data!#REF!)</f>
        <v>#REF!</v>
      </c>
      <c r="D154" s="36" t="e">
        <f>IF(ISBLANK(Data!#REF!),"",Data!#REF!)</f>
        <v>#REF!</v>
      </c>
      <c r="E154" s="36" t="e">
        <f>IF(ISBLANK(Data!#REF!),"",Data!#REF!)</f>
        <v>#REF!</v>
      </c>
      <c r="F154" s="36" t="e">
        <f>IF(ISBLANK(Data!#REF!),"",Data!#REF!)</f>
        <v>#REF!</v>
      </c>
      <c r="G154" s="37" t="e">
        <f>IF(ISBLANK(Data!#REF!),"",Data!#REF!)</f>
        <v>#REF!</v>
      </c>
      <c r="H154" s="37" t="e">
        <f>IF(ISBLANK(Data!#REF!),"",Data!#REF!)</f>
        <v>#REF!</v>
      </c>
      <c r="I154" s="37" t="e">
        <f>IF(ISBLANK(Data!#REF!),"",Data!#REF!)</f>
        <v>#REF!</v>
      </c>
      <c r="J154" s="37" t="e">
        <f>IF(ISBLANK(Data!#REF!),"",Data!#REF!)</f>
        <v>#REF!</v>
      </c>
      <c r="K154" s="22" t="e">
        <f>IF(ISBLANK(Data!#REF!),"",Data!#REF!)</f>
        <v>#REF!</v>
      </c>
      <c r="L154" s="22" t="e">
        <f>IF(ISBLANK(Data!#REF!),"",Data!#REF!)</f>
        <v>#REF!</v>
      </c>
      <c r="M154" s="22"/>
      <c r="N154" s="37" t="e">
        <f>IF(ISBLANK(Data!#REF!),"",Data!#REF!)</f>
        <v>#REF!</v>
      </c>
      <c r="O154" s="37" t="e">
        <f>IF(ISBLANK(Data!#REF!),"",Data!#REF!)</f>
        <v>#REF!</v>
      </c>
      <c r="P154" s="37" t="e">
        <f>IF(ISBLANK(Data!#REF!),"",Data!#REF!)</f>
        <v>#REF!</v>
      </c>
      <c r="Q154" s="37" t="e">
        <f>IF(ISBLANK(Data!#REF!),"",Data!#REF!)</f>
        <v>#REF!</v>
      </c>
    </row>
    <row r="155" spans="1:17" x14ac:dyDescent="0.25">
      <c r="A155" s="23" t="e">
        <f t="shared" si="3"/>
        <v>#REF!</v>
      </c>
      <c r="B155" s="42" t="e">
        <f>IF(ISBLANK(Data!#REF!),"",Data!#REF!)</f>
        <v>#REF!</v>
      </c>
      <c r="C155" s="35" t="e">
        <f>IF(ISBLANK(Data!#REF!),"",Data!#REF!)</f>
        <v>#REF!</v>
      </c>
      <c r="D155" s="36" t="e">
        <f>IF(ISBLANK(Data!#REF!),"",Data!#REF!)</f>
        <v>#REF!</v>
      </c>
      <c r="E155" s="36" t="e">
        <f>IF(ISBLANK(Data!#REF!),"",Data!#REF!)</f>
        <v>#REF!</v>
      </c>
      <c r="F155" s="36" t="e">
        <f>IF(ISBLANK(Data!#REF!),"",Data!#REF!)</f>
        <v>#REF!</v>
      </c>
      <c r="G155" s="37" t="e">
        <f>IF(ISBLANK(Data!#REF!),"",Data!#REF!)</f>
        <v>#REF!</v>
      </c>
      <c r="H155" s="37" t="e">
        <f>IF(ISBLANK(Data!#REF!),"",Data!#REF!)</f>
        <v>#REF!</v>
      </c>
      <c r="I155" s="37" t="e">
        <f>IF(ISBLANK(Data!#REF!),"",Data!#REF!)</f>
        <v>#REF!</v>
      </c>
      <c r="J155" s="37" t="e">
        <f>IF(ISBLANK(Data!#REF!),"",Data!#REF!)</f>
        <v>#REF!</v>
      </c>
      <c r="K155" s="22" t="e">
        <f>IF(ISBLANK(Data!#REF!),"",Data!#REF!)</f>
        <v>#REF!</v>
      </c>
      <c r="L155" s="22" t="e">
        <f>IF(ISBLANK(Data!#REF!),"",Data!#REF!)</f>
        <v>#REF!</v>
      </c>
      <c r="M155" s="22"/>
      <c r="N155" s="37" t="e">
        <f>IF(ISBLANK(Data!#REF!),"",Data!#REF!)</f>
        <v>#REF!</v>
      </c>
      <c r="O155" s="37" t="e">
        <f>IF(ISBLANK(Data!#REF!),"",Data!#REF!)</f>
        <v>#REF!</v>
      </c>
      <c r="P155" s="37" t="e">
        <f>IF(ISBLANK(Data!#REF!),"",Data!#REF!)</f>
        <v>#REF!</v>
      </c>
      <c r="Q155" s="37" t="e">
        <f>IF(ISBLANK(Data!#REF!),"",Data!#REF!)</f>
        <v>#REF!</v>
      </c>
    </row>
    <row r="156" spans="1:17" x14ac:dyDescent="0.25">
      <c r="A156" s="23" t="e">
        <f t="shared" si="3"/>
        <v>#REF!</v>
      </c>
      <c r="B156" s="42" t="e">
        <f>IF(ISBLANK(Data!#REF!),"",Data!#REF!)</f>
        <v>#REF!</v>
      </c>
      <c r="C156" s="35" t="e">
        <f>IF(ISBLANK(Data!#REF!),"",Data!#REF!)</f>
        <v>#REF!</v>
      </c>
      <c r="D156" s="36" t="e">
        <f>IF(ISBLANK(Data!#REF!),"",Data!#REF!)</f>
        <v>#REF!</v>
      </c>
      <c r="E156" s="36" t="e">
        <f>IF(ISBLANK(Data!#REF!),"",Data!#REF!)</f>
        <v>#REF!</v>
      </c>
      <c r="F156" s="36" t="e">
        <f>IF(ISBLANK(Data!#REF!),"",Data!#REF!)</f>
        <v>#REF!</v>
      </c>
      <c r="G156" s="37" t="e">
        <f>IF(ISBLANK(Data!#REF!),"",Data!#REF!)</f>
        <v>#REF!</v>
      </c>
      <c r="H156" s="37" t="e">
        <f>IF(ISBLANK(Data!#REF!),"",Data!#REF!)</f>
        <v>#REF!</v>
      </c>
      <c r="I156" s="37" t="e">
        <f>IF(ISBLANK(Data!#REF!),"",Data!#REF!)</f>
        <v>#REF!</v>
      </c>
      <c r="J156" s="37" t="e">
        <f>IF(ISBLANK(Data!#REF!),"",Data!#REF!)</f>
        <v>#REF!</v>
      </c>
      <c r="K156" s="22" t="e">
        <f>IF(ISBLANK(Data!#REF!),"",Data!#REF!)</f>
        <v>#REF!</v>
      </c>
      <c r="L156" s="22" t="e">
        <f>IF(ISBLANK(Data!#REF!),"",Data!#REF!)</f>
        <v>#REF!</v>
      </c>
      <c r="M156" s="22"/>
      <c r="N156" s="37" t="e">
        <f>IF(ISBLANK(Data!#REF!),"",Data!#REF!)</f>
        <v>#REF!</v>
      </c>
      <c r="O156" s="37" t="e">
        <f>IF(ISBLANK(Data!#REF!),"",Data!#REF!)</f>
        <v>#REF!</v>
      </c>
      <c r="P156" s="37" t="e">
        <f>IF(ISBLANK(Data!#REF!),"",Data!#REF!)</f>
        <v>#REF!</v>
      </c>
      <c r="Q156" s="37" t="e">
        <f>IF(ISBLANK(Data!#REF!),"",Data!#REF!)</f>
        <v>#REF!</v>
      </c>
    </row>
    <row r="157" spans="1:17" x14ac:dyDescent="0.25">
      <c r="A157" s="23" t="e">
        <f t="shared" si="3"/>
        <v>#REF!</v>
      </c>
      <c r="B157" s="42" t="e">
        <f>IF(ISBLANK(Data!#REF!),"",Data!#REF!)</f>
        <v>#REF!</v>
      </c>
      <c r="C157" s="35" t="e">
        <f>IF(ISBLANK(Data!#REF!),"",Data!#REF!)</f>
        <v>#REF!</v>
      </c>
      <c r="D157" s="36" t="e">
        <f>IF(ISBLANK(Data!#REF!),"",Data!#REF!)</f>
        <v>#REF!</v>
      </c>
      <c r="E157" s="36" t="e">
        <f>IF(ISBLANK(Data!#REF!),"",Data!#REF!)</f>
        <v>#REF!</v>
      </c>
      <c r="F157" s="36" t="e">
        <f>IF(ISBLANK(Data!#REF!),"",Data!#REF!)</f>
        <v>#REF!</v>
      </c>
      <c r="G157" s="37" t="e">
        <f>IF(ISBLANK(Data!#REF!),"",Data!#REF!)</f>
        <v>#REF!</v>
      </c>
      <c r="H157" s="37" t="e">
        <f>IF(ISBLANK(Data!#REF!),"",Data!#REF!)</f>
        <v>#REF!</v>
      </c>
      <c r="I157" s="37" t="e">
        <f>IF(ISBLANK(Data!#REF!),"",Data!#REF!)</f>
        <v>#REF!</v>
      </c>
      <c r="J157" s="37" t="e">
        <f>IF(ISBLANK(Data!#REF!),"",Data!#REF!)</f>
        <v>#REF!</v>
      </c>
      <c r="K157" s="22" t="e">
        <f>IF(ISBLANK(Data!#REF!),"",Data!#REF!)</f>
        <v>#REF!</v>
      </c>
      <c r="L157" s="22" t="e">
        <f>IF(ISBLANK(Data!#REF!),"",Data!#REF!)</f>
        <v>#REF!</v>
      </c>
      <c r="M157" s="22"/>
      <c r="N157" s="37" t="e">
        <f>IF(ISBLANK(Data!#REF!),"",Data!#REF!)</f>
        <v>#REF!</v>
      </c>
      <c r="O157" s="37" t="e">
        <f>IF(ISBLANK(Data!#REF!),"",Data!#REF!)</f>
        <v>#REF!</v>
      </c>
      <c r="P157" s="37" t="e">
        <f>IF(ISBLANK(Data!#REF!),"",Data!#REF!)</f>
        <v>#REF!</v>
      </c>
      <c r="Q157" s="37" t="e">
        <f>IF(ISBLANK(Data!#REF!),"",Data!#REF!)</f>
        <v>#REF!</v>
      </c>
    </row>
    <row r="158" spans="1:17" x14ac:dyDescent="0.25">
      <c r="A158" s="23" t="e">
        <f t="shared" si="3"/>
        <v>#REF!</v>
      </c>
      <c r="B158" s="42" t="e">
        <f>IF(ISBLANK(Data!#REF!),"",Data!#REF!)</f>
        <v>#REF!</v>
      </c>
      <c r="C158" s="35" t="e">
        <f>IF(ISBLANK(Data!#REF!),"",Data!#REF!)</f>
        <v>#REF!</v>
      </c>
      <c r="D158" s="36" t="e">
        <f>IF(ISBLANK(Data!#REF!),"",Data!#REF!)</f>
        <v>#REF!</v>
      </c>
      <c r="E158" s="36" t="e">
        <f>IF(ISBLANK(Data!#REF!),"",Data!#REF!)</f>
        <v>#REF!</v>
      </c>
      <c r="F158" s="36" t="e">
        <f>IF(ISBLANK(Data!#REF!),"",Data!#REF!)</f>
        <v>#REF!</v>
      </c>
      <c r="G158" s="37" t="e">
        <f>IF(ISBLANK(Data!#REF!),"",Data!#REF!)</f>
        <v>#REF!</v>
      </c>
      <c r="H158" s="37" t="e">
        <f>IF(ISBLANK(Data!#REF!),"",Data!#REF!)</f>
        <v>#REF!</v>
      </c>
      <c r="I158" s="37" t="e">
        <f>IF(ISBLANK(Data!#REF!),"",Data!#REF!)</f>
        <v>#REF!</v>
      </c>
      <c r="J158" s="37" t="e">
        <f>IF(ISBLANK(Data!#REF!),"",Data!#REF!)</f>
        <v>#REF!</v>
      </c>
      <c r="K158" s="22" t="e">
        <f>IF(ISBLANK(Data!#REF!),"",Data!#REF!)</f>
        <v>#REF!</v>
      </c>
      <c r="L158" s="22" t="e">
        <f>IF(ISBLANK(Data!#REF!),"",Data!#REF!)</f>
        <v>#REF!</v>
      </c>
      <c r="M158" s="22"/>
      <c r="N158" s="37" t="e">
        <f>IF(ISBLANK(Data!#REF!),"",Data!#REF!)</f>
        <v>#REF!</v>
      </c>
      <c r="O158" s="37" t="e">
        <f>IF(ISBLANK(Data!#REF!),"",Data!#REF!)</f>
        <v>#REF!</v>
      </c>
      <c r="P158" s="37" t="e">
        <f>IF(ISBLANK(Data!#REF!),"",Data!#REF!)</f>
        <v>#REF!</v>
      </c>
      <c r="Q158" s="37" t="e">
        <f>IF(ISBLANK(Data!#REF!),"",Data!#REF!)</f>
        <v>#REF!</v>
      </c>
    </row>
    <row r="159" spans="1:17" x14ac:dyDescent="0.25">
      <c r="A159" s="23" t="e">
        <f t="shared" si="3"/>
        <v>#REF!</v>
      </c>
      <c r="B159" s="42" t="e">
        <f>IF(ISBLANK(Data!#REF!),"",Data!#REF!)</f>
        <v>#REF!</v>
      </c>
      <c r="C159" s="35" t="e">
        <f>IF(ISBLANK(Data!#REF!),"",Data!#REF!)</f>
        <v>#REF!</v>
      </c>
      <c r="D159" s="36" t="e">
        <f>IF(ISBLANK(Data!#REF!),"",Data!#REF!)</f>
        <v>#REF!</v>
      </c>
      <c r="E159" s="36" t="e">
        <f>IF(ISBLANK(Data!#REF!),"",Data!#REF!)</f>
        <v>#REF!</v>
      </c>
      <c r="F159" s="36" t="e">
        <f>IF(ISBLANK(Data!#REF!),"",Data!#REF!)</f>
        <v>#REF!</v>
      </c>
      <c r="G159" s="37" t="e">
        <f>IF(ISBLANK(Data!#REF!),"",Data!#REF!)</f>
        <v>#REF!</v>
      </c>
      <c r="H159" s="37" t="e">
        <f>IF(ISBLANK(Data!#REF!),"",Data!#REF!)</f>
        <v>#REF!</v>
      </c>
      <c r="I159" s="37" t="e">
        <f>IF(ISBLANK(Data!#REF!),"",Data!#REF!)</f>
        <v>#REF!</v>
      </c>
      <c r="J159" s="37" t="e">
        <f>IF(ISBLANK(Data!#REF!),"",Data!#REF!)</f>
        <v>#REF!</v>
      </c>
      <c r="K159" s="22" t="e">
        <f>IF(ISBLANK(Data!#REF!),"",Data!#REF!)</f>
        <v>#REF!</v>
      </c>
      <c r="L159" s="22" t="e">
        <f>IF(ISBLANK(Data!#REF!),"",Data!#REF!)</f>
        <v>#REF!</v>
      </c>
      <c r="M159" s="22"/>
      <c r="N159" s="37" t="e">
        <f>IF(ISBLANK(Data!#REF!),"",Data!#REF!)</f>
        <v>#REF!</v>
      </c>
      <c r="O159" s="37" t="e">
        <f>IF(ISBLANK(Data!#REF!),"",Data!#REF!)</f>
        <v>#REF!</v>
      </c>
      <c r="P159" s="37" t="e">
        <f>IF(ISBLANK(Data!#REF!),"",Data!#REF!)</f>
        <v>#REF!</v>
      </c>
      <c r="Q159" s="37" t="e">
        <f>IF(ISBLANK(Data!#REF!),"",Data!#REF!)</f>
        <v>#REF!</v>
      </c>
    </row>
    <row r="160" spans="1:17" x14ac:dyDescent="0.25">
      <c r="A160" s="23" t="e">
        <f t="shared" si="3"/>
        <v>#REF!</v>
      </c>
      <c r="B160" s="42" t="e">
        <f>IF(ISBLANK(Data!#REF!),"",Data!#REF!)</f>
        <v>#REF!</v>
      </c>
      <c r="C160" s="35" t="e">
        <f>IF(ISBLANK(Data!#REF!),"",Data!#REF!)</f>
        <v>#REF!</v>
      </c>
      <c r="D160" s="36" t="e">
        <f>IF(ISBLANK(Data!#REF!),"",Data!#REF!)</f>
        <v>#REF!</v>
      </c>
      <c r="E160" s="36" t="e">
        <f>IF(ISBLANK(Data!#REF!),"",Data!#REF!)</f>
        <v>#REF!</v>
      </c>
      <c r="F160" s="36" t="e">
        <f>IF(ISBLANK(Data!#REF!),"",Data!#REF!)</f>
        <v>#REF!</v>
      </c>
      <c r="G160" s="37" t="e">
        <f>IF(ISBLANK(Data!#REF!),"",Data!#REF!)</f>
        <v>#REF!</v>
      </c>
      <c r="H160" s="37" t="e">
        <f>IF(ISBLANK(Data!#REF!),"",Data!#REF!)</f>
        <v>#REF!</v>
      </c>
      <c r="I160" s="37" t="e">
        <f>IF(ISBLANK(Data!#REF!),"",Data!#REF!)</f>
        <v>#REF!</v>
      </c>
      <c r="J160" s="37" t="e">
        <f>IF(ISBLANK(Data!#REF!),"",Data!#REF!)</f>
        <v>#REF!</v>
      </c>
      <c r="K160" s="22" t="e">
        <f>IF(ISBLANK(Data!#REF!),"",Data!#REF!)</f>
        <v>#REF!</v>
      </c>
      <c r="L160" s="22" t="e">
        <f>IF(ISBLANK(Data!#REF!),"",Data!#REF!)</f>
        <v>#REF!</v>
      </c>
      <c r="M160" s="22"/>
      <c r="N160" s="37" t="e">
        <f>IF(ISBLANK(Data!#REF!),"",Data!#REF!)</f>
        <v>#REF!</v>
      </c>
      <c r="O160" s="37" t="e">
        <f>IF(ISBLANK(Data!#REF!),"",Data!#REF!)</f>
        <v>#REF!</v>
      </c>
      <c r="P160" s="37" t="e">
        <f>IF(ISBLANK(Data!#REF!),"",Data!#REF!)</f>
        <v>#REF!</v>
      </c>
      <c r="Q160" s="37" t="e">
        <f>IF(ISBLANK(Data!#REF!),"",Data!#REF!)</f>
        <v>#REF!</v>
      </c>
    </row>
    <row r="161" spans="1:17" x14ac:dyDescent="0.25">
      <c r="A161" s="23" t="e">
        <f t="shared" si="3"/>
        <v>#REF!</v>
      </c>
      <c r="B161" s="42" t="e">
        <f>IF(ISBLANK(Data!#REF!),"",Data!#REF!)</f>
        <v>#REF!</v>
      </c>
      <c r="C161" s="35" t="e">
        <f>IF(ISBLANK(Data!#REF!),"",Data!#REF!)</f>
        <v>#REF!</v>
      </c>
      <c r="D161" s="36" t="e">
        <f>IF(ISBLANK(Data!#REF!),"",Data!#REF!)</f>
        <v>#REF!</v>
      </c>
      <c r="E161" s="36" t="e">
        <f>IF(ISBLANK(Data!#REF!),"",Data!#REF!)</f>
        <v>#REF!</v>
      </c>
      <c r="F161" s="36" t="e">
        <f>IF(ISBLANK(Data!#REF!),"",Data!#REF!)</f>
        <v>#REF!</v>
      </c>
      <c r="G161" s="37" t="e">
        <f>IF(ISBLANK(Data!#REF!),"",Data!#REF!)</f>
        <v>#REF!</v>
      </c>
      <c r="H161" s="37" t="e">
        <f>IF(ISBLANK(Data!#REF!),"",Data!#REF!)</f>
        <v>#REF!</v>
      </c>
      <c r="I161" s="37" t="e">
        <f>IF(ISBLANK(Data!#REF!),"",Data!#REF!)</f>
        <v>#REF!</v>
      </c>
      <c r="J161" s="37" t="e">
        <f>IF(ISBLANK(Data!#REF!),"",Data!#REF!)</f>
        <v>#REF!</v>
      </c>
      <c r="K161" s="22" t="e">
        <f>IF(ISBLANK(Data!#REF!),"",Data!#REF!)</f>
        <v>#REF!</v>
      </c>
      <c r="L161" s="22" t="e">
        <f>IF(ISBLANK(Data!#REF!),"",Data!#REF!)</f>
        <v>#REF!</v>
      </c>
      <c r="M161" s="22"/>
      <c r="N161" s="37" t="e">
        <f>IF(ISBLANK(Data!#REF!),"",Data!#REF!)</f>
        <v>#REF!</v>
      </c>
      <c r="O161" s="37" t="e">
        <f>IF(ISBLANK(Data!#REF!),"",Data!#REF!)</f>
        <v>#REF!</v>
      </c>
      <c r="P161" s="37" t="e">
        <f>IF(ISBLANK(Data!#REF!),"",Data!#REF!)</f>
        <v>#REF!</v>
      </c>
      <c r="Q161" s="37" t="e">
        <f>IF(ISBLANK(Data!#REF!),"",Data!#REF!)</f>
        <v>#REF!</v>
      </c>
    </row>
    <row r="162" spans="1:17" x14ac:dyDescent="0.25">
      <c r="A162" s="23" t="e">
        <f t="shared" si="3"/>
        <v>#REF!</v>
      </c>
      <c r="B162" s="42" t="e">
        <f>IF(ISBLANK(Data!#REF!),"",Data!#REF!)</f>
        <v>#REF!</v>
      </c>
      <c r="C162" s="35" t="e">
        <f>IF(ISBLANK(Data!#REF!),"",Data!#REF!)</f>
        <v>#REF!</v>
      </c>
      <c r="D162" s="36" t="e">
        <f>IF(ISBLANK(Data!#REF!),"",Data!#REF!)</f>
        <v>#REF!</v>
      </c>
      <c r="E162" s="36" t="e">
        <f>IF(ISBLANK(Data!#REF!),"",Data!#REF!)</f>
        <v>#REF!</v>
      </c>
      <c r="F162" s="36" t="e">
        <f>IF(ISBLANK(Data!#REF!),"",Data!#REF!)</f>
        <v>#REF!</v>
      </c>
      <c r="G162" s="37" t="e">
        <f>IF(ISBLANK(Data!#REF!),"",Data!#REF!)</f>
        <v>#REF!</v>
      </c>
      <c r="H162" s="37" t="e">
        <f>IF(ISBLANK(Data!#REF!),"",Data!#REF!)</f>
        <v>#REF!</v>
      </c>
      <c r="I162" s="37" t="e">
        <f>IF(ISBLANK(Data!#REF!),"",Data!#REF!)</f>
        <v>#REF!</v>
      </c>
      <c r="J162" s="37" t="e">
        <f>IF(ISBLANK(Data!#REF!),"",Data!#REF!)</f>
        <v>#REF!</v>
      </c>
      <c r="K162" s="22" t="e">
        <f>IF(ISBLANK(Data!#REF!),"",Data!#REF!)</f>
        <v>#REF!</v>
      </c>
      <c r="L162" s="22" t="e">
        <f>IF(ISBLANK(Data!#REF!),"",Data!#REF!)</f>
        <v>#REF!</v>
      </c>
      <c r="M162" s="22"/>
      <c r="N162" s="37" t="e">
        <f>IF(ISBLANK(Data!#REF!),"",Data!#REF!)</f>
        <v>#REF!</v>
      </c>
      <c r="O162" s="37" t="e">
        <f>IF(ISBLANK(Data!#REF!),"",Data!#REF!)</f>
        <v>#REF!</v>
      </c>
      <c r="P162" s="37" t="e">
        <f>IF(ISBLANK(Data!#REF!),"",Data!#REF!)</f>
        <v>#REF!</v>
      </c>
      <c r="Q162" s="37" t="e">
        <f>IF(ISBLANK(Data!#REF!),"",Data!#REF!)</f>
        <v>#REF!</v>
      </c>
    </row>
    <row r="163" spans="1:17" x14ac:dyDescent="0.25">
      <c r="A163" s="23" t="e">
        <f t="shared" si="3"/>
        <v>#REF!</v>
      </c>
      <c r="B163" s="42" t="e">
        <f>IF(ISBLANK(Data!#REF!),"",Data!#REF!)</f>
        <v>#REF!</v>
      </c>
      <c r="C163" s="35" t="e">
        <f>IF(ISBLANK(Data!#REF!),"",Data!#REF!)</f>
        <v>#REF!</v>
      </c>
      <c r="D163" s="36" t="e">
        <f>IF(ISBLANK(Data!#REF!),"",Data!#REF!)</f>
        <v>#REF!</v>
      </c>
      <c r="E163" s="36" t="e">
        <f>IF(ISBLANK(Data!#REF!),"",Data!#REF!)</f>
        <v>#REF!</v>
      </c>
      <c r="F163" s="36" t="e">
        <f>IF(ISBLANK(Data!#REF!),"",Data!#REF!)</f>
        <v>#REF!</v>
      </c>
      <c r="G163" s="37" t="e">
        <f>IF(ISBLANK(Data!#REF!),"",Data!#REF!)</f>
        <v>#REF!</v>
      </c>
      <c r="H163" s="37" t="e">
        <f>IF(ISBLANK(Data!#REF!),"",Data!#REF!)</f>
        <v>#REF!</v>
      </c>
      <c r="I163" s="37" t="e">
        <f>IF(ISBLANK(Data!#REF!),"",Data!#REF!)</f>
        <v>#REF!</v>
      </c>
      <c r="J163" s="37" t="e">
        <f>IF(ISBLANK(Data!#REF!),"",Data!#REF!)</f>
        <v>#REF!</v>
      </c>
      <c r="K163" s="22" t="e">
        <f>IF(ISBLANK(Data!#REF!),"",Data!#REF!)</f>
        <v>#REF!</v>
      </c>
      <c r="L163" s="22" t="e">
        <f>IF(ISBLANK(Data!#REF!),"",Data!#REF!)</f>
        <v>#REF!</v>
      </c>
      <c r="M163" s="22"/>
      <c r="N163" s="37" t="e">
        <f>IF(ISBLANK(Data!#REF!),"",Data!#REF!)</f>
        <v>#REF!</v>
      </c>
      <c r="O163" s="37" t="e">
        <f>IF(ISBLANK(Data!#REF!),"",Data!#REF!)</f>
        <v>#REF!</v>
      </c>
      <c r="P163" s="37" t="e">
        <f>IF(ISBLANK(Data!#REF!),"",Data!#REF!)</f>
        <v>#REF!</v>
      </c>
      <c r="Q163" s="37" t="e">
        <f>IF(ISBLANK(Data!#REF!),"",Data!#REF!)</f>
        <v>#REF!</v>
      </c>
    </row>
    <row r="164" spans="1:17" x14ac:dyDescent="0.25">
      <c r="A164" s="23" t="e">
        <f t="shared" si="3"/>
        <v>#REF!</v>
      </c>
      <c r="B164" s="42" t="e">
        <f>IF(ISBLANK(Data!#REF!),"",Data!#REF!)</f>
        <v>#REF!</v>
      </c>
      <c r="C164" s="35" t="e">
        <f>IF(ISBLANK(Data!#REF!),"",Data!#REF!)</f>
        <v>#REF!</v>
      </c>
      <c r="D164" s="36" t="e">
        <f>IF(ISBLANK(Data!#REF!),"",Data!#REF!)</f>
        <v>#REF!</v>
      </c>
      <c r="E164" s="36" t="e">
        <f>IF(ISBLANK(Data!#REF!),"",Data!#REF!)</f>
        <v>#REF!</v>
      </c>
      <c r="F164" s="36" t="e">
        <f>IF(ISBLANK(Data!#REF!),"",Data!#REF!)</f>
        <v>#REF!</v>
      </c>
      <c r="G164" s="37" t="e">
        <f>IF(ISBLANK(Data!#REF!),"",Data!#REF!)</f>
        <v>#REF!</v>
      </c>
      <c r="H164" s="37" t="e">
        <f>IF(ISBLANK(Data!#REF!),"",Data!#REF!)</f>
        <v>#REF!</v>
      </c>
      <c r="I164" s="37" t="e">
        <f>IF(ISBLANK(Data!#REF!),"",Data!#REF!)</f>
        <v>#REF!</v>
      </c>
      <c r="J164" s="37" t="e">
        <f>IF(ISBLANK(Data!#REF!),"",Data!#REF!)</f>
        <v>#REF!</v>
      </c>
      <c r="K164" s="22" t="e">
        <f>IF(ISBLANK(Data!#REF!),"",Data!#REF!)</f>
        <v>#REF!</v>
      </c>
      <c r="L164" s="22" t="e">
        <f>IF(ISBLANK(Data!#REF!),"",Data!#REF!)</f>
        <v>#REF!</v>
      </c>
      <c r="M164" s="22"/>
      <c r="N164" s="37" t="e">
        <f>IF(ISBLANK(Data!#REF!),"",Data!#REF!)</f>
        <v>#REF!</v>
      </c>
      <c r="O164" s="37" t="e">
        <f>IF(ISBLANK(Data!#REF!),"",Data!#REF!)</f>
        <v>#REF!</v>
      </c>
      <c r="P164" s="37" t="e">
        <f>IF(ISBLANK(Data!#REF!),"",Data!#REF!)</f>
        <v>#REF!</v>
      </c>
      <c r="Q164" s="37" t="e">
        <f>IF(ISBLANK(Data!#REF!),"",Data!#REF!)</f>
        <v>#REF!</v>
      </c>
    </row>
    <row r="165" spans="1:17" x14ac:dyDescent="0.25">
      <c r="A165" s="23" t="e">
        <f t="shared" si="3"/>
        <v>#REF!</v>
      </c>
      <c r="B165" s="42" t="e">
        <f>IF(ISBLANK(Data!#REF!),"",Data!#REF!)</f>
        <v>#REF!</v>
      </c>
      <c r="C165" s="35" t="e">
        <f>IF(ISBLANK(Data!#REF!),"",Data!#REF!)</f>
        <v>#REF!</v>
      </c>
      <c r="D165" s="36" t="e">
        <f>IF(ISBLANK(Data!#REF!),"",Data!#REF!)</f>
        <v>#REF!</v>
      </c>
      <c r="E165" s="36" t="e">
        <f>IF(ISBLANK(Data!#REF!),"",Data!#REF!)</f>
        <v>#REF!</v>
      </c>
      <c r="F165" s="36" t="e">
        <f>IF(ISBLANK(Data!#REF!),"",Data!#REF!)</f>
        <v>#REF!</v>
      </c>
      <c r="G165" s="37" t="e">
        <f>IF(ISBLANK(Data!#REF!),"",Data!#REF!)</f>
        <v>#REF!</v>
      </c>
      <c r="H165" s="37" t="e">
        <f>IF(ISBLANK(Data!#REF!),"",Data!#REF!)</f>
        <v>#REF!</v>
      </c>
      <c r="I165" s="37" t="e">
        <f>IF(ISBLANK(Data!#REF!),"",Data!#REF!)</f>
        <v>#REF!</v>
      </c>
      <c r="J165" s="37" t="e">
        <f>IF(ISBLANK(Data!#REF!),"",Data!#REF!)</f>
        <v>#REF!</v>
      </c>
      <c r="K165" s="22" t="e">
        <f>IF(ISBLANK(Data!#REF!),"",Data!#REF!)</f>
        <v>#REF!</v>
      </c>
      <c r="L165" s="22" t="e">
        <f>IF(ISBLANK(Data!#REF!),"",Data!#REF!)</f>
        <v>#REF!</v>
      </c>
      <c r="M165" s="22"/>
      <c r="N165" s="37" t="e">
        <f>IF(ISBLANK(Data!#REF!),"",Data!#REF!)</f>
        <v>#REF!</v>
      </c>
      <c r="O165" s="37" t="e">
        <f>IF(ISBLANK(Data!#REF!),"",Data!#REF!)</f>
        <v>#REF!</v>
      </c>
      <c r="P165" s="37" t="e">
        <f>IF(ISBLANK(Data!#REF!),"",Data!#REF!)</f>
        <v>#REF!</v>
      </c>
      <c r="Q165" s="37" t="e">
        <f>IF(ISBLANK(Data!#REF!),"",Data!#REF!)</f>
        <v>#REF!</v>
      </c>
    </row>
    <row r="166" spans="1:17" x14ac:dyDescent="0.25">
      <c r="A166" s="23" t="e">
        <f t="shared" si="3"/>
        <v>#REF!</v>
      </c>
      <c r="B166" s="42" t="e">
        <f>IF(ISBLANK(Data!#REF!),"",Data!#REF!)</f>
        <v>#REF!</v>
      </c>
      <c r="C166" s="35" t="e">
        <f>IF(ISBLANK(Data!#REF!),"",Data!#REF!)</f>
        <v>#REF!</v>
      </c>
      <c r="D166" s="36" t="e">
        <f>IF(ISBLANK(Data!#REF!),"",Data!#REF!)</f>
        <v>#REF!</v>
      </c>
      <c r="E166" s="36" t="e">
        <f>IF(ISBLANK(Data!#REF!),"",Data!#REF!)</f>
        <v>#REF!</v>
      </c>
      <c r="F166" s="36" t="e">
        <f>IF(ISBLANK(Data!#REF!),"",Data!#REF!)</f>
        <v>#REF!</v>
      </c>
      <c r="G166" s="37" t="e">
        <f>IF(ISBLANK(Data!#REF!),"",Data!#REF!)</f>
        <v>#REF!</v>
      </c>
      <c r="H166" s="37" t="e">
        <f>IF(ISBLANK(Data!#REF!),"",Data!#REF!)</f>
        <v>#REF!</v>
      </c>
      <c r="I166" s="37" t="e">
        <f>IF(ISBLANK(Data!#REF!),"",Data!#REF!)</f>
        <v>#REF!</v>
      </c>
      <c r="J166" s="37" t="e">
        <f>IF(ISBLANK(Data!#REF!),"",Data!#REF!)</f>
        <v>#REF!</v>
      </c>
      <c r="K166" s="22" t="e">
        <f>IF(ISBLANK(Data!#REF!),"",Data!#REF!)</f>
        <v>#REF!</v>
      </c>
      <c r="L166" s="22" t="e">
        <f>IF(ISBLANK(Data!#REF!),"",Data!#REF!)</f>
        <v>#REF!</v>
      </c>
      <c r="M166" s="22"/>
      <c r="N166" s="37" t="e">
        <f>IF(ISBLANK(Data!#REF!),"",Data!#REF!)</f>
        <v>#REF!</v>
      </c>
      <c r="O166" s="37" t="e">
        <f>IF(ISBLANK(Data!#REF!),"",Data!#REF!)</f>
        <v>#REF!</v>
      </c>
      <c r="P166" s="37" t="e">
        <f>IF(ISBLANK(Data!#REF!),"",Data!#REF!)</f>
        <v>#REF!</v>
      </c>
      <c r="Q166" s="37" t="e">
        <f>IF(ISBLANK(Data!#REF!),"",Data!#REF!)</f>
        <v>#REF!</v>
      </c>
    </row>
    <row r="167" spans="1:17" x14ac:dyDescent="0.25">
      <c r="A167" s="23" t="e">
        <f t="shared" si="3"/>
        <v>#REF!</v>
      </c>
      <c r="B167" s="42" t="e">
        <f>IF(ISBLANK(Data!#REF!),"",Data!#REF!)</f>
        <v>#REF!</v>
      </c>
      <c r="C167" s="35" t="e">
        <f>IF(ISBLANK(Data!#REF!),"",Data!#REF!)</f>
        <v>#REF!</v>
      </c>
      <c r="D167" s="36" t="e">
        <f>IF(ISBLANK(Data!#REF!),"",Data!#REF!)</f>
        <v>#REF!</v>
      </c>
      <c r="E167" s="36" t="e">
        <f>IF(ISBLANK(Data!#REF!),"",Data!#REF!)</f>
        <v>#REF!</v>
      </c>
      <c r="F167" s="36" t="e">
        <f>IF(ISBLANK(Data!#REF!),"",Data!#REF!)</f>
        <v>#REF!</v>
      </c>
      <c r="G167" s="37" t="e">
        <f>IF(ISBLANK(Data!#REF!),"",Data!#REF!)</f>
        <v>#REF!</v>
      </c>
      <c r="H167" s="37" t="e">
        <f>IF(ISBLANK(Data!#REF!),"",Data!#REF!)</f>
        <v>#REF!</v>
      </c>
      <c r="I167" s="37" t="e">
        <f>IF(ISBLANK(Data!#REF!),"",Data!#REF!)</f>
        <v>#REF!</v>
      </c>
      <c r="J167" s="37" t="e">
        <f>IF(ISBLANK(Data!#REF!),"",Data!#REF!)</f>
        <v>#REF!</v>
      </c>
      <c r="K167" s="22" t="e">
        <f>IF(ISBLANK(Data!#REF!),"",Data!#REF!)</f>
        <v>#REF!</v>
      </c>
      <c r="L167" s="22" t="e">
        <f>IF(ISBLANK(Data!#REF!),"",Data!#REF!)</f>
        <v>#REF!</v>
      </c>
      <c r="M167" s="22"/>
      <c r="N167" s="37" t="e">
        <f>IF(ISBLANK(Data!#REF!),"",Data!#REF!)</f>
        <v>#REF!</v>
      </c>
      <c r="O167" s="37" t="e">
        <f>IF(ISBLANK(Data!#REF!),"",Data!#REF!)</f>
        <v>#REF!</v>
      </c>
      <c r="P167" s="37" t="e">
        <f>IF(ISBLANK(Data!#REF!),"",Data!#REF!)</f>
        <v>#REF!</v>
      </c>
      <c r="Q167" s="37" t="e">
        <f>IF(ISBLANK(Data!#REF!),"",Data!#REF!)</f>
        <v>#REF!</v>
      </c>
    </row>
    <row r="168" spans="1:17" x14ac:dyDescent="0.25">
      <c r="A168" s="23" t="e">
        <f t="shared" si="3"/>
        <v>#REF!</v>
      </c>
      <c r="B168" s="42" t="e">
        <f>IF(ISBLANK(Data!#REF!),"",Data!#REF!)</f>
        <v>#REF!</v>
      </c>
      <c r="C168" s="35" t="e">
        <f>IF(ISBLANK(Data!#REF!),"",Data!#REF!)</f>
        <v>#REF!</v>
      </c>
      <c r="D168" s="36" t="e">
        <f>IF(ISBLANK(Data!#REF!),"",Data!#REF!)</f>
        <v>#REF!</v>
      </c>
      <c r="E168" s="36" t="e">
        <f>IF(ISBLANK(Data!#REF!),"",Data!#REF!)</f>
        <v>#REF!</v>
      </c>
      <c r="F168" s="36" t="e">
        <f>IF(ISBLANK(Data!#REF!),"",Data!#REF!)</f>
        <v>#REF!</v>
      </c>
      <c r="G168" s="37" t="e">
        <f>IF(ISBLANK(Data!#REF!),"",Data!#REF!)</f>
        <v>#REF!</v>
      </c>
      <c r="H168" s="37" t="e">
        <f>IF(ISBLANK(Data!#REF!),"",Data!#REF!)</f>
        <v>#REF!</v>
      </c>
      <c r="I168" s="37" t="e">
        <f>IF(ISBLANK(Data!#REF!),"",Data!#REF!)</f>
        <v>#REF!</v>
      </c>
      <c r="J168" s="37" t="e">
        <f>IF(ISBLANK(Data!#REF!),"",Data!#REF!)</f>
        <v>#REF!</v>
      </c>
      <c r="K168" s="22" t="e">
        <f>IF(ISBLANK(Data!#REF!),"",Data!#REF!)</f>
        <v>#REF!</v>
      </c>
      <c r="L168" s="22" t="e">
        <f>IF(ISBLANK(Data!#REF!),"",Data!#REF!)</f>
        <v>#REF!</v>
      </c>
      <c r="M168" s="22"/>
      <c r="N168" s="37" t="e">
        <f>IF(ISBLANK(Data!#REF!),"",Data!#REF!)</f>
        <v>#REF!</v>
      </c>
      <c r="O168" s="37" t="e">
        <f>IF(ISBLANK(Data!#REF!),"",Data!#REF!)</f>
        <v>#REF!</v>
      </c>
      <c r="P168" s="37" t="e">
        <f>IF(ISBLANK(Data!#REF!),"",Data!#REF!)</f>
        <v>#REF!</v>
      </c>
      <c r="Q168" s="37" t="e">
        <f>IF(ISBLANK(Data!#REF!),"",Data!#REF!)</f>
        <v>#REF!</v>
      </c>
    </row>
    <row r="169" spans="1:17" x14ac:dyDescent="0.25">
      <c r="A169" s="23" t="e">
        <f t="shared" si="3"/>
        <v>#REF!</v>
      </c>
      <c r="B169" s="42" t="e">
        <f>IF(ISBLANK(Data!#REF!),"",Data!#REF!)</f>
        <v>#REF!</v>
      </c>
      <c r="C169" s="35" t="e">
        <f>IF(ISBLANK(Data!#REF!),"",Data!#REF!)</f>
        <v>#REF!</v>
      </c>
      <c r="D169" s="36" t="e">
        <f>IF(ISBLANK(Data!#REF!),"",Data!#REF!)</f>
        <v>#REF!</v>
      </c>
      <c r="E169" s="36" t="e">
        <f>IF(ISBLANK(Data!#REF!),"",Data!#REF!)</f>
        <v>#REF!</v>
      </c>
      <c r="F169" s="36" t="e">
        <f>IF(ISBLANK(Data!#REF!),"",Data!#REF!)</f>
        <v>#REF!</v>
      </c>
      <c r="G169" s="37" t="e">
        <f>IF(ISBLANK(Data!#REF!),"",Data!#REF!)</f>
        <v>#REF!</v>
      </c>
      <c r="H169" s="37" t="e">
        <f>IF(ISBLANK(Data!#REF!),"",Data!#REF!)</f>
        <v>#REF!</v>
      </c>
      <c r="I169" s="37" t="e">
        <f>IF(ISBLANK(Data!#REF!),"",Data!#REF!)</f>
        <v>#REF!</v>
      </c>
      <c r="J169" s="37" t="e">
        <f>IF(ISBLANK(Data!#REF!),"",Data!#REF!)</f>
        <v>#REF!</v>
      </c>
      <c r="K169" s="22" t="e">
        <f>IF(ISBLANK(Data!#REF!),"",Data!#REF!)</f>
        <v>#REF!</v>
      </c>
      <c r="L169" s="22" t="e">
        <f>IF(ISBLANK(Data!#REF!),"",Data!#REF!)</f>
        <v>#REF!</v>
      </c>
      <c r="M169" s="22"/>
      <c r="N169" s="37" t="e">
        <f>IF(ISBLANK(Data!#REF!),"",Data!#REF!)</f>
        <v>#REF!</v>
      </c>
      <c r="O169" s="37" t="e">
        <f>IF(ISBLANK(Data!#REF!),"",Data!#REF!)</f>
        <v>#REF!</v>
      </c>
      <c r="P169" s="37" t="e">
        <f>IF(ISBLANK(Data!#REF!),"",Data!#REF!)</f>
        <v>#REF!</v>
      </c>
      <c r="Q169" s="37" t="e">
        <f>IF(ISBLANK(Data!#REF!),"",Data!#REF!)</f>
        <v>#REF!</v>
      </c>
    </row>
    <row r="170" spans="1:17" x14ac:dyDescent="0.25">
      <c r="A170" s="23" t="e">
        <f t="shared" si="3"/>
        <v>#REF!</v>
      </c>
      <c r="B170" s="42" t="e">
        <f>IF(ISBLANK(Data!#REF!),"",Data!#REF!)</f>
        <v>#REF!</v>
      </c>
      <c r="C170" s="35" t="e">
        <f>IF(ISBLANK(Data!#REF!),"",Data!#REF!)</f>
        <v>#REF!</v>
      </c>
      <c r="D170" s="36" t="e">
        <f>IF(ISBLANK(Data!#REF!),"",Data!#REF!)</f>
        <v>#REF!</v>
      </c>
      <c r="E170" s="36" t="e">
        <f>IF(ISBLANK(Data!#REF!),"",Data!#REF!)</f>
        <v>#REF!</v>
      </c>
      <c r="F170" s="36" t="e">
        <f>IF(ISBLANK(Data!#REF!),"",Data!#REF!)</f>
        <v>#REF!</v>
      </c>
      <c r="G170" s="37" t="e">
        <f>IF(ISBLANK(Data!#REF!),"",Data!#REF!)</f>
        <v>#REF!</v>
      </c>
      <c r="H170" s="37" t="e">
        <f>IF(ISBLANK(Data!#REF!),"",Data!#REF!)</f>
        <v>#REF!</v>
      </c>
      <c r="I170" s="37" t="e">
        <f>IF(ISBLANK(Data!#REF!),"",Data!#REF!)</f>
        <v>#REF!</v>
      </c>
      <c r="J170" s="37" t="e">
        <f>IF(ISBLANK(Data!#REF!),"",Data!#REF!)</f>
        <v>#REF!</v>
      </c>
      <c r="K170" s="22" t="e">
        <f>IF(ISBLANK(Data!#REF!),"",Data!#REF!)</f>
        <v>#REF!</v>
      </c>
      <c r="L170" s="22" t="e">
        <f>IF(ISBLANK(Data!#REF!),"",Data!#REF!)</f>
        <v>#REF!</v>
      </c>
      <c r="M170" s="22"/>
      <c r="N170" s="37" t="e">
        <f>IF(ISBLANK(Data!#REF!),"",Data!#REF!)</f>
        <v>#REF!</v>
      </c>
      <c r="O170" s="37" t="e">
        <f>IF(ISBLANK(Data!#REF!),"",Data!#REF!)</f>
        <v>#REF!</v>
      </c>
      <c r="P170" s="37" t="e">
        <f>IF(ISBLANK(Data!#REF!),"",Data!#REF!)</f>
        <v>#REF!</v>
      </c>
      <c r="Q170" s="37" t="e">
        <f>IF(ISBLANK(Data!#REF!),"",Data!#REF!)</f>
        <v>#REF!</v>
      </c>
    </row>
    <row r="171" spans="1:17" x14ac:dyDescent="0.25">
      <c r="A171" s="23" t="e">
        <f t="shared" si="3"/>
        <v>#REF!</v>
      </c>
      <c r="B171" s="42" t="e">
        <f>IF(ISBLANK(Data!#REF!),"",Data!#REF!)</f>
        <v>#REF!</v>
      </c>
      <c r="C171" s="35" t="e">
        <f>IF(ISBLANK(Data!#REF!),"",Data!#REF!)</f>
        <v>#REF!</v>
      </c>
      <c r="D171" s="36" t="e">
        <f>IF(ISBLANK(Data!#REF!),"",Data!#REF!)</f>
        <v>#REF!</v>
      </c>
      <c r="E171" s="36" t="e">
        <f>IF(ISBLANK(Data!#REF!),"",Data!#REF!)</f>
        <v>#REF!</v>
      </c>
      <c r="F171" s="36" t="e">
        <f>IF(ISBLANK(Data!#REF!),"",Data!#REF!)</f>
        <v>#REF!</v>
      </c>
      <c r="G171" s="37" t="e">
        <f>IF(ISBLANK(Data!#REF!),"",Data!#REF!)</f>
        <v>#REF!</v>
      </c>
      <c r="H171" s="37" t="e">
        <f>IF(ISBLANK(Data!#REF!),"",Data!#REF!)</f>
        <v>#REF!</v>
      </c>
      <c r="I171" s="37" t="e">
        <f>IF(ISBLANK(Data!#REF!),"",Data!#REF!)</f>
        <v>#REF!</v>
      </c>
      <c r="J171" s="37" t="e">
        <f>IF(ISBLANK(Data!#REF!),"",Data!#REF!)</f>
        <v>#REF!</v>
      </c>
      <c r="K171" s="22" t="e">
        <f>IF(ISBLANK(Data!#REF!),"",Data!#REF!)</f>
        <v>#REF!</v>
      </c>
      <c r="L171" s="22" t="e">
        <f>IF(ISBLANK(Data!#REF!),"",Data!#REF!)</f>
        <v>#REF!</v>
      </c>
      <c r="M171" s="22"/>
      <c r="N171" s="37" t="e">
        <f>IF(ISBLANK(Data!#REF!),"",Data!#REF!)</f>
        <v>#REF!</v>
      </c>
      <c r="O171" s="37" t="e">
        <f>IF(ISBLANK(Data!#REF!),"",Data!#REF!)</f>
        <v>#REF!</v>
      </c>
      <c r="P171" s="37" t="e">
        <f>IF(ISBLANK(Data!#REF!),"",Data!#REF!)</f>
        <v>#REF!</v>
      </c>
      <c r="Q171" s="37" t="e">
        <f>IF(ISBLANK(Data!#REF!),"",Data!#REF!)</f>
        <v>#REF!</v>
      </c>
    </row>
    <row r="172" spans="1:17" x14ac:dyDescent="0.25">
      <c r="A172" s="23" t="e">
        <f t="shared" si="3"/>
        <v>#REF!</v>
      </c>
      <c r="B172" s="42" t="e">
        <f>IF(ISBLANK(Data!#REF!),"",Data!#REF!)</f>
        <v>#REF!</v>
      </c>
      <c r="C172" s="35" t="e">
        <f>IF(ISBLANK(Data!#REF!),"",Data!#REF!)</f>
        <v>#REF!</v>
      </c>
      <c r="D172" s="36" t="e">
        <f>IF(ISBLANK(Data!#REF!),"",Data!#REF!)</f>
        <v>#REF!</v>
      </c>
      <c r="E172" s="36" t="e">
        <f>IF(ISBLANK(Data!#REF!),"",Data!#REF!)</f>
        <v>#REF!</v>
      </c>
      <c r="F172" s="36" t="e">
        <f>IF(ISBLANK(Data!#REF!),"",Data!#REF!)</f>
        <v>#REF!</v>
      </c>
      <c r="G172" s="37" t="e">
        <f>IF(ISBLANK(Data!#REF!),"",Data!#REF!)</f>
        <v>#REF!</v>
      </c>
      <c r="H172" s="37" t="e">
        <f>IF(ISBLANK(Data!#REF!),"",Data!#REF!)</f>
        <v>#REF!</v>
      </c>
      <c r="I172" s="37" t="e">
        <f>IF(ISBLANK(Data!#REF!),"",Data!#REF!)</f>
        <v>#REF!</v>
      </c>
      <c r="J172" s="37" t="e">
        <f>IF(ISBLANK(Data!#REF!),"",Data!#REF!)</f>
        <v>#REF!</v>
      </c>
      <c r="K172" s="22" t="e">
        <f>IF(ISBLANK(Data!#REF!),"",Data!#REF!)</f>
        <v>#REF!</v>
      </c>
      <c r="L172" s="22" t="e">
        <f>IF(ISBLANK(Data!#REF!),"",Data!#REF!)</f>
        <v>#REF!</v>
      </c>
      <c r="M172" s="22"/>
      <c r="N172" s="37" t="e">
        <f>IF(ISBLANK(Data!#REF!),"",Data!#REF!)</f>
        <v>#REF!</v>
      </c>
      <c r="O172" s="37" t="e">
        <f>IF(ISBLANK(Data!#REF!),"",Data!#REF!)</f>
        <v>#REF!</v>
      </c>
      <c r="P172" s="37" t="e">
        <f>IF(ISBLANK(Data!#REF!),"",Data!#REF!)</f>
        <v>#REF!</v>
      </c>
      <c r="Q172" s="37" t="e">
        <f>IF(ISBLANK(Data!#REF!),"",Data!#REF!)</f>
        <v>#REF!</v>
      </c>
    </row>
    <row r="173" spans="1:17" x14ac:dyDescent="0.25">
      <c r="A173" s="23" t="e">
        <f t="shared" si="3"/>
        <v>#REF!</v>
      </c>
      <c r="B173" s="42" t="e">
        <f>IF(ISBLANK(Data!#REF!),"",Data!#REF!)</f>
        <v>#REF!</v>
      </c>
      <c r="C173" s="35" t="e">
        <f>IF(ISBLANK(Data!#REF!),"",Data!#REF!)</f>
        <v>#REF!</v>
      </c>
      <c r="D173" s="36" t="e">
        <f>IF(ISBLANK(Data!#REF!),"",Data!#REF!)</f>
        <v>#REF!</v>
      </c>
      <c r="E173" s="36" t="e">
        <f>IF(ISBLANK(Data!#REF!),"",Data!#REF!)</f>
        <v>#REF!</v>
      </c>
      <c r="F173" s="36" t="e">
        <f>IF(ISBLANK(Data!#REF!),"",Data!#REF!)</f>
        <v>#REF!</v>
      </c>
      <c r="G173" s="37" t="e">
        <f>IF(ISBLANK(Data!#REF!),"",Data!#REF!)</f>
        <v>#REF!</v>
      </c>
      <c r="H173" s="37" t="e">
        <f>IF(ISBLANK(Data!#REF!),"",Data!#REF!)</f>
        <v>#REF!</v>
      </c>
      <c r="I173" s="37" t="e">
        <f>IF(ISBLANK(Data!#REF!),"",Data!#REF!)</f>
        <v>#REF!</v>
      </c>
      <c r="J173" s="37" t="e">
        <f>IF(ISBLANK(Data!#REF!),"",Data!#REF!)</f>
        <v>#REF!</v>
      </c>
      <c r="K173" s="22" t="e">
        <f>IF(ISBLANK(Data!#REF!),"",Data!#REF!)</f>
        <v>#REF!</v>
      </c>
      <c r="L173" s="22" t="e">
        <f>IF(ISBLANK(Data!#REF!),"",Data!#REF!)</f>
        <v>#REF!</v>
      </c>
      <c r="M173" s="22"/>
      <c r="N173" s="37" t="e">
        <f>IF(ISBLANK(Data!#REF!),"",Data!#REF!)</f>
        <v>#REF!</v>
      </c>
      <c r="O173" s="37" t="e">
        <f>IF(ISBLANK(Data!#REF!),"",Data!#REF!)</f>
        <v>#REF!</v>
      </c>
      <c r="P173" s="37" t="e">
        <f>IF(ISBLANK(Data!#REF!),"",Data!#REF!)</f>
        <v>#REF!</v>
      </c>
      <c r="Q173" s="37" t="e">
        <f>IF(ISBLANK(Data!#REF!),"",Data!#REF!)</f>
        <v>#REF!</v>
      </c>
    </row>
    <row r="174" spans="1:17" x14ac:dyDescent="0.25">
      <c r="A174" s="23" t="e">
        <f t="shared" si="3"/>
        <v>#REF!</v>
      </c>
      <c r="B174" s="42" t="e">
        <f>IF(ISBLANK(Data!#REF!),"",Data!#REF!)</f>
        <v>#REF!</v>
      </c>
      <c r="C174" s="35" t="e">
        <f>IF(ISBLANK(Data!#REF!),"",Data!#REF!)</f>
        <v>#REF!</v>
      </c>
      <c r="D174" s="36" t="e">
        <f>IF(ISBLANK(Data!#REF!),"",Data!#REF!)</f>
        <v>#REF!</v>
      </c>
      <c r="E174" s="36" t="e">
        <f>IF(ISBLANK(Data!#REF!),"",Data!#REF!)</f>
        <v>#REF!</v>
      </c>
      <c r="F174" s="36" t="e">
        <f>IF(ISBLANK(Data!#REF!),"",Data!#REF!)</f>
        <v>#REF!</v>
      </c>
      <c r="G174" s="37" t="e">
        <f>IF(ISBLANK(Data!#REF!),"",Data!#REF!)</f>
        <v>#REF!</v>
      </c>
      <c r="H174" s="37" t="e">
        <f>IF(ISBLANK(Data!#REF!),"",Data!#REF!)</f>
        <v>#REF!</v>
      </c>
      <c r="I174" s="37" t="e">
        <f>IF(ISBLANK(Data!#REF!),"",Data!#REF!)</f>
        <v>#REF!</v>
      </c>
      <c r="J174" s="37" t="e">
        <f>IF(ISBLANK(Data!#REF!),"",Data!#REF!)</f>
        <v>#REF!</v>
      </c>
      <c r="K174" s="22" t="e">
        <f>IF(ISBLANK(Data!#REF!),"",Data!#REF!)</f>
        <v>#REF!</v>
      </c>
      <c r="L174" s="22" t="e">
        <f>IF(ISBLANK(Data!#REF!),"",Data!#REF!)</f>
        <v>#REF!</v>
      </c>
      <c r="M174" s="22"/>
      <c r="N174" s="37" t="e">
        <f>IF(ISBLANK(Data!#REF!),"",Data!#REF!)</f>
        <v>#REF!</v>
      </c>
      <c r="O174" s="37" t="e">
        <f>IF(ISBLANK(Data!#REF!),"",Data!#REF!)</f>
        <v>#REF!</v>
      </c>
      <c r="P174" s="37" t="e">
        <f>IF(ISBLANK(Data!#REF!),"",Data!#REF!)</f>
        <v>#REF!</v>
      </c>
      <c r="Q174" s="37" t="e">
        <f>IF(ISBLANK(Data!#REF!),"",Data!#REF!)</f>
        <v>#REF!</v>
      </c>
    </row>
    <row r="175" spans="1:17" x14ac:dyDescent="0.25">
      <c r="A175" s="23" t="e">
        <f t="shared" si="3"/>
        <v>#REF!</v>
      </c>
      <c r="B175" s="42" t="e">
        <f>IF(ISBLANK(Data!#REF!),"",Data!#REF!)</f>
        <v>#REF!</v>
      </c>
      <c r="C175" s="35" t="e">
        <f>IF(ISBLANK(Data!#REF!),"",Data!#REF!)</f>
        <v>#REF!</v>
      </c>
      <c r="D175" s="36" t="e">
        <f>IF(ISBLANK(Data!#REF!),"",Data!#REF!)</f>
        <v>#REF!</v>
      </c>
      <c r="E175" s="36" t="e">
        <f>IF(ISBLANK(Data!#REF!),"",Data!#REF!)</f>
        <v>#REF!</v>
      </c>
      <c r="F175" s="36" t="e">
        <f>IF(ISBLANK(Data!#REF!),"",Data!#REF!)</f>
        <v>#REF!</v>
      </c>
      <c r="G175" s="37" t="e">
        <f>IF(ISBLANK(Data!#REF!),"",Data!#REF!)</f>
        <v>#REF!</v>
      </c>
      <c r="H175" s="37" t="e">
        <f>IF(ISBLANK(Data!#REF!),"",Data!#REF!)</f>
        <v>#REF!</v>
      </c>
      <c r="I175" s="37" t="e">
        <f>IF(ISBLANK(Data!#REF!),"",Data!#REF!)</f>
        <v>#REF!</v>
      </c>
      <c r="J175" s="37" t="e">
        <f>IF(ISBLANK(Data!#REF!),"",Data!#REF!)</f>
        <v>#REF!</v>
      </c>
      <c r="K175" s="22" t="e">
        <f>IF(ISBLANK(Data!#REF!),"",Data!#REF!)</f>
        <v>#REF!</v>
      </c>
      <c r="L175" s="22" t="e">
        <f>IF(ISBLANK(Data!#REF!),"",Data!#REF!)</f>
        <v>#REF!</v>
      </c>
      <c r="M175" s="22"/>
      <c r="N175" s="37" t="e">
        <f>IF(ISBLANK(Data!#REF!),"",Data!#REF!)</f>
        <v>#REF!</v>
      </c>
      <c r="O175" s="37" t="e">
        <f>IF(ISBLANK(Data!#REF!),"",Data!#REF!)</f>
        <v>#REF!</v>
      </c>
      <c r="P175" s="37" t="e">
        <f>IF(ISBLANK(Data!#REF!),"",Data!#REF!)</f>
        <v>#REF!</v>
      </c>
      <c r="Q175" s="37" t="e">
        <f>IF(ISBLANK(Data!#REF!),"",Data!#REF!)</f>
        <v>#REF!</v>
      </c>
    </row>
    <row r="176" spans="1:17" x14ac:dyDescent="0.25">
      <c r="A176" s="23" t="e">
        <f t="shared" si="3"/>
        <v>#REF!</v>
      </c>
      <c r="B176" s="42" t="e">
        <f>IF(ISBLANK(Data!#REF!),"",Data!#REF!)</f>
        <v>#REF!</v>
      </c>
      <c r="C176" s="35" t="e">
        <f>IF(ISBLANK(Data!#REF!),"",Data!#REF!)</f>
        <v>#REF!</v>
      </c>
      <c r="D176" s="36" t="e">
        <f>IF(ISBLANK(Data!#REF!),"",Data!#REF!)</f>
        <v>#REF!</v>
      </c>
      <c r="E176" s="36" t="e">
        <f>IF(ISBLANK(Data!#REF!),"",Data!#REF!)</f>
        <v>#REF!</v>
      </c>
      <c r="F176" s="36" t="e">
        <f>IF(ISBLANK(Data!#REF!),"",Data!#REF!)</f>
        <v>#REF!</v>
      </c>
      <c r="G176" s="37" t="e">
        <f>IF(ISBLANK(Data!#REF!),"",Data!#REF!)</f>
        <v>#REF!</v>
      </c>
      <c r="H176" s="37" t="e">
        <f>IF(ISBLANK(Data!#REF!),"",Data!#REF!)</f>
        <v>#REF!</v>
      </c>
      <c r="I176" s="37" t="e">
        <f>IF(ISBLANK(Data!#REF!),"",Data!#REF!)</f>
        <v>#REF!</v>
      </c>
      <c r="J176" s="37" t="e">
        <f>IF(ISBLANK(Data!#REF!),"",Data!#REF!)</f>
        <v>#REF!</v>
      </c>
      <c r="K176" s="22" t="e">
        <f>IF(ISBLANK(Data!#REF!),"",Data!#REF!)</f>
        <v>#REF!</v>
      </c>
      <c r="L176" s="22" t="e">
        <f>IF(ISBLANK(Data!#REF!),"",Data!#REF!)</f>
        <v>#REF!</v>
      </c>
      <c r="M176" s="22"/>
      <c r="N176" s="37" t="e">
        <f>IF(ISBLANK(Data!#REF!),"",Data!#REF!)</f>
        <v>#REF!</v>
      </c>
      <c r="O176" s="37" t="e">
        <f>IF(ISBLANK(Data!#REF!),"",Data!#REF!)</f>
        <v>#REF!</v>
      </c>
      <c r="P176" s="37" t="e">
        <f>IF(ISBLANK(Data!#REF!),"",Data!#REF!)</f>
        <v>#REF!</v>
      </c>
      <c r="Q176" s="37" t="e">
        <f>IF(ISBLANK(Data!#REF!),"",Data!#REF!)</f>
        <v>#REF!</v>
      </c>
    </row>
    <row r="177" spans="1:17" x14ac:dyDescent="0.25">
      <c r="A177" s="23" t="e">
        <f t="shared" si="3"/>
        <v>#REF!</v>
      </c>
      <c r="B177" s="42" t="e">
        <f>IF(ISBLANK(Data!#REF!),"",Data!#REF!)</f>
        <v>#REF!</v>
      </c>
      <c r="C177" s="35" t="e">
        <f>IF(ISBLANK(Data!#REF!),"",Data!#REF!)</f>
        <v>#REF!</v>
      </c>
      <c r="D177" s="36" t="e">
        <f>IF(ISBLANK(Data!#REF!),"",Data!#REF!)</f>
        <v>#REF!</v>
      </c>
      <c r="E177" s="36" t="e">
        <f>IF(ISBLANK(Data!#REF!),"",Data!#REF!)</f>
        <v>#REF!</v>
      </c>
      <c r="F177" s="36" t="e">
        <f>IF(ISBLANK(Data!#REF!),"",Data!#REF!)</f>
        <v>#REF!</v>
      </c>
      <c r="G177" s="37" t="e">
        <f>IF(ISBLANK(Data!#REF!),"",Data!#REF!)</f>
        <v>#REF!</v>
      </c>
      <c r="H177" s="37" t="e">
        <f>IF(ISBLANK(Data!#REF!),"",Data!#REF!)</f>
        <v>#REF!</v>
      </c>
      <c r="I177" s="37" t="e">
        <f>IF(ISBLANK(Data!#REF!),"",Data!#REF!)</f>
        <v>#REF!</v>
      </c>
      <c r="J177" s="37" t="e">
        <f>IF(ISBLANK(Data!#REF!),"",Data!#REF!)</f>
        <v>#REF!</v>
      </c>
      <c r="K177" s="22" t="e">
        <f>IF(ISBLANK(Data!#REF!),"",Data!#REF!)</f>
        <v>#REF!</v>
      </c>
      <c r="L177" s="22" t="e">
        <f>IF(ISBLANK(Data!#REF!),"",Data!#REF!)</f>
        <v>#REF!</v>
      </c>
      <c r="M177" s="22"/>
      <c r="N177" s="37" t="e">
        <f>IF(ISBLANK(Data!#REF!),"",Data!#REF!)</f>
        <v>#REF!</v>
      </c>
      <c r="O177" s="37" t="e">
        <f>IF(ISBLANK(Data!#REF!),"",Data!#REF!)</f>
        <v>#REF!</v>
      </c>
      <c r="P177" s="37" t="e">
        <f>IF(ISBLANK(Data!#REF!),"",Data!#REF!)</f>
        <v>#REF!</v>
      </c>
      <c r="Q177" s="37" t="e">
        <f>IF(ISBLANK(Data!#REF!),"",Data!#REF!)</f>
        <v>#REF!</v>
      </c>
    </row>
    <row r="178" spans="1:17" x14ac:dyDescent="0.25">
      <c r="A178" s="23" t="e">
        <f t="shared" si="3"/>
        <v>#REF!</v>
      </c>
      <c r="B178" s="42" t="e">
        <f>IF(ISBLANK(Data!#REF!),"",Data!#REF!)</f>
        <v>#REF!</v>
      </c>
      <c r="C178" s="35" t="e">
        <f>IF(ISBLANK(Data!#REF!),"",Data!#REF!)</f>
        <v>#REF!</v>
      </c>
      <c r="D178" s="36" t="e">
        <f>IF(ISBLANK(Data!#REF!),"",Data!#REF!)</f>
        <v>#REF!</v>
      </c>
      <c r="E178" s="36" t="e">
        <f>IF(ISBLANK(Data!#REF!),"",Data!#REF!)</f>
        <v>#REF!</v>
      </c>
      <c r="F178" s="36" t="e">
        <f>IF(ISBLANK(Data!#REF!),"",Data!#REF!)</f>
        <v>#REF!</v>
      </c>
      <c r="G178" s="37" t="e">
        <f>IF(ISBLANK(Data!#REF!),"",Data!#REF!)</f>
        <v>#REF!</v>
      </c>
      <c r="H178" s="37" t="e">
        <f>IF(ISBLANK(Data!#REF!),"",Data!#REF!)</f>
        <v>#REF!</v>
      </c>
      <c r="I178" s="37" t="e">
        <f>IF(ISBLANK(Data!#REF!),"",Data!#REF!)</f>
        <v>#REF!</v>
      </c>
      <c r="J178" s="37" t="e">
        <f>IF(ISBLANK(Data!#REF!),"",Data!#REF!)</f>
        <v>#REF!</v>
      </c>
      <c r="K178" s="22" t="e">
        <f>IF(ISBLANK(Data!#REF!),"",Data!#REF!)</f>
        <v>#REF!</v>
      </c>
      <c r="L178" s="22" t="e">
        <f>IF(ISBLANK(Data!#REF!),"",Data!#REF!)</f>
        <v>#REF!</v>
      </c>
      <c r="M178" s="22"/>
      <c r="N178" s="37" t="e">
        <f>IF(ISBLANK(Data!#REF!),"",Data!#REF!)</f>
        <v>#REF!</v>
      </c>
      <c r="O178" s="37" t="e">
        <f>IF(ISBLANK(Data!#REF!),"",Data!#REF!)</f>
        <v>#REF!</v>
      </c>
      <c r="P178" s="37" t="e">
        <f>IF(ISBLANK(Data!#REF!),"",Data!#REF!)</f>
        <v>#REF!</v>
      </c>
      <c r="Q178" s="37" t="e">
        <f>IF(ISBLANK(Data!#REF!),"",Data!#REF!)</f>
        <v>#REF!</v>
      </c>
    </row>
    <row r="179" spans="1:17" x14ac:dyDescent="0.25">
      <c r="A179" s="23" t="e">
        <f t="shared" si="3"/>
        <v>#REF!</v>
      </c>
      <c r="B179" s="42" t="e">
        <f>IF(ISBLANK(Data!#REF!),"",Data!#REF!)</f>
        <v>#REF!</v>
      </c>
      <c r="C179" s="35" t="e">
        <f>IF(ISBLANK(Data!#REF!),"",Data!#REF!)</f>
        <v>#REF!</v>
      </c>
      <c r="D179" s="36" t="e">
        <f>IF(ISBLANK(Data!#REF!),"",Data!#REF!)</f>
        <v>#REF!</v>
      </c>
      <c r="E179" s="36" t="e">
        <f>IF(ISBLANK(Data!#REF!),"",Data!#REF!)</f>
        <v>#REF!</v>
      </c>
      <c r="F179" s="36" t="e">
        <f>IF(ISBLANK(Data!#REF!),"",Data!#REF!)</f>
        <v>#REF!</v>
      </c>
      <c r="G179" s="37" t="e">
        <f>IF(ISBLANK(Data!#REF!),"",Data!#REF!)</f>
        <v>#REF!</v>
      </c>
      <c r="H179" s="37" t="e">
        <f>IF(ISBLANK(Data!#REF!),"",Data!#REF!)</f>
        <v>#REF!</v>
      </c>
      <c r="I179" s="37" t="e">
        <f>IF(ISBLANK(Data!#REF!),"",Data!#REF!)</f>
        <v>#REF!</v>
      </c>
      <c r="J179" s="37" t="e">
        <f>IF(ISBLANK(Data!#REF!),"",Data!#REF!)</f>
        <v>#REF!</v>
      </c>
      <c r="K179" s="22" t="e">
        <f>IF(ISBLANK(Data!#REF!),"",Data!#REF!)</f>
        <v>#REF!</v>
      </c>
      <c r="L179" s="22" t="e">
        <f>IF(ISBLANK(Data!#REF!),"",Data!#REF!)</f>
        <v>#REF!</v>
      </c>
      <c r="M179" s="22"/>
      <c r="N179" s="37" t="e">
        <f>IF(ISBLANK(Data!#REF!),"",Data!#REF!)</f>
        <v>#REF!</v>
      </c>
      <c r="O179" s="37" t="e">
        <f>IF(ISBLANK(Data!#REF!),"",Data!#REF!)</f>
        <v>#REF!</v>
      </c>
      <c r="P179" s="37" t="e">
        <f>IF(ISBLANK(Data!#REF!),"",Data!#REF!)</f>
        <v>#REF!</v>
      </c>
      <c r="Q179" s="37" t="e">
        <f>IF(ISBLANK(Data!#REF!),"",Data!#REF!)</f>
        <v>#REF!</v>
      </c>
    </row>
    <row r="180" spans="1:17" x14ac:dyDescent="0.25">
      <c r="A180" s="23" t="e">
        <f t="shared" si="3"/>
        <v>#REF!</v>
      </c>
      <c r="B180" s="42" t="e">
        <f>IF(ISBLANK(Data!#REF!),"",Data!#REF!)</f>
        <v>#REF!</v>
      </c>
      <c r="C180" s="35" t="e">
        <f>IF(ISBLANK(Data!#REF!),"",Data!#REF!)</f>
        <v>#REF!</v>
      </c>
      <c r="D180" s="36" t="e">
        <f>IF(ISBLANK(Data!#REF!),"",Data!#REF!)</f>
        <v>#REF!</v>
      </c>
      <c r="E180" s="36" t="e">
        <f>IF(ISBLANK(Data!#REF!),"",Data!#REF!)</f>
        <v>#REF!</v>
      </c>
      <c r="F180" s="36" t="e">
        <f>IF(ISBLANK(Data!#REF!),"",Data!#REF!)</f>
        <v>#REF!</v>
      </c>
      <c r="G180" s="37" t="e">
        <f>IF(ISBLANK(Data!#REF!),"",Data!#REF!)</f>
        <v>#REF!</v>
      </c>
      <c r="H180" s="37" t="e">
        <f>IF(ISBLANK(Data!#REF!),"",Data!#REF!)</f>
        <v>#REF!</v>
      </c>
      <c r="I180" s="37" t="e">
        <f>IF(ISBLANK(Data!#REF!),"",Data!#REF!)</f>
        <v>#REF!</v>
      </c>
      <c r="J180" s="37" t="e">
        <f>IF(ISBLANK(Data!#REF!),"",Data!#REF!)</f>
        <v>#REF!</v>
      </c>
      <c r="K180" s="22" t="e">
        <f>IF(ISBLANK(Data!#REF!),"",Data!#REF!)</f>
        <v>#REF!</v>
      </c>
      <c r="L180" s="22" t="e">
        <f>IF(ISBLANK(Data!#REF!),"",Data!#REF!)</f>
        <v>#REF!</v>
      </c>
      <c r="M180" s="22"/>
      <c r="N180" s="37" t="e">
        <f>IF(ISBLANK(Data!#REF!),"",Data!#REF!)</f>
        <v>#REF!</v>
      </c>
      <c r="O180" s="37" t="e">
        <f>IF(ISBLANK(Data!#REF!),"",Data!#REF!)</f>
        <v>#REF!</v>
      </c>
      <c r="P180" s="37" t="e">
        <f>IF(ISBLANK(Data!#REF!),"",Data!#REF!)</f>
        <v>#REF!</v>
      </c>
      <c r="Q180" s="37" t="e">
        <f>IF(ISBLANK(Data!#REF!),"",Data!#REF!)</f>
        <v>#REF!</v>
      </c>
    </row>
    <row r="181" spans="1:17" x14ac:dyDescent="0.25">
      <c r="A181" s="23" t="e">
        <f t="shared" si="3"/>
        <v>#REF!</v>
      </c>
      <c r="B181" s="42" t="e">
        <f>IF(ISBLANK(Data!#REF!),"",Data!#REF!)</f>
        <v>#REF!</v>
      </c>
      <c r="C181" s="35" t="e">
        <f>IF(ISBLANK(Data!#REF!),"",Data!#REF!)</f>
        <v>#REF!</v>
      </c>
      <c r="D181" s="36" t="e">
        <f>IF(ISBLANK(Data!#REF!),"",Data!#REF!)</f>
        <v>#REF!</v>
      </c>
      <c r="E181" s="36" t="e">
        <f>IF(ISBLANK(Data!#REF!),"",Data!#REF!)</f>
        <v>#REF!</v>
      </c>
      <c r="F181" s="36" t="e">
        <f>IF(ISBLANK(Data!#REF!),"",Data!#REF!)</f>
        <v>#REF!</v>
      </c>
      <c r="G181" s="37" t="e">
        <f>IF(ISBLANK(Data!#REF!),"",Data!#REF!)</f>
        <v>#REF!</v>
      </c>
      <c r="H181" s="37" t="e">
        <f>IF(ISBLANK(Data!#REF!),"",Data!#REF!)</f>
        <v>#REF!</v>
      </c>
      <c r="I181" s="37" t="e">
        <f>IF(ISBLANK(Data!#REF!),"",Data!#REF!)</f>
        <v>#REF!</v>
      </c>
      <c r="J181" s="37" t="e">
        <f>IF(ISBLANK(Data!#REF!),"",Data!#REF!)</f>
        <v>#REF!</v>
      </c>
      <c r="K181" s="22" t="e">
        <f>IF(ISBLANK(Data!#REF!),"",Data!#REF!)</f>
        <v>#REF!</v>
      </c>
      <c r="L181" s="22" t="e">
        <f>IF(ISBLANK(Data!#REF!),"",Data!#REF!)</f>
        <v>#REF!</v>
      </c>
      <c r="M181" s="22"/>
      <c r="N181" s="37" t="e">
        <f>IF(ISBLANK(Data!#REF!),"",Data!#REF!)</f>
        <v>#REF!</v>
      </c>
      <c r="O181" s="37" t="e">
        <f>IF(ISBLANK(Data!#REF!),"",Data!#REF!)</f>
        <v>#REF!</v>
      </c>
      <c r="P181" s="37" t="e">
        <f>IF(ISBLANK(Data!#REF!),"",Data!#REF!)</f>
        <v>#REF!</v>
      </c>
      <c r="Q181" s="37" t="e">
        <f>IF(ISBLANK(Data!#REF!),"",Data!#REF!)</f>
        <v>#REF!</v>
      </c>
    </row>
    <row r="182" spans="1:17" x14ac:dyDescent="0.25">
      <c r="A182" s="23" t="e">
        <f t="shared" si="3"/>
        <v>#REF!</v>
      </c>
      <c r="B182" s="42" t="e">
        <f>IF(ISBLANK(Data!#REF!),"",Data!#REF!)</f>
        <v>#REF!</v>
      </c>
      <c r="C182" s="35" t="e">
        <f>IF(ISBLANK(Data!#REF!),"",Data!#REF!)</f>
        <v>#REF!</v>
      </c>
      <c r="D182" s="36" t="e">
        <f>IF(ISBLANK(Data!#REF!),"",Data!#REF!)</f>
        <v>#REF!</v>
      </c>
      <c r="E182" s="36" t="e">
        <f>IF(ISBLANK(Data!#REF!),"",Data!#REF!)</f>
        <v>#REF!</v>
      </c>
      <c r="F182" s="36" t="e">
        <f>IF(ISBLANK(Data!#REF!),"",Data!#REF!)</f>
        <v>#REF!</v>
      </c>
      <c r="G182" s="37" t="e">
        <f>IF(ISBLANK(Data!#REF!),"",Data!#REF!)</f>
        <v>#REF!</v>
      </c>
      <c r="H182" s="37" t="e">
        <f>IF(ISBLANK(Data!#REF!),"",Data!#REF!)</f>
        <v>#REF!</v>
      </c>
      <c r="I182" s="37" t="e">
        <f>IF(ISBLANK(Data!#REF!),"",Data!#REF!)</f>
        <v>#REF!</v>
      </c>
      <c r="J182" s="37" t="e">
        <f>IF(ISBLANK(Data!#REF!),"",Data!#REF!)</f>
        <v>#REF!</v>
      </c>
      <c r="K182" s="22" t="e">
        <f>IF(ISBLANK(Data!#REF!),"",Data!#REF!)</f>
        <v>#REF!</v>
      </c>
      <c r="L182" s="22" t="e">
        <f>IF(ISBLANK(Data!#REF!),"",Data!#REF!)</f>
        <v>#REF!</v>
      </c>
      <c r="M182" s="22"/>
      <c r="N182" s="37" t="e">
        <f>IF(ISBLANK(Data!#REF!),"",Data!#REF!)</f>
        <v>#REF!</v>
      </c>
      <c r="O182" s="37" t="e">
        <f>IF(ISBLANK(Data!#REF!),"",Data!#REF!)</f>
        <v>#REF!</v>
      </c>
      <c r="P182" s="37" t="e">
        <f>IF(ISBLANK(Data!#REF!),"",Data!#REF!)</f>
        <v>#REF!</v>
      </c>
      <c r="Q182" s="37" t="e">
        <f>IF(ISBLANK(Data!#REF!),"",Data!#REF!)</f>
        <v>#REF!</v>
      </c>
    </row>
    <row r="183" spans="1:17" x14ac:dyDescent="0.25">
      <c r="A183" s="23" t="e">
        <f t="shared" si="3"/>
        <v>#REF!</v>
      </c>
      <c r="B183" s="42" t="e">
        <f>IF(ISBLANK(Data!#REF!),"",Data!#REF!)</f>
        <v>#REF!</v>
      </c>
      <c r="C183" s="35" t="e">
        <f>IF(ISBLANK(Data!#REF!),"",Data!#REF!)</f>
        <v>#REF!</v>
      </c>
      <c r="D183" s="36" t="e">
        <f>IF(ISBLANK(Data!#REF!),"",Data!#REF!)</f>
        <v>#REF!</v>
      </c>
      <c r="E183" s="36" t="e">
        <f>IF(ISBLANK(Data!#REF!),"",Data!#REF!)</f>
        <v>#REF!</v>
      </c>
      <c r="F183" s="36" t="e">
        <f>IF(ISBLANK(Data!#REF!),"",Data!#REF!)</f>
        <v>#REF!</v>
      </c>
      <c r="G183" s="37" t="e">
        <f>IF(ISBLANK(Data!#REF!),"",Data!#REF!)</f>
        <v>#REF!</v>
      </c>
      <c r="H183" s="37" t="e">
        <f>IF(ISBLANK(Data!#REF!),"",Data!#REF!)</f>
        <v>#REF!</v>
      </c>
      <c r="I183" s="37" t="e">
        <f>IF(ISBLANK(Data!#REF!),"",Data!#REF!)</f>
        <v>#REF!</v>
      </c>
      <c r="J183" s="37" t="e">
        <f>IF(ISBLANK(Data!#REF!),"",Data!#REF!)</f>
        <v>#REF!</v>
      </c>
      <c r="K183" s="22" t="e">
        <f>IF(ISBLANK(Data!#REF!),"",Data!#REF!)</f>
        <v>#REF!</v>
      </c>
      <c r="L183" s="22" t="e">
        <f>IF(ISBLANK(Data!#REF!),"",Data!#REF!)</f>
        <v>#REF!</v>
      </c>
      <c r="M183" s="22"/>
      <c r="N183" s="37" t="e">
        <f>IF(ISBLANK(Data!#REF!),"",Data!#REF!)</f>
        <v>#REF!</v>
      </c>
      <c r="O183" s="37" t="e">
        <f>IF(ISBLANK(Data!#REF!),"",Data!#REF!)</f>
        <v>#REF!</v>
      </c>
      <c r="P183" s="37" t="e">
        <f>IF(ISBLANK(Data!#REF!),"",Data!#REF!)</f>
        <v>#REF!</v>
      </c>
      <c r="Q183" s="37" t="e">
        <f>IF(ISBLANK(Data!#REF!),"",Data!#REF!)</f>
        <v>#REF!</v>
      </c>
    </row>
    <row r="184" spans="1:17" x14ac:dyDescent="0.25">
      <c r="A184" s="23" t="e">
        <f t="shared" si="3"/>
        <v>#REF!</v>
      </c>
      <c r="B184" s="42" t="e">
        <f>IF(ISBLANK(Data!#REF!),"",Data!#REF!)</f>
        <v>#REF!</v>
      </c>
      <c r="C184" s="35" t="e">
        <f>IF(ISBLANK(Data!#REF!),"",Data!#REF!)</f>
        <v>#REF!</v>
      </c>
      <c r="D184" s="36" t="e">
        <f>IF(ISBLANK(Data!#REF!),"",Data!#REF!)</f>
        <v>#REF!</v>
      </c>
      <c r="E184" s="36" t="e">
        <f>IF(ISBLANK(Data!#REF!),"",Data!#REF!)</f>
        <v>#REF!</v>
      </c>
      <c r="F184" s="36" t="e">
        <f>IF(ISBLANK(Data!#REF!),"",Data!#REF!)</f>
        <v>#REF!</v>
      </c>
      <c r="G184" s="37" t="e">
        <f>IF(ISBLANK(Data!#REF!),"",Data!#REF!)</f>
        <v>#REF!</v>
      </c>
      <c r="H184" s="37" t="e">
        <f>IF(ISBLANK(Data!#REF!),"",Data!#REF!)</f>
        <v>#REF!</v>
      </c>
      <c r="I184" s="37" t="e">
        <f>IF(ISBLANK(Data!#REF!),"",Data!#REF!)</f>
        <v>#REF!</v>
      </c>
      <c r="J184" s="37" t="e">
        <f>IF(ISBLANK(Data!#REF!),"",Data!#REF!)</f>
        <v>#REF!</v>
      </c>
      <c r="K184" s="22" t="e">
        <f>IF(ISBLANK(Data!#REF!),"",Data!#REF!)</f>
        <v>#REF!</v>
      </c>
      <c r="L184" s="22" t="e">
        <f>IF(ISBLANK(Data!#REF!),"",Data!#REF!)</f>
        <v>#REF!</v>
      </c>
      <c r="M184" s="22"/>
      <c r="N184" s="37" t="e">
        <f>IF(ISBLANK(Data!#REF!),"",Data!#REF!)</f>
        <v>#REF!</v>
      </c>
      <c r="O184" s="37" t="e">
        <f>IF(ISBLANK(Data!#REF!),"",Data!#REF!)</f>
        <v>#REF!</v>
      </c>
      <c r="P184" s="37" t="e">
        <f>IF(ISBLANK(Data!#REF!),"",Data!#REF!)</f>
        <v>#REF!</v>
      </c>
      <c r="Q184" s="37" t="e">
        <f>IF(ISBLANK(Data!#REF!),"",Data!#REF!)</f>
        <v>#REF!</v>
      </c>
    </row>
    <row r="185" spans="1:17" x14ac:dyDescent="0.25">
      <c r="A185" s="23" t="e">
        <f t="shared" si="3"/>
        <v>#REF!</v>
      </c>
      <c r="B185" s="42" t="e">
        <f>IF(ISBLANK(Data!#REF!),"",Data!#REF!)</f>
        <v>#REF!</v>
      </c>
      <c r="C185" s="35" t="e">
        <f>IF(ISBLANK(Data!#REF!),"",Data!#REF!)</f>
        <v>#REF!</v>
      </c>
      <c r="D185" s="36" t="e">
        <f>IF(ISBLANK(Data!#REF!),"",Data!#REF!)</f>
        <v>#REF!</v>
      </c>
      <c r="E185" s="36" t="e">
        <f>IF(ISBLANK(Data!#REF!),"",Data!#REF!)</f>
        <v>#REF!</v>
      </c>
      <c r="F185" s="36" t="e">
        <f>IF(ISBLANK(Data!#REF!),"",Data!#REF!)</f>
        <v>#REF!</v>
      </c>
      <c r="G185" s="37" t="e">
        <f>IF(ISBLANK(Data!#REF!),"",Data!#REF!)</f>
        <v>#REF!</v>
      </c>
      <c r="H185" s="37" t="e">
        <f>IF(ISBLANK(Data!#REF!),"",Data!#REF!)</f>
        <v>#REF!</v>
      </c>
      <c r="I185" s="37" t="e">
        <f>IF(ISBLANK(Data!#REF!),"",Data!#REF!)</f>
        <v>#REF!</v>
      </c>
      <c r="J185" s="37" t="e">
        <f>IF(ISBLANK(Data!#REF!),"",Data!#REF!)</f>
        <v>#REF!</v>
      </c>
      <c r="K185" s="22" t="e">
        <f>IF(ISBLANK(Data!#REF!),"",Data!#REF!)</f>
        <v>#REF!</v>
      </c>
      <c r="L185" s="22" t="e">
        <f>IF(ISBLANK(Data!#REF!),"",Data!#REF!)</f>
        <v>#REF!</v>
      </c>
      <c r="M185" s="22"/>
      <c r="N185" s="37" t="e">
        <f>IF(ISBLANK(Data!#REF!),"",Data!#REF!)</f>
        <v>#REF!</v>
      </c>
      <c r="O185" s="37" t="e">
        <f>IF(ISBLANK(Data!#REF!),"",Data!#REF!)</f>
        <v>#REF!</v>
      </c>
      <c r="P185" s="37" t="e">
        <f>IF(ISBLANK(Data!#REF!),"",Data!#REF!)</f>
        <v>#REF!</v>
      </c>
      <c r="Q185" s="37" t="e">
        <f>IF(ISBLANK(Data!#REF!),"",Data!#REF!)</f>
        <v>#REF!</v>
      </c>
    </row>
    <row r="186" spans="1:17" x14ac:dyDescent="0.25">
      <c r="A186" s="23" t="e">
        <f t="shared" si="3"/>
        <v>#REF!</v>
      </c>
      <c r="B186" s="42" t="e">
        <f>IF(ISBLANK(Data!#REF!),"",Data!#REF!)</f>
        <v>#REF!</v>
      </c>
      <c r="C186" s="35" t="e">
        <f>IF(ISBLANK(Data!#REF!),"",Data!#REF!)</f>
        <v>#REF!</v>
      </c>
      <c r="D186" s="36" t="e">
        <f>IF(ISBLANK(Data!#REF!),"",Data!#REF!)</f>
        <v>#REF!</v>
      </c>
      <c r="E186" s="36" t="e">
        <f>IF(ISBLANK(Data!#REF!),"",Data!#REF!)</f>
        <v>#REF!</v>
      </c>
      <c r="F186" s="36" t="e">
        <f>IF(ISBLANK(Data!#REF!),"",Data!#REF!)</f>
        <v>#REF!</v>
      </c>
      <c r="G186" s="37" t="e">
        <f>IF(ISBLANK(Data!#REF!),"",Data!#REF!)</f>
        <v>#REF!</v>
      </c>
      <c r="H186" s="37" t="e">
        <f>IF(ISBLANK(Data!#REF!),"",Data!#REF!)</f>
        <v>#REF!</v>
      </c>
      <c r="I186" s="37" t="e">
        <f>IF(ISBLANK(Data!#REF!),"",Data!#REF!)</f>
        <v>#REF!</v>
      </c>
      <c r="J186" s="37" t="e">
        <f>IF(ISBLANK(Data!#REF!),"",Data!#REF!)</f>
        <v>#REF!</v>
      </c>
      <c r="K186" s="22" t="e">
        <f>IF(ISBLANK(Data!#REF!),"",Data!#REF!)</f>
        <v>#REF!</v>
      </c>
      <c r="L186" s="22" t="e">
        <f>IF(ISBLANK(Data!#REF!),"",Data!#REF!)</f>
        <v>#REF!</v>
      </c>
      <c r="M186" s="22"/>
      <c r="N186" s="37" t="e">
        <f>IF(ISBLANK(Data!#REF!),"",Data!#REF!)</f>
        <v>#REF!</v>
      </c>
      <c r="O186" s="37" t="e">
        <f>IF(ISBLANK(Data!#REF!),"",Data!#REF!)</f>
        <v>#REF!</v>
      </c>
      <c r="P186" s="37" t="e">
        <f>IF(ISBLANK(Data!#REF!),"",Data!#REF!)</f>
        <v>#REF!</v>
      </c>
      <c r="Q186" s="37" t="e">
        <f>IF(ISBLANK(Data!#REF!),"",Data!#REF!)</f>
        <v>#REF!</v>
      </c>
    </row>
    <row r="187" spans="1:17" x14ac:dyDescent="0.25">
      <c r="A187" s="23" t="e">
        <f t="shared" si="3"/>
        <v>#REF!</v>
      </c>
      <c r="B187" s="42" t="e">
        <f>IF(ISBLANK(Data!#REF!),"",Data!#REF!)</f>
        <v>#REF!</v>
      </c>
      <c r="C187" s="35" t="e">
        <f>IF(ISBLANK(Data!#REF!),"",Data!#REF!)</f>
        <v>#REF!</v>
      </c>
      <c r="D187" s="36" t="e">
        <f>IF(ISBLANK(Data!#REF!),"",Data!#REF!)</f>
        <v>#REF!</v>
      </c>
      <c r="E187" s="36" t="e">
        <f>IF(ISBLANK(Data!#REF!),"",Data!#REF!)</f>
        <v>#REF!</v>
      </c>
      <c r="F187" s="36" t="e">
        <f>IF(ISBLANK(Data!#REF!),"",Data!#REF!)</f>
        <v>#REF!</v>
      </c>
      <c r="G187" s="37" t="e">
        <f>IF(ISBLANK(Data!#REF!),"",Data!#REF!)</f>
        <v>#REF!</v>
      </c>
      <c r="H187" s="37" t="e">
        <f>IF(ISBLANK(Data!#REF!),"",Data!#REF!)</f>
        <v>#REF!</v>
      </c>
      <c r="I187" s="37" t="e">
        <f>IF(ISBLANK(Data!#REF!),"",Data!#REF!)</f>
        <v>#REF!</v>
      </c>
      <c r="J187" s="37" t="e">
        <f>IF(ISBLANK(Data!#REF!),"",Data!#REF!)</f>
        <v>#REF!</v>
      </c>
      <c r="K187" s="22" t="e">
        <f>IF(ISBLANK(Data!#REF!),"",Data!#REF!)</f>
        <v>#REF!</v>
      </c>
      <c r="L187" s="22" t="e">
        <f>IF(ISBLANK(Data!#REF!),"",Data!#REF!)</f>
        <v>#REF!</v>
      </c>
      <c r="M187" s="22"/>
      <c r="N187" s="37" t="e">
        <f>IF(ISBLANK(Data!#REF!),"",Data!#REF!)</f>
        <v>#REF!</v>
      </c>
      <c r="O187" s="37" t="e">
        <f>IF(ISBLANK(Data!#REF!),"",Data!#REF!)</f>
        <v>#REF!</v>
      </c>
      <c r="P187" s="37" t="e">
        <f>IF(ISBLANK(Data!#REF!),"",Data!#REF!)</f>
        <v>#REF!</v>
      </c>
      <c r="Q187" s="37" t="e">
        <f>IF(ISBLANK(Data!#REF!),"",Data!#REF!)</f>
        <v>#REF!</v>
      </c>
    </row>
    <row r="188" spans="1:17" x14ac:dyDescent="0.25">
      <c r="A188" s="23" t="e">
        <f t="shared" si="3"/>
        <v>#REF!</v>
      </c>
      <c r="B188" s="42" t="e">
        <f>IF(ISBLANK(Data!#REF!),"",Data!#REF!)</f>
        <v>#REF!</v>
      </c>
      <c r="C188" s="35" t="e">
        <f>IF(ISBLANK(Data!#REF!),"",Data!#REF!)</f>
        <v>#REF!</v>
      </c>
      <c r="D188" s="36" t="e">
        <f>IF(ISBLANK(Data!#REF!),"",Data!#REF!)</f>
        <v>#REF!</v>
      </c>
      <c r="E188" s="36" t="e">
        <f>IF(ISBLANK(Data!#REF!),"",Data!#REF!)</f>
        <v>#REF!</v>
      </c>
      <c r="F188" s="36" t="e">
        <f>IF(ISBLANK(Data!#REF!),"",Data!#REF!)</f>
        <v>#REF!</v>
      </c>
      <c r="G188" s="37" t="e">
        <f>IF(ISBLANK(Data!#REF!),"",Data!#REF!)</f>
        <v>#REF!</v>
      </c>
      <c r="H188" s="37" t="e">
        <f>IF(ISBLANK(Data!#REF!),"",Data!#REF!)</f>
        <v>#REF!</v>
      </c>
      <c r="I188" s="37" t="e">
        <f>IF(ISBLANK(Data!#REF!),"",Data!#REF!)</f>
        <v>#REF!</v>
      </c>
      <c r="J188" s="37" t="e">
        <f>IF(ISBLANK(Data!#REF!),"",Data!#REF!)</f>
        <v>#REF!</v>
      </c>
      <c r="K188" s="22" t="e">
        <f>IF(ISBLANK(Data!#REF!),"",Data!#REF!)</f>
        <v>#REF!</v>
      </c>
      <c r="L188" s="22" t="e">
        <f>IF(ISBLANK(Data!#REF!),"",Data!#REF!)</f>
        <v>#REF!</v>
      </c>
      <c r="M188" s="22"/>
      <c r="N188" s="37" t="e">
        <f>IF(ISBLANK(Data!#REF!),"",Data!#REF!)</f>
        <v>#REF!</v>
      </c>
      <c r="O188" s="37" t="e">
        <f>IF(ISBLANK(Data!#REF!),"",Data!#REF!)</f>
        <v>#REF!</v>
      </c>
      <c r="P188" s="37" t="e">
        <f>IF(ISBLANK(Data!#REF!),"",Data!#REF!)</f>
        <v>#REF!</v>
      </c>
      <c r="Q188" s="37" t="e">
        <f>IF(ISBLANK(Data!#REF!),"",Data!#REF!)</f>
        <v>#REF!</v>
      </c>
    </row>
    <row r="189" spans="1:17" x14ac:dyDescent="0.25">
      <c r="A189" s="23" t="e">
        <f t="shared" si="3"/>
        <v>#REF!</v>
      </c>
      <c r="B189" s="42" t="e">
        <f>IF(ISBLANK(Data!#REF!),"",Data!#REF!)</f>
        <v>#REF!</v>
      </c>
      <c r="C189" s="35" t="e">
        <f>IF(ISBLANK(Data!#REF!),"",Data!#REF!)</f>
        <v>#REF!</v>
      </c>
      <c r="D189" s="36" t="e">
        <f>IF(ISBLANK(Data!#REF!),"",Data!#REF!)</f>
        <v>#REF!</v>
      </c>
      <c r="E189" s="36" t="e">
        <f>IF(ISBLANK(Data!#REF!),"",Data!#REF!)</f>
        <v>#REF!</v>
      </c>
      <c r="F189" s="36" t="e">
        <f>IF(ISBLANK(Data!#REF!),"",Data!#REF!)</f>
        <v>#REF!</v>
      </c>
      <c r="G189" s="37" t="e">
        <f>IF(ISBLANK(Data!#REF!),"",Data!#REF!)</f>
        <v>#REF!</v>
      </c>
      <c r="H189" s="37" t="e">
        <f>IF(ISBLANK(Data!#REF!),"",Data!#REF!)</f>
        <v>#REF!</v>
      </c>
      <c r="I189" s="37" t="e">
        <f>IF(ISBLANK(Data!#REF!),"",Data!#REF!)</f>
        <v>#REF!</v>
      </c>
      <c r="J189" s="37" t="e">
        <f>IF(ISBLANK(Data!#REF!),"",Data!#REF!)</f>
        <v>#REF!</v>
      </c>
      <c r="K189" s="22" t="e">
        <f>IF(ISBLANK(Data!#REF!),"",Data!#REF!)</f>
        <v>#REF!</v>
      </c>
      <c r="L189" s="22" t="e">
        <f>IF(ISBLANK(Data!#REF!),"",Data!#REF!)</f>
        <v>#REF!</v>
      </c>
      <c r="M189" s="22"/>
      <c r="N189" s="37" t="e">
        <f>IF(ISBLANK(Data!#REF!),"",Data!#REF!)</f>
        <v>#REF!</v>
      </c>
      <c r="O189" s="37" t="e">
        <f>IF(ISBLANK(Data!#REF!),"",Data!#REF!)</f>
        <v>#REF!</v>
      </c>
      <c r="P189" s="37" t="e">
        <f>IF(ISBLANK(Data!#REF!),"",Data!#REF!)</f>
        <v>#REF!</v>
      </c>
      <c r="Q189" s="37" t="e">
        <f>IF(ISBLANK(Data!#REF!),"",Data!#REF!)</f>
        <v>#REF!</v>
      </c>
    </row>
    <row r="190" spans="1:17" x14ac:dyDescent="0.25">
      <c r="A190" s="23" t="e">
        <f t="shared" si="3"/>
        <v>#REF!</v>
      </c>
      <c r="B190" s="42" t="e">
        <f>IF(ISBLANK(Data!#REF!),"",Data!#REF!)</f>
        <v>#REF!</v>
      </c>
      <c r="C190" s="35" t="e">
        <f>IF(ISBLANK(Data!#REF!),"",Data!#REF!)</f>
        <v>#REF!</v>
      </c>
      <c r="D190" s="36" t="e">
        <f>IF(ISBLANK(Data!#REF!),"",Data!#REF!)</f>
        <v>#REF!</v>
      </c>
      <c r="E190" s="36" t="e">
        <f>IF(ISBLANK(Data!#REF!),"",Data!#REF!)</f>
        <v>#REF!</v>
      </c>
      <c r="F190" s="36" t="e">
        <f>IF(ISBLANK(Data!#REF!),"",Data!#REF!)</f>
        <v>#REF!</v>
      </c>
      <c r="G190" s="37" t="e">
        <f>IF(ISBLANK(Data!#REF!),"",Data!#REF!)</f>
        <v>#REF!</v>
      </c>
      <c r="H190" s="37" t="e">
        <f>IF(ISBLANK(Data!#REF!),"",Data!#REF!)</f>
        <v>#REF!</v>
      </c>
      <c r="I190" s="37" t="e">
        <f>IF(ISBLANK(Data!#REF!),"",Data!#REF!)</f>
        <v>#REF!</v>
      </c>
      <c r="J190" s="37" t="e">
        <f>IF(ISBLANK(Data!#REF!),"",Data!#REF!)</f>
        <v>#REF!</v>
      </c>
      <c r="K190" s="22" t="e">
        <f>IF(ISBLANK(Data!#REF!),"",Data!#REF!)</f>
        <v>#REF!</v>
      </c>
      <c r="L190" s="22" t="e">
        <f>IF(ISBLANK(Data!#REF!),"",Data!#REF!)</f>
        <v>#REF!</v>
      </c>
      <c r="M190" s="22"/>
      <c r="N190" s="37" t="e">
        <f>IF(ISBLANK(Data!#REF!),"",Data!#REF!)</f>
        <v>#REF!</v>
      </c>
      <c r="O190" s="37" t="e">
        <f>IF(ISBLANK(Data!#REF!),"",Data!#REF!)</f>
        <v>#REF!</v>
      </c>
      <c r="P190" s="37" t="e">
        <f>IF(ISBLANK(Data!#REF!),"",Data!#REF!)</f>
        <v>#REF!</v>
      </c>
      <c r="Q190" s="37" t="e">
        <f>IF(ISBLANK(Data!#REF!),"",Data!#REF!)</f>
        <v>#REF!</v>
      </c>
    </row>
    <row r="191" spans="1:17" x14ac:dyDescent="0.25">
      <c r="A191" s="23" t="e">
        <f t="shared" si="3"/>
        <v>#REF!</v>
      </c>
      <c r="B191" s="42" t="e">
        <f>IF(ISBLANK(Data!#REF!),"",Data!#REF!)</f>
        <v>#REF!</v>
      </c>
      <c r="C191" s="35" t="e">
        <f>IF(ISBLANK(Data!#REF!),"",Data!#REF!)</f>
        <v>#REF!</v>
      </c>
      <c r="D191" s="36" t="e">
        <f>IF(ISBLANK(Data!#REF!),"",Data!#REF!)</f>
        <v>#REF!</v>
      </c>
      <c r="E191" s="36" t="e">
        <f>IF(ISBLANK(Data!#REF!),"",Data!#REF!)</f>
        <v>#REF!</v>
      </c>
      <c r="F191" s="36" t="e">
        <f>IF(ISBLANK(Data!#REF!),"",Data!#REF!)</f>
        <v>#REF!</v>
      </c>
      <c r="G191" s="37" t="e">
        <f>IF(ISBLANK(Data!#REF!),"",Data!#REF!)</f>
        <v>#REF!</v>
      </c>
      <c r="H191" s="37" t="e">
        <f>IF(ISBLANK(Data!#REF!),"",Data!#REF!)</f>
        <v>#REF!</v>
      </c>
      <c r="I191" s="37" t="e">
        <f>IF(ISBLANK(Data!#REF!),"",Data!#REF!)</f>
        <v>#REF!</v>
      </c>
      <c r="J191" s="37" t="e">
        <f>IF(ISBLANK(Data!#REF!),"",Data!#REF!)</f>
        <v>#REF!</v>
      </c>
      <c r="K191" s="22" t="e">
        <f>IF(ISBLANK(Data!#REF!),"",Data!#REF!)</f>
        <v>#REF!</v>
      </c>
      <c r="L191" s="22" t="e">
        <f>IF(ISBLANK(Data!#REF!),"",Data!#REF!)</f>
        <v>#REF!</v>
      </c>
      <c r="M191" s="22"/>
      <c r="N191" s="37" t="e">
        <f>IF(ISBLANK(Data!#REF!),"",Data!#REF!)</f>
        <v>#REF!</v>
      </c>
      <c r="O191" s="37" t="e">
        <f>IF(ISBLANK(Data!#REF!),"",Data!#REF!)</f>
        <v>#REF!</v>
      </c>
      <c r="P191" s="37" t="e">
        <f>IF(ISBLANK(Data!#REF!),"",Data!#REF!)</f>
        <v>#REF!</v>
      </c>
      <c r="Q191" s="37" t="e">
        <f>IF(ISBLANK(Data!#REF!),"",Data!#REF!)</f>
        <v>#REF!</v>
      </c>
    </row>
    <row r="192" spans="1:17" x14ac:dyDescent="0.25">
      <c r="A192" s="23" t="e">
        <f t="shared" si="3"/>
        <v>#REF!</v>
      </c>
      <c r="B192" s="42" t="e">
        <f>IF(ISBLANK(Data!#REF!),"",Data!#REF!)</f>
        <v>#REF!</v>
      </c>
      <c r="C192" s="35" t="e">
        <f>IF(ISBLANK(Data!#REF!),"",Data!#REF!)</f>
        <v>#REF!</v>
      </c>
      <c r="D192" s="36" t="e">
        <f>IF(ISBLANK(Data!#REF!),"",Data!#REF!)</f>
        <v>#REF!</v>
      </c>
      <c r="E192" s="36" t="e">
        <f>IF(ISBLANK(Data!#REF!),"",Data!#REF!)</f>
        <v>#REF!</v>
      </c>
      <c r="F192" s="36" t="e">
        <f>IF(ISBLANK(Data!#REF!),"",Data!#REF!)</f>
        <v>#REF!</v>
      </c>
      <c r="G192" s="37" t="e">
        <f>IF(ISBLANK(Data!#REF!),"",Data!#REF!)</f>
        <v>#REF!</v>
      </c>
      <c r="H192" s="37" t="e">
        <f>IF(ISBLANK(Data!#REF!),"",Data!#REF!)</f>
        <v>#REF!</v>
      </c>
      <c r="I192" s="37" t="e">
        <f>IF(ISBLANK(Data!#REF!),"",Data!#REF!)</f>
        <v>#REF!</v>
      </c>
      <c r="J192" s="37" t="e">
        <f>IF(ISBLANK(Data!#REF!),"",Data!#REF!)</f>
        <v>#REF!</v>
      </c>
      <c r="K192" s="22" t="e">
        <f>IF(ISBLANK(Data!#REF!),"",Data!#REF!)</f>
        <v>#REF!</v>
      </c>
      <c r="L192" s="22" t="e">
        <f>IF(ISBLANK(Data!#REF!),"",Data!#REF!)</f>
        <v>#REF!</v>
      </c>
      <c r="M192" s="22"/>
      <c r="N192" s="37" t="e">
        <f>IF(ISBLANK(Data!#REF!),"",Data!#REF!)</f>
        <v>#REF!</v>
      </c>
      <c r="O192" s="37" t="e">
        <f>IF(ISBLANK(Data!#REF!),"",Data!#REF!)</f>
        <v>#REF!</v>
      </c>
      <c r="P192" s="37" t="e">
        <f>IF(ISBLANK(Data!#REF!),"",Data!#REF!)</f>
        <v>#REF!</v>
      </c>
      <c r="Q192" s="37" t="e">
        <f>IF(ISBLANK(Data!#REF!),"",Data!#REF!)</f>
        <v>#REF!</v>
      </c>
    </row>
    <row r="193" spans="1:17" x14ac:dyDescent="0.25">
      <c r="A193" s="23" t="e">
        <f t="shared" si="3"/>
        <v>#REF!</v>
      </c>
      <c r="B193" s="42" t="e">
        <f>IF(ISBLANK(Data!#REF!),"",Data!#REF!)</f>
        <v>#REF!</v>
      </c>
      <c r="C193" s="35" t="e">
        <f>IF(ISBLANK(Data!#REF!),"",Data!#REF!)</f>
        <v>#REF!</v>
      </c>
      <c r="D193" s="36" t="e">
        <f>IF(ISBLANK(Data!#REF!),"",Data!#REF!)</f>
        <v>#REF!</v>
      </c>
      <c r="E193" s="36" t="e">
        <f>IF(ISBLANK(Data!#REF!),"",Data!#REF!)</f>
        <v>#REF!</v>
      </c>
      <c r="F193" s="36" t="e">
        <f>IF(ISBLANK(Data!#REF!),"",Data!#REF!)</f>
        <v>#REF!</v>
      </c>
      <c r="G193" s="37" t="e">
        <f>IF(ISBLANK(Data!#REF!),"",Data!#REF!)</f>
        <v>#REF!</v>
      </c>
      <c r="H193" s="37" t="e">
        <f>IF(ISBLANK(Data!#REF!),"",Data!#REF!)</f>
        <v>#REF!</v>
      </c>
      <c r="I193" s="37" t="e">
        <f>IF(ISBLANK(Data!#REF!),"",Data!#REF!)</f>
        <v>#REF!</v>
      </c>
      <c r="J193" s="37" t="e">
        <f>IF(ISBLANK(Data!#REF!),"",Data!#REF!)</f>
        <v>#REF!</v>
      </c>
      <c r="K193" s="22" t="e">
        <f>IF(ISBLANK(Data!#REF!),"",Data!#REF!)</f>
        <v>#REF!</v>
      </c>
      <c r="L193" s="22" t="e">
        <f>IF(ISBLANK(Data!#REF!),"",Data!#REF!)</f>
        <v>#REF!</v>
      </c>
      <c r="M193" s="22"/>
      <c r="N193" s="37" t="e">
        <f>IF(ISBLANK(Data!#REF!),"",Data!#REF!)</f>
        <v>#REF!</v>
      </c>
      <c r="O193" s="37" t="e">
        <f>IF(ISBLANK(Data!#REF!),"",Data!#REF!)</f>
        <v>#REF!</v>
      </c>
      <c r="P193" s="37" t="e">
        <f>IF(ISBLANK(Data!#REF!),"",Data!#REF!)</f>
        <v>#REF!</v>
      </c>
      <c r="Q193" s="37" t="e">
        <f>IF(ISBLANK(Data!#REF!),"",Data!#REF!)</f>
        <v>#REF!</v>
      </c>
    </row>
    <row r="194" spans="1:17" x14ac:dyDescent="0.25">
      <c r="A194" s="23" t="e">
        <f t="shared" si="3"/>
        <v>#REF!</v>
      </c>
      <c r="B194" s="42" t="e">
        <f>IF(ISBLANK(Data!#REF!),"",Data!#REF!)</f>
        <v>#REF!</v>
      </c>
      <c r="C194" s="35" t="e">
        <f>IF(ISBLANK(Data!#REF!),"",Data!#REF!)</f>
        <v>#REF!</v>
      </c>
      <c r="D194" s="36" t="e">
        <f>IF(ISBLANK(Data!#REF!),"",Data!#REF!)</f>
        <v>#REF!</v>
      </c>
      <c r="E194" s="36" t="e">
        <f>IF(ISBLANK(Data!#REF!),"",Data!#REF!)</f>
        <v>#REF!</v>
      </c>
      <c r="F194" s="36" t="e">
        <f>IF(ISBLANK(Data!#REF!),"",Data!#REF!)</f>
        <v>#REF!</v>
      </c>
      <c r="G194" s="37" t="e">
        <f>IF(ISBLANK(Data!#REF!),"",Data!#REF!)</f>
        <v>#REF!</v>
      </c>
      <c r="H194" s="37" t="e">
        <f>IF(ISBLANK(Data!#REF!),"",Data!#REF!)</f>
        <v>#REF!</v>
      </c>
      <c r="I194" s="37" t="e">
        <f>IF(ISBLANK(Data!#REF!),"",Data!#REF!)</f>
        <v>#REF!</v>
      </c>
      <c r="J194" s="37" t="e">
        <f>IF(ISBLANK(Data!#REF!),"",Data!#REF!)</f>
        <v>#REF!</v>
      </c>
      <c r="K194" s="22" t="e">
        <f>IF(ISBLANK(Data!#REF!),"",Data!#REF!)</f>
        <v>#REF!</v>
      </c>
      <c r="L194" s="22" t="e">
        <f>IF(ISBLANK(Data!#REF!),"",Data!#REF!)</f>
        <v>#REF!</v>
      </c>
      <c r="M194" s="22"/>
      <c r="N194" s="37" t="e">
        <f>IF(ISBLANK(Data!#REF!),"",Data!#REF!)</f>
        <v>#REF!</v>
      </c>
      <c r="O194" s="37" t="e">
        <f>IF(ISBLANK(Data!#REF!),"",Data!#REF!)</f>
        <v>#REF!</v>
      </c>
      <c r="P194" s="37" t="e">
        <f>IF(ISBLANK(Data!#REF!),"",Data!#REF!)</f>
        <v>#REF!</v>
      </c>
      <c r="Q194" s="37" t="e">
        <f>IF(ISBLANK(Data!#REF!),"",Data!#REF!)</f>
        <v>#REF!</v>
      </c>
    </row>
    <row r="195" spans="1:17" x14ac:dyDescent="0.25">
      <c r="A195" s="23" t="e">
        <f t="shared" ref="A195:A258" si="4">IF(B195="","",YEAR(B195))</f>
        <v>#REF!</v>
      </c>
      <c r="B195" s="42" t="e">
        <f>IF(ISBLANK(Data!#REF!),"",Data!#REF!)</f>
        <v>#REF!</v>
      </c>
      <c r="C195" s="35" t="e">
        <f>IF(ISBLANK(Data!#REF!),"",Data!#REF!)</f>
        <v>#REF!</v>
      </c>
      <c r="D195" s="36" t="e">
        <f>IF(ISBLANK(Data!#REF!),"",Data!#REF!)</f>
        <v>#REF!</v>
      </c>
      <c r="E195" s="36" t="e">
        <f>IF(ISBLANK(Data!#REF!),"",Data!#REF!)</f>
        <v>#REF!</v>
      </c>
      <c r="F195" s="36" t="e">
        <f>IF(ISBLANK(Data!#REF!),"",Data!#REF!)</f>
        <v>#REF!</v>
      </c>
      <c r="G195" s="37" t="e">
        <f>IF(ISBLANK(Data!#REF!),"",Data!#REF!)</f>
        <v>#REF!</v>
      </c>
      <c r="H195" s="37" t="e">
        <f>IF(ISBLANK(Data!#REF!),"",Data!#REF!)</f>
        <v>#REF!</v>
      </c>
      <c r="I195" s="37" t="e">
        <f>IF(ISBLANK(Data!#REF!),"",Data!#REF!)</f>
        <v>#REF!</v>
      </c>
      <c r="J195" s="37" t="e">
        <f>IF(ISBLANK(Data!#REF!),"",Data!#REF!)</f>
        <v>#REF!</v>
      </c>
      <c r="K195" s="22" t="e">
        <f>IF(ISBLANK(Data!#REF!),"",Data!#REF!)</f>
        <v>#REF!</v>
      </c>
      <c r="L195" s="22" t="e">
        <f>IF(ISBLANK(Data!#REF!),"",Data!#REF!)</f>
        <v>#REF!</v>
      </c>
      <c r="M195" s="22"/>
      <c r="N195" s="37" t="e">
        <f>IF(ISBLANK(Data!#REF!),"",Data!#REF!)</f>
        <v>#REF!</v>
      </c>
      <c r="O195" s="37" t="e">
        <f>IF(ISBLANK(Data!#REF!),"",Data!#REF!)</f>
        <v>#REF!</v>
      </c>
      <c r="P195" s="37" t="e">
        <f>IF(ISBLANK(Data!#REF!),"",Data!#REF!)</f>
        <v>#REF!</v>
      </c>
      <c r="Q195" s="37" t="e">
        <f>IF(ISBLANK(Data!#REF!),"",Data!#REF!)</f>
        <v>#REF!</v>
      </c>
    </row>
    <row r="196" spans="1:17" x14ac:dyDescent="0.25">
      <c r="A196" s="23" t="e">
        <f t="shared" si="4"/>
        <v>#REF!</v>
      </c>
      <c r="B196" s="42" t="e">
        <f>IF(ISBLANK(Data!#REF!),"",Data!#REF!)</f>
        <v>#REF!</v>
      </c>
      <c r="C196" s="35" t="e">
        <f>IF(ISBLANK(Data!#REF!),"",Data!#REF!)</f>
        <v>#REF!</v>
      </c>
      <c r="D196" s="36" t="e">
        <f>IF(ISBLANK(Data!#REF!),"",Data!#REF!)</f>
        <v>#REF!</v>
      </c>
      <c r="E196" s="36" t="e">
        <f>IF(ISBLANK(Data!#REF!),"",Data!#REF!)</f>
        <v>#REF!</v>
      </c>
      <c r="F196" s="36" t="e">
        <f>IF(ISBLANK(Data!#REF!),"",Data!#REF!)</f>
        <v>#REF!</v>
      </c>
      <c r="G196" s="37" t="e">
        <f>IF(ISBLANK(Data!#REF!),"",Data!#REF!)</f>
        <v>#REF!</v>
      </c>
      <c r="H196" s="37" t="e">
        <f>IF(ISBLANK(Data!#REF!),"",Data!#REF!)</f>
        <v>#REF!</v>
      </c>
      <c r="I196" s="37" t="e">
        <f>IF(ISBLANK(Data!#REF!),"",Data!#REF!)</f>
        <v>#REF!</v>
      </c>
      <c r="J196" s="37" t="e">
        <f>IF(ISBLANK(Data!#REF!),"",Data!#REF!)</f>
        <v>#REF!</v>
      </c>
      <c r="K196" s="22" t="e">
        <f>IF(ISBLANK(Data!#REF!),"",Data!#REF!)</f>
        <v>#REF!</v>
      </c>
      <c r="L196" s="22" t="e">
        <f>IF(ISBLANK(Data!#REF!),"",Data!#REF!)</f>
        <v>#REF!</v>
      </c>
      <c r="M196" s="22"/>
      <c r="N196" s="37" t="e">
        <f>IF(ISBLANK(Data!#REF!),"",Data!#REF!)</f>
        <v>#REF!</v>
      </c>
      <c r="O196" s="37" t="e">
        <f>IF(ISBLANK(Data!#REF!),"",Data!#REF!)</f>
        <v>#REF!</v>
      </c>
      <c r="P196" s="37" t="e">
        <f>IF(ISBLANK(Data!#REF!),"",Data!#REF!)</f>
        <v>#REF!</v>
      </c>
      <c r="Q196" s="37" t="e">
        <f>IF(ISBLANK(Data!#REF!),"",Data!#REF!)</f>
        <v>#REF!</v>
      </c>
    </row>
    <row r="197" spans="1:17" x14ac:dyDescent="0.25">
      <c r="A197" s="23" t="e">
        <f t="shared" si="4"/>
        <v>#REF!</v>
      </c>
      <c r="B197" s="42" t="e">
        <f>IF(ISBLANK(Data!#REF!),"",Data!#REF!)</f>
        <v>#REF!</v>
      </c>
      <c r="C197" s="35" t="e">
        <f>IF(ISBLANK(Data!#REF!),"",Data!#REF!)</f>
        <v>#REF!</v>
      </c>
      <c r="D197" s="36" t="e">
        <f>IF(ISBLANK(Data!#REF!),"",Data!#REF!)</f>
        <v>#REF!</v>
      </c>
      <c r="E197" s="36" t="e">
        <f>IF(ISBLANK(Data!#REF!),"",Data!#REF!)</f>
        <v>#REF!</v>
      </c>
      <c r="F197" s="36" t="e">
        <f>IF(ISBLANK(Data!#REF!),"",Data!#REF!)</f>
        <v>#REF!</v>
      </c>
      <c r="G197" s="37" t="e">
        <f>IF(ISBLANK(Data!#REF!),"",Data!#REF!)</f>
        <v>#REF!</v>
      </c>
      <c r="H197" s="37" t="e">
        <f>IF(ISBLANK(Data!#REF!),"",Data!#REF!)</f>
        <v>#REF!</v>
      </c>
      <c r="I197" s="37" t="e">
        <f>IF(ISBLANK(Data!#REF!),"",Data!#REF!)</f>
        <v>#REF!</v>
      </c>
      <c r="J197" s="37" t="e">
        <f>IF(ISBLANK(Data!#REF!),"",Data!#REF!)</f>
        <v>#REF!</v>
      </c>
      <c r="K197" s="22" t="e">
        <f>IF(ISBLANK(Data!#REF!),"",Data!#REF!)</f>
        <v>#REF!</v>
      </c>
      <c r="L197" s="22" t="e">
        <f>IF(ISBLANK(Data!#REF!),"",Data!#REF!)</f>
        <v>#REF!</v>
      </c>
      <c r="M197" s="22"/>
      <c r="N197" s="37" t="e">
        <f>IF(ISBLANK(Data!#REF!),"",Data!#REF!)</f>
        <v>#REF!</v>
      </c>
      <c r="O197" s="37" t="e">
        <f>IF(ISBLANK(Data!#REF!),"",Data!#REF!)</f>
        <v>#REF!</v>
      </c>
      <c r="P197" s="37" t="e">
        <f>IF(ISBLANK(Data!#REF!),"",Data!#REF!)</f>
        <v>#REF!</v>
      </c>
      <c r="Q197" s="37" t="e">
        <f>IF(ISBLANK(Data!#REF!),"",Data!#REF!)</f>
        <v>#REF!</v>
      </c>
    </row>
    <row r="198" spans="1:17" x14ac:dyDescent="0.25">
      <c r="A198" s="23" t="e">
        <f t="shared" si="4"/>
        <v>#REF!</v>
      </c>
      <c r="B198" s="42" t="e">
        <f>IF(ISBLANK(Data!#REF!),"",Data!#REF!)</f>
        <v>#REF!</v>
      </c>
      <c r="C198" s="35" t="e">
        <f>IF(ISBLANK(Data!#REF!),"",Data!#REF!)</f>
        <v>#REF!</v>
      </c>
      <c r="D198" s="36" t="e">
        <f>IF(ISBLANK(Data!#REF!),"",Data!#REF!)</f>
        <v>#REF!</v>
      </c>
      <c r="E198" s="36" t="e">
        <f>IF(ISBLANK(Data!#REF!),"",Data!#REF!)</f>
        <v>#REF!</v>
      </c>
      <c r="F198" s="36" t="e">
        <f>IF(ISBLANK(Data!#REF!),"",Data!#REF!)</f>
        <v>#REF!</v>
      </c>
      <c r="G198" s="37" t="e">
        <f>IF(ISBLANK(Data!#REF!),"",Data!#REF!)</f>
        <v>#REF!</v>
      </c>
      <c r="H198" s="37" t="e">
        <f>IF(ISBLANK(Data!#REF!),"",Data!#REF!)</f>
        <v>#REF!</v>
      </c>
      <c r="I198" s="37" t="e">
        <f>IF(ISBLANK(Data!#REF!),"",Data!#REF!)</f>
        <v>#REF!</v>
      </c>
      <c r="J198" s="37" t="e">
        <f>IF(ISBLANK(Data!#REF!),"",Data!#REF!)</f>
        <v>#REF!</v>
      </c>
      <c r="K198" s="22" t="e">
        <f>IF(ISBLANK(Data!#REF!),"",Data!#REF!)</f>
        <v>#REF!</v>
      </c>
      <c r="L198" s="22" t="e">
        <f>IF(ISBLANK(Data!#REF!),"",Data!#REF!)</f>
        <v>#REF!</v>
      </c>
      <c r="M198" s="22"/>
      <c r="N198" s="37" t="e">
        <f>IF(ISBLANK(Data!#REF!),"",Data!#REF!)</f>
        <v>#REF!</v>
      </c>
      <c r="O198" s="37" t="e">
        <f>IF(ISBLANK(Data!#REF!),"",Data!#REF!)</f>
        <v>#REF!</v>
      </c>
      <c r="P198" s="37" t="e">
        <f>IF(ISBLANK(Data!#REF!),"",Data!#REF!)</f>
        <v>#REF!</v>
      </c>
      <c r="Q198" s="37" t="e">
        <f>IF(ISBLANK(Data!#REF!),"",Data!#REF!)</f>
        <v>#REF!</v>
      </c>
    </row>
    <row r="199" spans="1:17" x14ac:dyDescent="0.25">
      <c r="A199" s="23" t="e">
        <f t="shared" si="4"/>
        <v>#REF!</v>
      </c>
      <c r="B199" s="42" t="e">
        <f>IF(ISBLANK(Data!#REF!),"",Data!#REF!)</f>
        <v>#REF!</v>
      </c>
      <c r="C199" s="35" t="e">
        <f>IF(ISBLANK(Data!#REF!),"",Data!#REF!)</f>
        <v>#REF!</v>
      </c>
      <c r="D199" s="36" t="e">
        <f>IF(ISBLANK(Data!#REF!),"",Data!#REF!)</f>
        <v>#REF!</v>
      </c>
      <c r="E199" s="36" t="e">
        <f>IF(ISBLANK(Data!#REF!),"",Data!#REF!)</f>
        <v>#REF!</v>
      </c>
      <c r="F199" s="36" t="e">
        <f>IF(ISBLANK(Data!#REF!),"",Data!#REF!)</f>
        <v>#REF!</v>
      </c>
      <c r="G199" s="37" t="e">
        <f>IF(ISBLANK(Data!#REF!),"",Data!#REF!)</f>
        <v>#REF!</v>
      </c>
      <c r="H199" s="37" t="e">
        <f>IF(ISBLANK(Data!#REF!),"",Data!#REF!)</f>
        <v>#REF!</v>
      </c>
      <c r="I199" s="37" t="e">
        <f>IF(ISBLANK(Data!#REF!),"",Data!#REF!)</f>
        <v>#REF!</v>
      </c>
      <c r="J199" s="37" t="e">
        <f>IF(ISBLANK(Data!#REF!),"",Data!#REF!)</f>
        <v>#REF!</v>
      </c>
      <c r="K199" s="22" t="e">
        <f>IF(ISBLANK(Data!#REF!),"",Data!#REF!)</f>
        <v>#REF!</v>
      </c>
      <c r="L199" s="22" t="e">
        <f>IF(ISBLANK(Data!#REF!),"",Data!#REF!)</f>
        <v>#REF!</v>
      </c>
      <c r="M199" s="22"/>
      <c r="N199" s="37" t="e">
        <f>IF(ISBLANK(Data!#REF!),"",Data!#REF!)</f>
        <v>#REF!</v>
      </c>
      <c r="O199" s="37" t="e">
        <f>IF(ISBLANK(Data!#REF!),"",Data!#REF!)</f>
        <v>#REF!</v>
      </c>
      <c r="P199" s="37" t="e">
        <f>IF(ISBLANK(Data!#REF!),"",Data!#REF!)</f>
        <v>#REF!</v>
      </c>
      <c r="Q199" s="37" t="e">
        <f>IF(ISBLANK(Data!#REF!),"",Data!#REF!)</f>
        <v>#REF!</v>
      </c>
    </row>
    <row r="200" spans="1:17" x14ac:dyDescent="0.25">
      <c r="A200" s="23" t="e">
        <f t="shared" si="4"/>
        <v>#REF!</v>
      </c>
      <c r="B200" s="42" t="e">
        <f>IF(ISBLANK(Data!#REF!),"",Data!#REF!)</f>
        <v>#REF!</v>
      </c>
      <c r="C200" s="35" t="e">
        <f>IF(ISBLANK(Data!#REF!),"",Data!#REF!)</f>
        <v>#REF!</v>
      </c>
      <c r="D200" s="36" t="e">
        <f>IF(ISBLANK(Data!#REF!),"",Data!#REF!)</f>
        <v>#REF!</v>
      </c>
      <c r="E200" s="36" t="e">
        <f>IF(ISBLANK(Data!#REF!),"",Data!#REF!)</f>
        <v>#REF!</v>
      </c>
      <c r="F200" s="36" t="e">
        <f>IF(ISBLANK(Data!#REF!),"",Data!#REF!)</f>
        <v>#REF!</v>
      </c>
      <c r="G200" s="37" t="e">
        <f>IF(ISBLANK(Data!#REF!),"",Data!#REF!)</f>
        <v>#REF!</v>
      </c>
      <c r="H200" s="37" t="e">
        <f>IF(ISBLANK(Data!#REF!),"",Data!#REF!)</f>
        <v>#REF!</v>
      </c>
      <c r="I200" s="37" t="e">
        <f>IF(ISBLANK(Data!#REF!),"",Data!#REF!)</f>
        <v>#REF!</v>
      </c>
      <c r="J200" s="37" t="e">
        <f>IF(ISBLANK(Data!#REF!),"",Data!#REF!)</f>
        <v>#REF!</v>
      </c>
      <c r="K200" s="22" t="e">
        <f>IF(ISBLANK(Data!#REF!),"",Data!#REF!)</f>
        <v>#REF!</v>
      </c>
      <c r="L200" s="22" t="e">
        <f>IF(ISBLANK(Data!#REF!),"",Data!#REF!)</f>
        <v>#REF!</v>
      </c>
      <c r="M200" s="22"/>
      <c r="N200" s="37" t="e">
        <f>IF(ISBLANK(Data!#REF!),"",Data!#REF!)</f>
        <v>#REF!</v>
      </c>
      <c r="O200" s="37" t="e">
        <f>IF(ISBLANK(Data!#REF!),"",Data!#REF!)</f>
        <v>#REF!</v>
      </c>
      <c r="P200" s="37" t="e">
        <f>IF(ISBLANK(Data!#REF!),"",Data!#REF!)</f>
        <v>#REF!</v>
      </c>
      <c r="Q200" s="37" t="e">
        <f>IF(ISBLANK(Data!#REF!),"",Data!#REF!)</f>
        <v>#REF!</v>
      </c>
    </row>
    <row r="201" spans="1:17" x14ac:dyDescent="0.25">
      <c r="A201" s="23" t="e">
        <f t="shared" si="4"/>
        <v>#REF!</v>
      </c>
      <c r="B201" s="42" t="e">
        <f>IF(ISBLANK(Data!#REF!),"",Data!#REF!)</f>
        <v>#REF!</v>
      </c>
      <c r="C201" s="35" t="e">
        <f>IF(ISBLANK(Data!#REF!),"",Data!#REF!)</f>
        <v>#REF!</v>
      </c>
      <c r="D201" s="36" t="e">
        <f>IF(ISBLANK(Data!#REF!),"",Data!#REF!)</f>
        <v>#REF!</v>
      </c>
      <c r="E201" s="36" t="e">
        <f>IF(ISBLANK(Data!#REF!),"",Data!#REF!)</f>
        <v>#REF!</v>
      </c>
      <c r="F201" s="36" t="e">
        <f>IF(ISBLANK(Data!#REF!),"",Data!#REF!)</f>
        <v>#REF!</v>
      </c>
      <c r="G201" s="37" t="e">
        <f>IF(ISBLANK(Data!#REF!),"",Data!#REF!)</f>
        <v>#REF!</v>
      </c>
      <c r="H201" s="37" t="e">
        <f>IF(ISBLANK(Data!#REF!),"",Data!#REF!)</f>
        <v>#REF!</v>
      </c>
      <c r="I201" s="37" t="e">
        <f>IF(ISBLANK(Data!#REF!),"",Data!#REF!)</f>
        <v>#REF!</v>
      </c>
      <c r="J201" s="37" t="e">
        <f>IF(ISBLANK(Data!#REF!),"",Data!#REF!)</f>
        <v>#REF!</v>
      </c>
      <c r="K201" s="22" t="e">
        <f>IF(ISBLANK(Data!#REF!),"",Data!#REF!)</f>
        <v>#REF!</v>
      </c>
      <c r="L201" s="22" t="e">
        <f>IF(ISBLANK(Data!#REF!),"",Data!#REF!)</f>
        <v>#REF!</v>
      </c>
      <c r="M201" s="22"/>
      <c r="N201" s="37" t="e">
        <f>IF(ISBLANK(Data!#REF!),"",Data!#REF!)</f>
        <v>#REF!</v>
      </c>
      <c r="O201" s="37" t="e">
        <f>IF(ISBLANK(Data!#REF!),"",Data!#REF!)</f>
        <v>#REF!</v>
      </c>
      <c r="P201" s="37" t="e">
        <f>IF(ISBLANK(Data!#REF!),"",Data!#REF!)</f>
        <v>#REF!</v>
      </c>
      <c r="Q201" s="37" t="e">
        <f>IF(ISBLANK(Data!#REF!),"",Data!#REF!)</f>
        <v>#REF!</v>
      </c>
    </row>
    <row r="202" spans="1:17" x14ac:dyDescent="0.25">
      <c r="A202" s="23" t="e">
        <f t="shared" si="4"/>
        <v>#REF!</v>
      </c>
      <c r="B202" s="42" t="e">
        <f>IF(ISBLANK(Data!#REF!),"",Data!#REF!)</f>
        <v>#REF!</v>
      </c>
      <c r="C202" s="35" t="e">
        <f>IF(ISBLANK(Data!#REF!),"",Data!#REF!)</f>
        <v>#REF!</v>
      </c>
      <c r="D202" s="36" t="e">
        <f>IF(ISBLANK(Data!#REF!),"",Data!#REF!)</f>
        <v>#REF!</v>
      </c>
      <c r="E202" s="36" t="e">
        <f>IF(ISBLANK(Data!#REF!),"",Data!#REF!)</f>
        <v>#REF!</v>
      </c>
      <c r="F202" s="36" t="e">
        <f>IF(ISBLANK(Data!#REF!),"",Data!#REF!)</f>
        <v>#REF!</v>
      </c>
      <c r="G202" s="37" t="e">
        <f>IF(ISBLANK(Data!#REF!),"",Data!#REF!)</f>
        <v>#REF!</v>
      </c>
      <c r="H202" s="37" t="e">
        <f>IF(ISBLANK(Data!#REF!),"",Data!#REF!)</f>
        <v>#REF!</v>
      </c>
      <c r="I202" s="37" t="e">
        <f>IF(ISBLANK(Data!#REF!),"",Data!#REF!)</f>
        <v>#REF!</v>
      </c>
      <c r="J202" s="37" t="e">
        <f>IF(ISBLANK(Data!#REF!),"",Data!#REF!)</f>
        <v>#REF!</v>
      </c>
      <c r="K202" s="22" t="e">
        <f>IF(ISBLANK(Data!#REF!),"",Data!#REF!)</f>
        <v>#REF!</v>
      </c>
      <c r="L202" s="22" t="e">
        <f>IF(ISBLANK(Data!#REF!),"",Data!#REF!)</f>
        <v>#REF!</v>
      </c>
      <c r="M202" s="22"/>
      <c r="N202" s="37" t="e">
        <f>IF(ISBLANK(Data!#REF!),"",Data!#REF!)</f>
        <v>#REF!</v>
      </c>
      <c r="O202" s="37" t="e">
        <f>IF(ISBLANK(Data!#REF!),"",Data!#REF!)</f>
        <v>#REF!</v>
      </c>
      <c r="P202" s="37" t="e">
        <f>IF(ISBLANK(Data!#REF!),"",Data!#REF!)</f>
        <v>#REF!</v>
      </c>
      <c r="Q202" s="37" t="e">
        <f>IF(ISBLANK(Data!#REF!),"",Data!#REF!)</f>
        <v>#REF!</v>
      </c>
    </row>
    <row r="203" spans="1:17" x14ac:dyDescent="0.25">
      <c r="A203" s="23" t="e">
        <f t="shared" si="4"/>
        <v>#REF!</v>
      </c>
      <c r="B203" s="42" t="e">
        <f>IF(ISBLANK(Data!#REF!),"",Data!#REF!)</f>
        <v>#REF!</v>
      </c>
      <c r="C203" s="35" t="e">
        <f>IF(ISBLANK(Data!#REF!),"",Data!#REF!)</f>
        <v>#REF!</v>
      </c>
      <c r="D203" s="36" t="e">
        <f>IF(ISBLANK(Data!#REF!),"",Data!#REF!)</f>
        <v>#REF!</v>
      </c>
      <c r="E203" s="36" t="e">
        <f>IF(ISBLANK(Data!#REF!),"",Data!#REF!)</f>
        <v>#REF!</v>
      </c>
      <c r="F203" s="36" t="e">
        <f>IF(ISBLANK(Data!#REF!),"",Data!#REF!)</f>
        <v>#REF!</v>
      </c>
      <c r="G203" s="37" t="e">
        <f>IF(ISBLANK(Data!#REF!),"",Data!#REF!)</f>
        <v>#REF!</v>
      </c>
      <c r="H203" s="37" t="e">
        <f>IF(ISBLANK(Data!#REF!),"",Data!#REF!)</f>
        <v>#REF!</v>
      </c>
      <c r="I203" s="37" t="e">
        <f>IF(ISBLANK(Data!#REF!),"",Data!#REF!)</f>
        <v>#REF!</v>
      </c>
      <c r="J203" s="37" t="e">
        <f>IF(ISBLANK(Data!#REF!),"",Data!#REF!)</f>
        <v>#REF!</v>
      </c>
      <c r="K203" s="22" t="e">
        <f>IF(ISBLANK(Data!#REF!),"",Data!#REF!)</f>
        <v>#REF!</v>
      </c>
      <c r="L203" s="22" t="e">
        <f>IF(ISBLANK(Data!#REF!),"",Data!#REF!)</f>
        <v>#REF!</v>
      </c>
      <c r="M203" s="22"/>
      <c r="N203" s="37" t="e">
        <f>IF(ISBLANK(Data!#REF!),"",Data!#REF!)</f>
        <v>#REF!</v>
      </c>
      <c r="O203" s="37" t="e">
        <f>IF(ISBLANK(Data!#REF!),"",Data!#REF!)</f>
        <v>#REF!</v>
      </c>
      <c r="P203" s="37" t="e">
        <f>IF(ISBLANK(Data!#REF!),"",Data!#REF!)</f>
        <v>#REF!</v>
      </c>
      <c r="Q203" s="37" t="e">
        <f>IF(ISBLANK(Data!#REF!),"",Data!#REF!)</f>
        <v>#REF!</v>
      </c>
    </row>
    <row r="204" spans="1:17" x14ac:dyDescent="0.25">
      <c r="A204" s="23" t="e">
        <f t="shared" si="4"/>
        <v>#REF!</v>
      </c>
      <c r="B204" s="42" t="e">
        <f>IF(ISBLANK(Data!#REF!),"",Data!#REF!)</f>
        <v>#REF!</v>
      </c>
      <c r="C204" s="35" t="e">
        <f>IF(ISBLANK(Data!#REF!),"",Data!#REF!)</f>
        <v>#REF!</v>
      </c>
      <c r="D204" s="36" t="e">
        <f>IF(ISBLANK(Data!#REF!),"",Data!#REF!)</f>
        <v>#REF!</v>
      </c>
      <c r="E204" s="36" t="e">
        <f>IF(ISBLANK(Data!#REF!),"",Data!#REF!)</f>
        <v>#REF!</v>
      </c>
      <c r="F204" s="36" t="e">
        <f>IF(ISBLANK(Data!#REF!),"",Data!#REF!)</f>
        <v>#REF!</v>
      </c>
      <c r="G204" s="37" t="e">
        <f>IF(ISBLANK(Data!#REF!),"",Data!#REF!)</f>
        <v>#REF!</v>
      </c>
      <c r="H204" s="37" t="e">
        <f>IF(ISBLANK(Data!#REF!),"",Data!#REF!)</f>
        <v>#REF!</v>
      </c>
      <c r="I204" s="37" t="e">
        <f>IF(ISBLANK(Data!#REF!),"",Data!#REF!)</f>
        <v>#REF!</v>
      </c>
      <c r="J204" s="37" t="e">
        <f>IF(ISBLANK(Data!#REF!),"",Data!#REF!)</f>
        <v>#REF!</v>
      </c>
      <c r="K204" s="22" t="e">
        <f>IF(ISBLANK(Data!#REF!),"",Data!#REF!)</f>
        <v>#REF!</v>
      </c>
      <c r="L204" s="22" t="e">
        <f>IF(ISBLANK(Data!#REF!),"",Data!#REF!)</f>
        <v>#REF!</v>
      </c>
      <c r="M204" s="22"/>
      <c r="N204" s="37" t="e">
        <f>IF(ISBLANK(Data!#REF!),"",Data!#REF!)</f>
        <v>#REF!</v>
      </c>
      <c r="O204" s="37" t="e">
        <f>IF(ISBLANK(Data!#REF!),"",Data!#REF!)</f>
        <v>#REF!</v>
      </c>
      <c r="P204" s="37" t="e">
        <f>IF(ISBLANK(Data!#REF!),"",Data!#REF!)</f>
        <v>#REF!</v>
      </c>
      <c r="Q204" s="37" t="e">
        <f>IF(ISBLANK(Data!#REF!),"",Data!#REF!)</f>
        <v>#REF!</v>
      </c>
    </row>
    <row r="205" spans="1:17" x14ac:dyDescent="0.25">
      <c r="A205" s="23" t="e">
        <f t="shared" si="4"/>
        <v>#REF!</v>
      </c>
      <c r="B205" s="42" t="e">
        <f>IF(ISBLANK(Data!#REF!),"",Data!#REF!)</f>
        <v>#REF!</v>
      </c>
      <c r="C205" s="35" t="e">
        <f>IF(ISBLANK(Data!#REF!),"",Data!#REF!)</f>
        <v>#REF!</v>
      </c>
      <c r="D205" s="36" t="e">
        <f>IF(ISBLANK(Data!#REF!),"",Data!#REF!)</f>
        <v>#REF!</v>
      </c>
      <c r="E205" s="36" t="e">
        <f>IF(ISBLANK(Data!#REF!),"",Data!#REF!)</f>
        <v>#REF!</v>
      </c>
      <c r="F205" s="36" t="e">
        <f>IF(ISBLANK(Data!#REF!),"",Data!#REF!)</f>
        <v>#REF!</v>
      </c>
      <c r="G205" s="37" t="e">
        <f>IF(ISBLANK(Data!#REF!),"",Data!#REF!)</f>
        <v>#REF!</v>
      </c>
      <c r="H205" s="37" t="e">
        <f>IF(ISBLANK(Data!#REF!),"",Data!#REF!)</f>
        <v>#REF!</v>
      </c>
      <c r="I205" s="37" t="e">
        <f>IF(ISBLANK(Data!#REF!),"",Data!#REF!)</f>
        <v>#REF!</v>
      </c>
      <c r="J205" s="37" t="e">
        <f>IF(ISBLANK(Data!#REF!),"",Data!#REF!)</f>
        <v>#REF!</v>
      </c>
      <c r="K205" s="22" t="e">
        <f>IF(ISBLANK(Data!#REF!),"",Data!#REF!)</f>
        <v>#REF!</v>
      </c>
      <c r="L205" s="22" t="e">
        <f>IF(ISBLANK(Data!#REF!),"",Data!#REF!)</f>
        <v>#REF!</v>
      </c>
      <c r="M205" s="22"/>
      <c r="N205" s="37" t="e">
        <f>IF(ISBLANK(Data!#REF!),"",Data!#REF!)</f>
        <v>#REF!</v>
      </c>
      <c r="O205" s="37" t="e">
        <f>IF(ISBLANK(Data!#REF!),"",Data!#REF!)</f>
        <v>#REF!</v>
      </c>
      <c r="P205" s="37" t="e">
        <f>IF(ISBLANK(Data!#REF!),"",Data!#REF!)</f>
        <v>#REF!</v>
      </c>
      <c r="Q205" s="37" t="e">
        <f>IF(ISBLANK(Data!#REF!),"",Data!#REF!)</f>
        <v>#REF!</v>
      </c>
    </row>
    <row r="206" spans="1:17" x14ac:dyDescent="0.25">
      <c r="A206" s="23" t="e">
        <f t="shared" si="4"/>
        <v>#REF!</v>
      </c>
      <c r="B206" s="42" t="e">
        <f>IF(ISBLANK(Data!#REF!),"",Data!#REF!)</f>
        <v>#REF!</v>
      </c>
      <c r="C206" s="35" t="e">
        <f>IF(ISBLANK(Data!#REF!),"",Data!#REF!)</f>
        <v>#REF!</v>
      </c>
      <c r="D206" s="36" t="e">
        <f>IF(ISBLANK(Data!#REF!),"",Data!#REF!)</f>
        <v>#REF!</v>
      </c>
      <c r="E206" s="36" t="e">
        <f>IF(ISBLANK(Data!#REF!),"",Data!#REF!)</f>
        <v>#REF!</v>
      </c>
      <c r="F206" s="36" t="e">
        <f>IF(ISBLANK(Data!#REF!),"",Data!#REF!)</f>
        <v>#REF!</v>
      </c>
      <c r="G206" s="37" t="e">
        <f>IF(ISBLANK(Data!#REF!),"",Data!#REF!)</f>
        <v>#REF!</v>
      </c>
      <c r="H206" s="37" t="e">
        <f>IF(ISBLANK(Data!#REF!),"",Data!#REF!)</f>
        <v>#REF!</v>
      </c>
      <c r="I206" s="37" t="e">
        <f>IF(ISBLANK(Data!#REF!),"",Data!#REF!)</f>
        <v>#REF!</v>
      </c>
      <c r="J206" s="37" t="e">
        <f>IF(ISBLANK(Data!#REF!),"",Data!#REF!)</f>
        <v>#REF!</v>
      </c>
      <c r="K206" s="22" t="e">
        <f>IF(ISBLANK(Data!#REF!),"",Data!#REF!)</f>
        <v>#REF!</v>
      </c>
      <c r="L206" s="22" t="e">
        <f>IF(ISBLANK(Data!#REF!),"",Data!#REF!)</f>
        <v>#REF!</v>
      </c>
      <c r="M206" s="22"/>
      <c r="N206" s="37" t="e">
        <f>IF(ISBLANK(Data!#REF!),"",Data!#REF!)</f>
        <v>#REF!</v>
      </c>
      <c r="O206" s="37" t="e">
        <f>IF(ISBLANK(Data!#REF!),"",Data!#REF!)</f>
        <v>#REF!</v>
      </c>
      <c r="P206" s="37" t="e">
        <f>IF(ISBLANK(Data!#REF!),"",Data!#REF!)</f>
        <v>#REF!</v>
      </c>
      <c r="Q206" s="37" t="e">
        <f>IF(ISBLANK(Data!#REF!),"",Data!#REF!)</f>
        <v>#REF!</v>
      </c>
    </row>
    <row r="207" spans="1:17" x14ac:dyDescent="0.25">
      <c r="A207" s="23" t="e">
        <f t="shared" si="4"/>
        <v>#REF!</v>
      </c>
      <c r="B207" s="42" t="e">
        <f>IF(ISBLANK(Data!#REF!),"",Data!#REF!)</f>
        <v>#REF!</v>
      </c>
      <c r="C207" s="35" t="e">
        <f>IF(ISBLANK(Data!#REF!),"",Data!#REF!)</f>
        <v>#REF!</v>
      </c>
      <c r="D207" s="36" t="e">
        <f>IF(ISBLANK(Data!#REF!),"",Data!#REF!)</f>
        <v>#REF!</v>
      </c>
      <c r="E207" s="36" t="e">
        <f>IF(ISBLANK(Data!#REF!),"",Data!#REF!)</f>
        <v>#REF!</v>
      </c>
      <c r="F207" s="36" t="e">
        <f>IF(ISBLANK(Data!#REF!),"",Data!#REF!)</f>
        <v>#REF!</v>
      </c>
      <c r="G207" s="37" t="e">
        <f>IF(ISBLANK(Data!#REF!),"",Data!#REF!)</f>
        <v>#REF!</v>
      </c>
      <c r="H207" s="37" t="e">
        <f>IF(ISBLANK(Data!#REF!),"",Data!#REF!)</f>
        <v>#REF!</v>
      </c>
      <c r="I207" s="37" t="e">
        <f>IF(ISBLANK(Data!#REF!),"",Data!#REF!)</f>
        <v>#REF!</v>
      </c>
      <c r="J207" s="37" t="e">
        <f>IF(ISBLANK(Data!#REF!),"",Data!#REF!)</f>
        <v>#REF!</v>
      </c>
      <c r="K207" s="22" t="e">
        <f>IF(ISBLANK(Data!#REF!),"",Data!#REF!)</f>
        <v>#REF!</v>
      </c>
      <c r="L207" s="22" t="e">
        <f>IF(ISBLANK(Data!#REF!),"",Data!#REF!)</f>
        <v>#REF!</v>
      </c>
      <c r="M207" s="22"/>
      <c r="N207" s="37" t="e">
        <f>IF(ISBLANK(Data!#REF!),"",Data!#REF!)</f>
        <v>#REF!</v>
      </c>
      <c r="O207" s="37" t="e">
        <f>IF(ISBLANK(Data!#REF!),"",Data!#REF!)</f>
        <v>#REF!</v>
      </c>
      <c r="P207" s="37" t="e">
        <f>IF(ISBLANK(Data!#REF!),"",Data!#REF!)</f>
        <v>#REF!</v>
      </c>
      <c r="Q207" s="37" t="e">
        <f>IF(ISBLANK(Data!#REF!),"",Data!#REF!)</f>
        <v>#REF!</v>
      </c>
    </row>
    <row r="208" spans="1:17" x14ac:dyDescent="0.25">
      <c r="A208" s="23" t="e">
        <f t="shared" si="4"/>
        <v>#REF!</v>
      </c>
      <c r="B208" s="42" t="e">
        <f>IF(ISBLANK(Data!#REF!),"",Data!#REF!)</f>
        <v>#REF!</v>
      </c>
      <c r="C208" s="35" t="e">
        <f>IF(ISBLANK(Data!#REF!),"",Data!#REF!)</f>
        <v>#REF!</v>
      </c>
      <c r="D208" s="36" t="e">
        <f>IF(ISBLANK(Data!#REF!),"",Data!#REF!)</f>
        <v>#REF!</v>
      </c>
      <c r="E208" s="36" t="e">
        <f>IF(ISBLANK(Data!#REF!),"",Data!#REF!)</f>
        <v>#REF!</v>
      </c>
      <c r="F208" s="36" t="e">
        <f>IF(ISBLANK(Data!#REF!),"",Data!#REF!)</f>
        <v>#REF!</v>
      </c>
      <c r="G208" s="37" t="e">
        <f>IF(ISBLANK(Data!#REF!),"",Data!#REF!)</f>
        <v>#REF!</v>
      </c>
      <c r="H208" s="37" t="e">
        <f>IF(ISBLANK(Data!#REF!),"",Data!#REF!)</f>
        <v>#REF!</v>
      </c>
      <c r="I208" s="37" t="e">
        <f>IF(ISBLANK(Data!#REF!),"",Data!#REF!)</f>
        <v>#REF!</v>
      </c>
      <c r="J208" s="37" t="e">
        <f>IF(ISBLANK(Data!#REF!),"",Data!#REF!)</f>
        <v>#REF!</v>
      </c>
      <c r="K208" s="22" t="e">
        <f>IF(ISBLANK(Data!#REF!),"",Data!#REF!)</f>
        <v>#REF!</v>
      </c>
      <c r="L208" s="22" t="e">
        <f>IF(ISBLANK(Data!#REF!),"",Data!#REF!)</f>
        <v>#REF!</v>
      </c>
      <c r="M208" s="22"/>
      <c r="N208" s="37" t="e">
        <f>IF(ISBLANK(Data!#REF!),"",Data!#REF!)</f>
        <v>#REF!</v>
      </c>
      <c r="O208" s="37" t="e">
        <f>IF(ISBLANK(Data!#REF!),"",Data!#REF!)</f>
        <v>#REF!</v>
      </c>
      <c r="P208" s="37" t="e">
        <f>IF(ISBLANK(Data!#REF!),"",Data!#REF!)</f>
        <v>#REF!</v>
      </c>
      <c r="Q208" s="37" t="e">
        <f>IF(ISBLANK(Data!#REF!),"",Data!#REF!)</f>
        <v>#REF!</v>
      </c>
    </row>
    <row r="209" spans="1:17" x14ac:dyDescent="0.25">
      <c r="A209" s="23" t="e">
        <f t="shared" si="4"/>
        <v>#REF!</v>
      </c>
      <c r="B209" s="42" t="e">
        <f>IF(ISBLANK(Data!#REF!),"",Data!#REF!)</f>
        <v>#REF!</v>
      </c>
      <c r="C209" s="35" t="e">
        <f>IF(ISBLANK(Data!#REF!),"",Data!#REF!)</f>
        <v>#REF!</v>
      </c>
      <c r="D209" s="36" t="e">
        <f>IF(ISBLANK(Data!#REF!),"",Data!#REF!)</f>
        <v>#REF!</v>
      </c>
      <c r="E209" s="36" t="e">
        <f>IF(ISBLANK(Data!#REF!),"",Data!#REF!)</f>
        <v>#REF!</v>
      </c>
      <c r="F209" s="36" t="e">
        <f>IF(ISBLANK(Data!#REF!),"",Data!#REF!)</f>
        <v>#REF!</v>
      </c>
      <c r="G209" s="37" t="e">
        <f>IF(ISBLANK(Data!#REF!),"",Data!#REF!)</f>
        <v>#REF!</v>
      </c>
      <c r="H209" s="37" t="e">
        <f>IF(ISBLANK(Data!#REF!),"",Data!#REF!)</f>
        <v>#REF!</v>
      </c>
      <c r="I209" s="37" t="e">
        <f>IF(ISBLANK(Data!#REF!),"",Data!#REF!)</f>
        <v>#REF!</v>
      </c>
      <c r="J209" s="37" t="e">
        <f>IF(ISBLANK(Data!#REF!),"",Data!#REF!)</f>
        <v>#REF!</v>
      </c>
      <c r="K209" s="22" t="e">
        <f>IF(ISBLANK(Data!#REF!),"",Data!#REF!)</f>
        <v>#REF!</v>
      </c>
      <c r="L209" s="22" t="e">
        <f>IF(ISBLANK(Data!#REF!),"",Data!#REF!)</f>
        <v>#REF!</v>
      </c>
      <c r="M209" s="22"/>
      <c r="N209" s="37" t="e">
        <f>IF(ISBLANK(Data!#REF!),"",Data!#REF!)</f>
        <v>#REF!</v>
      </c>
      <c r="O209" s="37" t="e">
        <f>IF(ISBLANK(Data!#REF!),"",Data!#REF!)</f>
        <v>#REF!</v>
      </c>
      <c r="P209" s="37" t="e">
        <f>IF(ISBLANK(Data!#REF!),"",Data!#REF!)</f>
        <v>#REF!</v>
      </c>
      <c r="Q209" s="37" t="e">
        <f>IF(ISBLANK(Data!#REF!),"",Data!#REF!)</f>
        <v>#REF!</v>
      </c>
    </row>
    <row r="210" spans="1:17" x14ac:dyDescent="0.25">
      <c r="A210" s="23" t="e">
        <f t="shared" si="4"/>
        <v>#REF!</v>
      </c>
      <c r="B210" s="42" t="e">
        <f>IF(ISBLANK(Data!#REF!),"",Data!#REF!)</f>
        <v>#REF!</v>
      </c>
      <c r="C210" s="35" t="e">
        <f>IF(ISBLANK(Data!#REF!),"",Data!#REF!)</f>
        <v>#REF!</v>
      </c>
      <c r="D210" s="36" t="e">
        <f>IF(ISBLANK(Data!#REF!),"",Data!#REF!)</f>
        <v>#REF!</v>
      </c>
      <c r="E210" s="36" t="e">
        <f>IF(ISBLANK(Data!#REF!),"",Data!#REF!)</f>
        <v>#REF!</v>
      </c>
      <c r="F210" s="36" t="e">
        <f>IF(ISBLANK(Data!#REF!),"",Data!#REF!)</f>
        <v>#REF!</v>
      </c>
      <c r="G210" s="37" t="e">
        <f>IF(ISBLANK(Data!#REF!),"",Data!#REF!)</f>
        <v>#REF!</v>
      </c>
      <c r="H210" s="37" t="e">
        <f>IF(ISBLANK(Data!#REF!),"",Data!#REF!)</f>
        <v>#REF!</v>
      </c>
      <c r="I210" s="37" t="e">
        <f>IF(ISBLANK(Data!#REF!),"",Data!#REF!)</f>
        <v>#REF!</v>
      </c>
      <c r="J210" s="37" t="e">
        <f>IF(ISBLANK(Data!#REF!),"",Data!#REF!)</f>
        <v>#REF!</v>
      </c>
      <c r="K210" s="22" t="e">
        <f>IF(ISBLANK(Data!#REF!),"",Data!#REF!)</f>
        <v>#REF!</v>
      </c>
      <c r="L210" s="22" t="e">
        <f>IF(ISBLANK(Data!#REF!),"",Data!#REF!)</f>
        <v>#REF!</v>
      </c>
      <c r="M210" s="22"/>
      <c r="N210" s="37" t="e">
        <f>IF(ISBLANK(Data!#REF!),"",Data!#REF!)</f>
        <v>#REF!</v>
      </c>
      <c r="O210" s="37" t="e">
        <f>IF(ISBLANK(Data!#REF!),"",Data!#REF!)</f>
        <v>#REF!</v>
      </c>
      <c r="P210" s="37" t="e">
        <f>IF(ISBLANK(Data!#REF!),"",Data!#REF!)</f>
        <v>#REF!</v>
      </c>
      <c r="Q210" s="37" t="e">
        <f>IF(ISBLANK(Data!#REF!),"",Data!#REF!)</f>
        <v>#REF!</v>
      </c>
    </row>
    <row r="211" spans="1:17" x14ac:dyDescent="0.25">
      <c r="A211" s="23" t="e">
        <f t="shared" si="4"/>
        <v>#REF!</v>
      </c>
      <c r="B211" s="42" t="e">
        <f>IF(ISBLANK(Data!#REF!),"",Data!#REF!)</f>
        <v>#REF!</v>
      </c>
      <c r="C211" s="35" t="e">
        <f>IF(ISBLANK(Data!#REF!),"",Data!#REF!)</f>
        <v>#REF!</v>
      </c>
      <c r="D211" s="36" t="e">
        <f>IF(ISBLANK(Data!#REF!),"",Data!#REF!)</f>
        <v>#REF!</v>
      </c>
      <c r="E211" s="36" t="e">
        <f>IF(ISBLANK(Data!#REF!),"",Data!#REF!)</f>
        <v>#REF!</v>
      </c>
      <c r="F211" s="36" t="e">
        <f>IF(ISBLANK(Data!#REF!),"",Data!#REF!)</f>
        <v>#REF!</v>
      </c>
      <c r="G211" s="37" t="e">
        <f>IF(ISBLANK(Data!#REF!),"",Data!#REF!)</f>
        <v>#REF!</v>
      </c>
      <c r="H211" s="37" t="e">
        <f>IF(ISBLANK(Data!#REF!),"",Data!#REF!)</f>
        <v>#REF!</v>
      </c>
      <c r="I211" s="37" t="e">
        <f>IF(ISBLANK(Data!#REF!),"",Data!#REF!)</f>
        <v>#REF!</v>
      </c>
      <c r="J211" s="37" t="e">
        <f>IF(ISBLANK(Data!#REF!),"",Data!#REF!)</f>
        <v>#REF!</v>
      </c>
      <c r="K211" s="22" t="e">
        <f>IF(ISBLANK(Data!#REF!),"",Data!#REF!)</f>
        <v>#REF!</v>
      </c>
      <c r="L211" s="22" t="e">
        <f>IF(ISBLANK(Data!#REF!),"",Data!#REF!)</f>
        <v>#REF!</v>
      </c>
      <c r="M211" s="22"/>
      <c r="N211" s="37" t="e">
        <f>IF(ISBLANK(Data!#REF!),"",Data!#REF!)</f>
        <v>#REF!</v>
      </c>
      <c r="O211" s="37" t="e">
        <f>IF(ISBLANK(Data!#REF!),"",Data!#REF!)</f>
        <v>#REF!</v>
      </c>
      <c r="P211" s="37" t="e">
        <f>IF(ISBLANK(Data!#REF!),"",Data!#REF!)</f>
        <v>#REF!</v>
      </c>
      <c r="Q211" s="37" t="e">
        <f>IF(ISBLANK(Data!#REF!),"",Data!#REF!)</f>
        <v>#REF!</v>
      </c>
    </row>
    <row r="212" spans="1:17" x14ac:dyDescent="0.25">
      <c r="A212" s="23" t="e">
        <f t="shared" si="4"/>
        <v>#REF!</v>
      </c>
      <c r="B212" s="42" t="e">
        <f>IF(ISBLANK(Data!#REF!),"",Data!#REF!)</f>
        <v>#REF!</v>
      </c>
      <c r="C212" s="35" t="e">
        <f>IF(ISBLANK(Data!#REF!),"",Data!#REF!)</f>
        <v>#REF!</v>
      </c>
      <c r="D212" s="36" t="e">
        <f>IF(ISBLANK(Data!#REF!),"",Data!#REF!)</f>
        <v>#REF!</v>
      </c>
      <c r="E212" s="36" t="e">
        <f>IF(ISBLANK(Data!#REF!),"",Data!#REF!)</f>
        <v>#REF!</v>
      </c>
      <c r="F212" s="36" t="e">
        <f>IF(ISBLANK(Data!#REF!),"",Data!#REF!)</f>
        <v>#REF!</v>
      </c>
      <c r="G212" s="37" t="e">
        <f>IF(ISBLANK(Data!#REF!),"",Data!#REF!)</f>
        <v>#REF!</v>
      </c>
      <c r="H212" s="37" t="e">
        <f>IF(ISBLANK(Data!#REF!),"",Data!#REF!)</f>
        <v>#REF!</v>
      </c>
      <c r="I212" s="37" t="e">
        <f>IF(ISBLANK(Data!#REF!),"",Data!#REF!)</f>
        <v>#REF!</v>
      </c>
      <c r="J212" s="37" t="e">
        <f>IF(ISBLANK(Data!#REF!),"",Data!#REF!)</f>
        <v>#REF!</v>
      </c>
      <c r="K212" s="22" t="e">
        <f>IF(ISBLANK(Data!#REF!),"",Data!#REF!)</f>
        <v>#REF!</v>
      </c>
      <c r="L212" s="22" t="e">
        <f>IF(ISBLANK(Data!#REF!),"",Data!#REF!)</f>
        <v>#REF!</v>
      </c>
      <c r="M212" s="22"/>
      <c r="N212" s="37" t="e">
        <f>IF(ISBLANK(Data!#REF!),"",Data!#REF!)</f>
        <v>#REF!</v>
      </c>
      <c r="O212" s="37" t="e">
        <f>IF(ISBLANK(Data!#REF!),"",Data!#REF!)</f>
        <v>#REF!</v>
      </c>
      <c r="P212" s="37" t="e">
        <f>IF(ISBLANK(Data!#REF!),"",Data!#REF!)</f>
        <v>#REF!</v>
      </c>
      <c r="Q212" s="37" t="e">
        <f>IF(ISBLANK(Data!#REF!),"",Data!#REF!)</f>
        <v>#REF!</v>
      </c>
    </row>
    <row r="213" spans="1:17" x14ac:dyDescent="0.25">
      <c r="A213" s="23" t="e">
        <f t="shared" si="4"/>
        <v>#REF!</v>
      </c>
      <c r="B213" s="42" t="e">
        <f>IF(ISBLANK(Data!#REF!),"",Data!#REF!)</f>
        <v>#REF!</v>
      </c>
      <c r="C213" s="35" t="e">
        <f>IF(ISBLANK(Data!#REF!),"",Data!#REF!)</f>
        <v>#REF!</v>
      </c>
      <c r="D213" s="36" t="e">
        <f>IF(ISBLANK(Data!#REF!),"",Data!#REF!)</f>
        <v>#REF!</v>
      </c>
      <c r="E213" s="36" t="e">
        <f>IF(ISBLANK(Data!#REF!),"",Data!#REF!)</f>
        <v>#REF!</v>
      </c>
      <c r="F213" s="36" t="e">
        <f>IF(ISBLANK(Data!#REF!),"",Data!#REF!)</f>
        <v>#REF!</v>
      </c>
      <c r="G213" s="37" t="e">
        <f>IF(ISBLANK(Data!#REF!),"",Data!#REF!)</f>
        <v>#REF!</v>
      </c>
      <c r="H213" s="37" t="e">
        <f>IF(ISBLANK(Data!#REF!),"",Data!#REF!)</f>
        <v>#REF!</v>
      </c>
      <c r="I213" s="37" t="e">
        <f>IF(ISBLANK(Data!#REF!),"",Data!#REF!)</f>
        <v>#REF!</v>
      </c>
      <c r="J213" s="37" t="e">
        <f>IF(ISBLANK(Data!#REF!),"",Data!#REF!)</f>
        <v>#REF!</v>
      </c>
      <c r="K213" s="22" t="e">
        <f>IF(ISBLANK(Data!#REF!),"",Data!#REF!)</f>
        <v>#REF!</v>
      </c>
      <c r="L213" s="22" t="e">
        <f>IF(ISBLANK(Data!#REF!),"",Data!#REF!)</f>
        <v>#REF!</v>
      </c>
      <c r="M213" s="22"/>
      <c r="N213" s="37" t="e">
        <f>IF(ISBLANK(Data!#REF!),"",Data!#REF!)</f>
        <v>#REF!</v>
      </c>
      <c r="O213" s="37" t="e">
        <f>IF(ISBLANK(Data!#REF!),"",Data!#REF!)</f>
        <v>#REF!</v>
      </c>
      <c r="P213" s="37" t="e">
        <f>IF(ISBLANK(Data!#REF!),"",Data!#REF!)</f>
        <v>#REF!</v>
      </c>
      <c r="Q213" s="37" t="e">
        <f>IF(ISBLANK(Data!#REF!),"",Data!#REF!)</f>
        <v>#REF!</v>
      </c>
    </row>
    <row r="214" spans="1:17" x14ac:dyDescent="0.25">
      <c r="A214" s="23" t="e">
        <f t="shared" si="4"/>
        <v>#REF!</v>
      </c>
      <c r="B214" s="42" t="e">
        <f>IF(ISBLANK(Data!#REF!),"",Data!#REF!)</f>
        <v>#REF!</v>
      </c>
      <c r="C214" s="35" t="e">
        <f>IF(ISBLANK(Data!#REF!),"",Data!#REF!)</f>
        <v>#REF!</v>
      </c>
      <c r="D214" s="36" t="e">
        <f>IF(ISBLANK(Data!#REF!),"",Data!#REF!)</f>
        <v>#REF!</v>
      </c>
      <c r="E214" s="36" t="e">
        <f>IF(ISBLANK(Data!#REF!),"",Data!#REF!)</f>
        <v>#REF!</v>
      </c>
      <c r="F214" s="36" t="e">
        <f>IF(ISBLANK(Data!#REF!),"",Data!#REF!)</f>
        <v>#REF!</v>
      </c>
      <c r="G214" s="37" t="e">
        <f>IF(ISBLANK(Data!#REF!),"",Data!#REF!)</f>
        <v>#REF!</v>
      </c>
      <c r="H214" s="37" t="e">
        <f>IF(ISBLANK(Data!#REF!),"",Data!#REF!)</f>
        <v>#REF!</v>
      </c>
      <c r="I214" s="37" t="e">
        <f>IF(ISBLANK(Data!#REF!),"",Data!#REF!)</f>
        <v>#REF!</v>
      </c>
      <c r="J214" s="37" t="e">
        <f>IF(ISBLANK(Data!#REF!),"",Data!#REF!)</f>
        <v>#REF!</v>
      </c>
      <c r="K214" s="22" t="e">
        <f>IF(ISBLANK(Data!#REF!),"",Data!#REF!)</f>
        <v>#REF!</v>
      </c>
      <c r="L214" s="22" t="e">
        <f>IF(ISBLANK(Data!#REF!),"",Data!#REF!)</f>
        <v>#REF!</v>
      </c>
      <c r="M214" s="22"/>
      <c r="N214" s="37" t="e">
        <f>IF(ISBLANK(Data!#REF!),"",Data!#REF!)</f>
        <v>#REF!</v>
      </c>
      <c r="O214" s="37" t="e">
        <f>IF(ISBLANK(Data!#REF!),"",Data!#REF!)</f>
        <v>#REF!</v>
      </c>
      <c r="P214" s="37" t="e">
        <f>IF(ISBLANK(Data!#REF!),"",Data!#REF!)</f>
        <v>#REF!</v>
      </c>
      <c r="Q214" s="37" t="e">
        <f>IF(ISBLANK(Data!#REF!),"",Data!#REF!)</f>
        <v>#REF!</v>
      </c>
    </row>
    <row r="215" spans="1:17" x14ac:dyDescent="0.25">
      <c r="A215" s="23" t="e">
        <f t="shared" si="4"/>
        <v>#REF!</v>
      </c>
      <c r="B215" s="42" t="e">
        <f>IF(ISBLANK(Data!#REF!),"",Data!#REF!)</f>
        <v>#REF!</v>
      </c>
      <c r="C215" s="35" t="e">
        <f>IF(ISBLANK(Data!#REF!),"",Data!#REF!)</f>
        <v>#REF!</v>
      </c>
      <c r="D215" s="36" t="e">
        <f>IF(ISBLANK(Data!#REF!),"",Data!#REF!)</f>
        <v>#REF!</v>
      </c>
      <c r="E215" s="36" t="e">
        <f>IF(ISBLANK(Data!#REF!),"",Data!#REF!)</f>
        <v>#REF!</v>
      </c>
      <c r="F215" s="36" t="e">
        <f>IF(ISBLANK(Data!#REF!),"",Data!#REF!)</f>
        <v>#REF!</v>
      </c>
      <c r="G215" s="37" t="e">
        <f>IF(ISBLANK(Data!#REF!),"",Data!#REF!)</f>
        <v>#REF!</v>
      </c>
      <c r="H215" s="37" t="e">
        <f>IF(ISBLANK(Data!#REF!),"",Data!#REF!)</f>
        <v>#REF!</v>
      </c>
      <c r="I215" s="37" t="e">
        <f>IF(ISBLANK(Data!#REF!),"",Data!#REF!)</f>
        <v>#REF!</v>
      </c>
      <c r="J215" s="37" t="e">
        <f>IF(ISBLANK(Data!#REF!),"",Data!#REF!)</f>
        <v>#REF!</v>
      </c>
      <c r="K215" s="22" t="e">
        <f>IF(ISBLANK(Data!#REF!),"",Data!#REF!)</f>
        <v>#REF!</v>
      </c>
      <c r="L215" s="22" t="e">
        <f>IF(ISBLANK(Data!#REF!),"",Data!#REF!)</f>
        <v>#REF!</v>
      </c>
      <c r="M215" s="22"/>
      <c r="N215" s="37" t="e">
        <f>IF(ISBLANK(Data!#REF!),"",Data!#REF!)</f>
        <v>#REF!</v>
      </c>
      <c r="O215" s="37" t="e">
        <f>IF(ISBLANK(Data!#REF!),"",Data!#REF!)</f>
        <v>#REF!</v>
      </c>
      <c r="P215" s="37" t="e">
        <f>IF(ISBLANK(Data!#REF!),"",Data!#REF!)</f>
        <v>#REF!</v>
      </c>
      <c r="Q215" s="37" t="e">
        <f>IF(ISBLANK(Data!#REF!),"",Data!#REF!)</f>
        <v>#REF!</v>
      </c>
    </row>
    <row r="216" spans="1:17" x14ac:dyDescent="0.25">
      <c r="A216" s="23" t="e">
        <f t="shared" si="4"/>
        <v>#REF!</v>
      </c>
      <c r="B216" s="42" t="e">
        <f>IF(ISBLANK(Data!#REF!),"",Data!#REF!)</f>
        <v>#REF!</v>
      </c>
      <c r="C216" s="35" t="e">
        <f>IF(ISBLANK(Data!#REF!),"",Data!#REF!)</f>
        <v>#REF!</v>
      </c>
      <c r="D216" s="36" t="e">
        <f>IF(ISBLANK(Data!#REF!),"",Data!#REF!)</f>
        <v>#REF!</v>
      </c>
      <c r="E216" s="36" t="e">
        <f>IF(ISBLANK(Data!#REF!),"",Data!#REF!)</f>
        <v>#REF!</v>
      </c>
      <c r="F216" s="36" t="e">
        <f>IF(ISBLANK(Data!#REF!),"",Data!#REF!)</f>
        <v>#REF!</v>
      </c>
      <c r="G216" s="37" t="e">
        <f>IF(ISBLANK(Data!#REF!),"",Data!#REF!)</f>
        <v>#REF!</v>
      </c>
      <c r="H216" s="37" t="e">
        <f>IF(ISBLANK(Data!#REF!),"",Data!#REF!)</f>
        <v>#REF!</v>
      </c>
      <c r="I216" s="37" t="e">
        <f>IF(ISBLANK(Data!#REF!),"",Data!#REF!)</f>
        <v>#REF!</v>
      </c>
      <c r="J216" s="37" t="e">
        <f>IF(ISBLANK(Data!#REF!),"",Data!#REF!)</f>
        <v>#REF!</v>
      </c>
      <c r="K216" s="22" t="e">
        <f>IF(ISBLANK(Data!#REF!),"",Data!#REF!)</f>
        <v>#REF!</v>
      </c>
      <c r="L216" s="22" t="e">
        <f>IF(ISBLANK(Data!#REF!),"",Data!#REF!)</f>
        <v>#REF!</v>
      </c>
      <c r="M216" s="22"/>
      <c r="N216" s="37" t="e">
        <f>IF(ISBLANK(Data!#REF!),"",Data!#REF!)</f>
        <v>#REF!</v>
      </c>
      <c r="O216" s="37" t="e">
        <f>IF(ISBLANK(Data!#REF!),"",Data!#REF!)</f>
        <v>#REF!</v>
      </c>
      <c r="P216" s="37" t="e">
        <f>IF(ISBLANK(Data!#REF!),"",Data!#REF!)</f>
        <v>#REF!</v>
      </c>
      <c r="Q216" s="37" t="e">
        <f>IF(ISBLANK(Data!#REF!),"",Data!#REF!)</f>
        <v>#REF!</v>
      </c>
    </row>
    <row r="217" spans="1:17" x14ac:dyDescent="0.25">
      <c r="A217" s="23" t="e">
        <f t="shared" si="4"/>
        <v>#REF!</v>
      </c>
      <c r="B217" s="42" t="e">
        <f>IF(ISBLANK(Data!#REF!),"",Data!#REF!)</f>
        <v>#REF!</v>
      </c>
      <c r="C217" s="35" t="e">
        <f>IF(ISBLANK(Data!#REF!),"",Data!#REF!)</f>
        <v>#REF!</v>
      </c>
      <c r="D217" s="36" t="e">
        <f>IF(ISBLANK(Data!#REF!),"",Data!#REF!)</f>
        <v>#REF!</v>
      </c>
      <c r="E217" s="36" t="e">
        <f>IF(ISBLANK(Data!#REF!),"",Data!#REF!)</f>
        <v>#REF!</v>
      </c>
      <c r="F217" s="36" t="e">
        <f>IF(ISBLANK(Data!#REF!),"",Data!#REF!)</f>
        <v>#REF!</v>
      </c>
      <c r="G217" s="37" t="e">
        <f>IF(ISBLANK(Data!#REF!),"",Data!#REF!)</f>
        <v>#REF!</v>
      </c>
      <c r="H217" s="37" t="e">
        <f>IF(ISBLANK(Data!#REF!),"",Data!#REF!)</f>
        <v>#REF!</v>
      </c>
      <c r="I217" s="37" t="e">
        <f>IF(ISBLANK(Data!#REF!),"",Data!#REF!)</f>
        <v>#REF!</v>
      </c>
      <c r="J217" s="37" t="e">
        <f>IF(ISBLANK(Data!#REF!),"",Data!#REF!)</f>
        <v>#REF!</v>
      </c>
      <c r="K217" s="22" t="e">
        <f>IF(ISBLANK(Data!#REF!),"",Data!#REF!)</f>
        <v>#REF!</v>
      </c>
      <c r="L217" s="22" t="e">
        <f>IF(ISBLANK(Data!#REF!),"",Data!#REF!)</f>
        <v>#REF!</v>
      </c>
      <c r="M217" s="22"/>
      <c r="N217" s="37" t="e">
        <f>IF(ISBLANK(Data!#REF!),"",Data!#REF!)</f>
        <v>#REF!</v>
      </c>
      <c r="O217" s="37" t="e">
        <f>IF(ISBLANK(Data!#REF!),"",Data!#REF!)</f>
        <v>#REF!</v>
      </c>
      <c r="P217" s="37" t="e">
        <f>IF(ISBLANK(Data!#REF!),"",Data!#REF!)</f>
        <v>#REF!</v>
      </c>
      <c r="Q217" s="37" t="e">
        <f>IF(ISBLANK(Data!#REF!),"",Data!#REF!)</f>
        <v>#REF!</v>
      </c>
    </row>
    <row r="218" spans="1:17" x14ac:dyDescent="0.25">
      <c r="A218" s="23" t="e">
        <f t="shared" si="4"/>
        <v>#REF!</v>
      </c>
      <c r="B218" s="42" t="e">
        <f>IF(ISBLANK(Data!#REF!),"",Data!#REF!)</f>
        <v>#REF!</v>
      </c>
      <c r="C218" s="35" t="e">
        <f>IF(ISBLANK(Data!#REF!),"",Data!#REF!)</f>
        <v>#REF!</v>
      </c>
      <c r="D218" s="36" t="e">
        <f>IF(ISBLANK(Data!#REF!),"",Data!#REF!)</f>
        <v>#REF!</v>
      </c>
      <c r="E218" s="36" t="e">
        <f>IF(ISBLANK(Data!#REF!),"",Data!#REF!)</f>
        <v>#REF!</v>
      </c>
      <c r="F218" s="36" t="e">
        <f>IF(ISBLANK(Data!#REF!),"",Data!#REF!)</f>
        <v>#REF!</v>
      </c>
      <c r="G218" s="37" t="e">
        <f>IF(ISBLANK(Data!#REF!),"",Data!#REF!)</f>
        <v>#REF!</v>
      </c>
      <c r="H218" s="37" t="e">
        <f>IF(ISBLANK(Data!#REF!),"",Data!#REF!)</f>
        <v>#REF!</v>
      </c>
      <c r="I218" s="37" t="e">
        <f>IF(ISBLANK(Data!#REF!),"",Data!#REF!)</f>
        <v>#REF!</v>
      </c>
      <c r="J218" s="37" t="e">
        <f>IF(ISBLANK(Data!#REF!),"",Data!#REF!)</f>
        <v>#REF!</v>
      </c>
      <c r="K218" s="22" t="e">
        <f>IF(ISBLANK(Data!#REF!),"",Data!#REF!)</f>
        <v>#REF!</v>
      </c>
      <c r="L218" s="22" t="e">
        <f>IF(ISBLANK(Data!#REF!),"",Data!#REF!)</f>
        <v>#REF!</v>
      </c>
      <c r="M218" s="22"/>
      <c r="N218" s="37" t="e">
        <f>IF(ISBLANK(Data!#REF!),"",Data!#REF!)</f>
        <v>#REF!</v>
      </c>
      <c r="O218" s="37" t="e">
        <f>IF(ISBLANK(Data!#REF!),"",Data!#REF!)</f>
        <v>#REF!</v>
      </c>
      <c r="P218" s="37" t="e">
        <f>IF(ISBLANK(Data!#REF!),"",Data!#REF!)</f>
        <v>#REF!</v>
      </c>
      <c r="Q218" s="37" t="e">
        <f>IF(ISBLANK(Data!#REF!),"",Data!#REF!)</f>
        <v>#REF!</v>
      </c>
    </row>
    <row r="219" spans="1:17" x14ac:dyDescent="0.25">
      <c r="A219" s="23" t="e">
        <f t="shared" si="4"/>
        <v>#REF!</v>
      </c>
      <c r="B219" s="42" t="e">
        <f>IF(ISBLANK(Data!#REF!),"",Data!#REF!)</f>
        <v>#REF!</v>
      </c>
      <c r="C219" s="35" t="e">
        <f>IF(ISBLANK(Data!#REF!),"",Data!#REF!)</f>
        <v>#REF!</v>
      </c>
      <c r="D219" s="36" t="e">
        <f>IF(ISBLANK(Data!#REF!),"",Data!#REF!)</f>
        <v>#REF!</v>
      </c>
      <c r="E219" s="36" t="e">
        <f>IF(ISBLANK(Data!#REF!),"",Data!#REF!)</f>
        <v>#REF!</v>
      </c>
      <c r="F219" s="36" t="e">
        <f>IF(ISBLANK(Data!#REF!),"",Data!#REF!)</f>
        <v>#REF!</v>
      </c>
      <c r="G219" s="37" t="e">
        <f>IF(ISBLANK(Data!#REF!),"",Data!#REF!)</f>
        <v>#REF!</v>
      </c>
      <c r="H219" s="37" t="e">
        <f>IF(ISBLANK(Data!#REF!),"",Data!#REF!)</f>
        <v>#REF!</v>
      </c>
      <c r="I219" s="37" t="e">
        <f>IF(ISBLANK(Data!#REF!),"",Data!#REF!)</f>
        <v>#REF!</v>
      </c>
      <c r="J219" s="37" t="e">
        <f>IF(ISBLANK(Data!#REF!),"",Data!#REF!)</f>
        <v>#REF!</v>
      </c>
      <c r="K219" s="22" t="e">
        <f>IF(ISBLANK(Data!#REF!),"",Data!#REF!)</f>
        <v>#REF!</v>
      </c>
      <c r="L219" s="22" t="e">
        <f>IF(ISBLANK(Data!#REF!),"",Data!#REF!)</f>
        <v>#REF!</v>
      </c>
      <c r="M219" s="22"/>
      <c r="N219" s="37" t="e">
        <f>IF(ISBLANK(Data!#REF!),"",Data!#REF!)</f>
        <v>#REF!</v>
      </c>
      <c r="O219" s="37" t="e">
        <f>IF(ISBLANK(Data!#REF!),"",Data!#REF!)</f>
        <v>#REF!</v>
      </c>
      <c r="P219" s="37" t="e">
        <f>IF(ISBLANK(Data!#REF!),"",Data!#REF!)</f>
        <v>#REF!</v>
      </c>
      <c r="Q219" s="37" t="e">
        <f>IF(ISBLANK(Data!#REF!),"",Data!#REF!)</f>
        <v>#REF!</v>
      </c>
    </row>
    <row r="220" spans="1:17" x14ac:dyDescent="0.25">
      <c r="A220" s="23" t="e">
        <f t="shared" si="4"/>
        <v>#REF!</v>
      </c>
      <c r="B220" s="42" t="e">
        <f>IF(ISBLANK(Data!#REF!),"",Data!#REF!)</f>
        <v>#REF!</v>
      </c>
      <c r="C220" s="35" t="e">
        <f>IF(ISBLANK(Data!#REF!),"",Data!#REF!)</f>
        <v>#REF!</v>
      </c>
      <c r="D220" s="36" t="e">
        <f>IF(ISBLANK(Data!#REF!),"",Data!#REF!)</f>
        <v>#REF!</v>
      </c>
      <c r="E220" s="36" t="e">
        <f>IF(ISBLANK(Data!#REF!),"",Data!#REF!)</f>
        <v>#REF!</v>
      </c>
      <c r="F220" s="36" t="e">
        <f>IF(ISBLANK(Data!#REF!),"",Data!#REF!)</f>
        <v>#REF!</v>
      </c>
      <c r="G220" s="37" t="e">
        <f>IF(ISBLANK(Data!#REF!),"",Data!#REF!)</f>
        <v>#REF!</v>
      </c>
      <c r="H220" s="37" t="e">
        <f>IF(ISBLANK(Data!#REF!),"",Data!#REF!)</f>
        <v>#REF!</v>
      </c>
      <c r="I220" s="37" t="e">
        <f>IF(ISBLANK(Data!#REF!),"",Data!#REF!)</f>
        <v>#REF!</v>
      </c>
      <c r="J220" s="37" t="e">
        <f>IF(ISBLANK(Data!#REF!),"",Data!#REF!)</f>
        <v>#REF!</v>
      </c>
      <c r="K220" s="22" t="e">
        <f>IF(ISBLANK(Data!#REF!),"",Data!#REF!)</f>
        <v>#REF!</v>
      </c>
      <c r="L220" s="22" t="e">
        <f>IF(ISBLANK(Data!#REF!),"",Data!#REF!)</f>
        <v>#REF!</v>
      </c>
      <c r="M220" s="22"/>
      <c r="N220" s="37" t="e">
        <f>IF(ISBLANK(Data!#REF!),"",Data!#REF!)</f>
        <v>#REF!</v>
      </c>
      <c r="O220" s="37" t="e">
        <f>IF(ISBLANK(Data!#REF!),"",Data!#REF!)</f>
        <v>#REF!</v>
      </c>
      <c r="P220" s="37" t="e">
        <f>IF(ISBLANK(Data!#REF!),"",Data!#REF!)</f>
        <v>#REF!</v>
      </c>
      <c r="Q220" s="37" t="e">
        <f>IF(ISBLANK(Data!#REF!),"",Data!#REF!)</f>
        <v>#REF!</v>
      </c>
    </row>
    <row r="221" spans="1:17" x14ac:dyDescent="0.25">
      <c r="A221" s="23" t="e">
        <f t="shared" si="4"/>
        <v>#REF!</v>
      </c>
      <c r="B221" s="42" t="e">
        <f>IF(ISBLANK(Data!#REF!),"",Data!#REF!)</f>
        <v>#REF!</v>
      </c>
      <c r="C221" s="35" t="e">
        <f>IF(ISBLANK(Data!#REF!),"",Data!#REF!)</f>
        <v>#REF!</v>
      </c>
      <c r="D221" s="36" t="e">
        <f>IF(ISBLANK(Data!#REF!),"",Data!#REF!)</f>
        <v>#REF!</v>
      </c>
      <c r="E221" s="36" t="e">
        <f>IF(ISBLANK(Data!#REF!),"",Data!#REF!)</f>
        <v>#REF!</v>
      </c>
      <c r="F221" s="36" t="e">
        <f>IF(ISBLANK(Data!#REF!),"",Data!#REF!)</f>
        <v>#REF!</v>
      </c>
      <c r="G221" s="37" t="e">
        <f>IF(ISBLANK(Data!#REF!),"",Data!#REF!)</f>
        <v>#REF!</v>
      </c>
      <c r="H221" s="37" t="e">
        <f>IF(ISBLANK(Data!#REF!),"",Data!#REF!)</f>
        <v>#REF!</v>
      </c>
      <c r="I221" s="37" t="e">
        <f>IF(ISBLANK(Data!#REF!),"",Data!#REF!)</f>
        <v>#REF!</v>
      </c>
      <c r="J221" s="37" t="e">
        <f>IF(ISBLANK(Data!#REF!),"",Data!#REF!)</f>
        <v>#REF!</v>
      </c>
      <c r="K221" s="22" t="e">
        <f>IF(ISBLANK(Data!#REF!),"",Data!#REF!)</f>
        <v>#REF!</v>
      </c>
      <c r="L221" s="22" t="e">
        <f>IF(ISBLANK(Data!#REF!),"",Data!#REF!)</f>
        <v>#REF!</v>
      </c>
      <c r="M221" s="22"/>
      <c r="N221" s="37" t="e">
        <f>IF(ISBLANK(Data!#REF!),"",Data!#REF!)</f>
        <v>#REF!</v>
      </c>
      <c r="O221" s="37" t="e">
        <f>IF(ISBLANK(Data!#REF!),"",Data!#REF!)</f>
        <v>#REF!</v>
      </c>
      <c r="P221" s="37" t="e">
        <f>IF(ISBLANK(Data!#REF!),"",Data!#REF!)</f>
        <v>#REF!</v>
      </c>
      <c r="Q221" s="37" t="e">
        <f>IF(ISBLANK(Data!#REF!),"",Data!#REF!)</f>
        <v>#REF!</v>
      </c>
    </row>
    <row r="222" spans="1:17" x14ac:dyDescent="0.25">
      <c r="A222" s="23" t="e">
        <f t="shared" si="4"/>
        <v>#REF!</v>
      </c>
      <c r="B222" s="42" t="e">
        <f>IF(ISBLANK(Data!#REF!),"",Data!#REF!)</f>
        <v>#REF!</v>
      </c>
      <c r="C222" s="35" t="e">
        <f>IF(ISBLANK(Data!#REF!),"",Data!#REF!)</f>
        <v>#REF!</v>
      </c>
      <c r="D222" s="36" t="e">
        <f>IF(ISBLANK(Data!#REF!),"",Data!#REF!)</f>
        <v>#REF!</v>
      </c>
      <c r="E222" s="36" t="e">
        <f>IF(ISBLANK(Data!#REF!),"",Data!#REF!)</f>
        <v>#REF!</v>
      </c>
      <c r="F222" s="36" t="e">
        <f>IF(ISBLANK(Data!#REF!),"",Data!#REF!)</f>
        <v>#REF!</v>
      </c>
      <c r="G222" s="37" t="e">
        <f>IF(ISBLANK(Data!#REF!),"",Data!#REF!)</f>
        <v>#REF!</v>
      </c>
      <c r="H222" s="37" t="e">
        <f>IF(ISBLANK(Data!#REF!),"",Data!#REF!)</f>
        <v>#REF!</v>
      </c>
      <c r="I222" s="37" t="e">
        <f>IF(ISBLANK(Data!#REF!),"",Data!#REF!)</f>
        <v>#REF!</v>
      </c>
      <c r="J222" s="37" t="e">
        <f>IF(ISBLANK(Data!#REF!),"",Data!#REF!)</f>
        <v>#REF!</v>
      </c>
      <c r="K222" s="22" t="e">
        <f>IF(ISBLANK(Data!#REF!),"",Data!#REF!)</f>
        <v>#REF!</v>
      </c>
      <c r="L222" s="22" t="e">
        <f>IF(ISBLANK(Data!#REF!),"",Data!#REF!)</f>
        <v>#REF!</v>
      </c>
      <c r="M222" s="22"/>
      <c r="N222" s="37" t="e">
        <f>IF(ISBLANK(Data!#REF!),"",Data!#REF!)</f>
        <v>#REF!</v>
      </c>
      <c r="O222" s="37" t="e">
        <f>IF(ISBLANK(Data!#REF!),"",Data!#REF!)</f>
        <v>#REF!</v>
      </c>
      <c r="P222" s="37" t="e">
        <f>IF(ISBLANK(Data!#REF!),"",Data!#REF!)</f>
        <v>#REF!</v>
      </c>
      <c r="Q222" s="37" t="e">
        <f>IF(ISBLANK(Data!#REF!),"",Data!#REF!)</f>
        <v>#REF!</v>
      </c>
    </row>
    <row r="223" spans="1:17" x14ac:dyDescent="0.25">
      <c r="A223" s="23" t="e">
        <f t="shared" si="4"/>
        <v>#REF!</v>
      </c>
      <c r="B223" s="42" t="e">
        <f>IF(ISBLANK(Data!#REF!),"",Data!#REF!)</f>
        <v>#REF!</v>
      </c>
      <c r="C223" s="35" t="e">
        <f>IF(ISBLANK(Data!#REF!),"",Data!#REF!)</f>
        <v>#REF!</v>
      </c>
      <c r="D223" s="36" t="e">
        <f>IF(ISBLANK(Data!#REF!),"",Data!#REF!)</f>
        <v>#REF!</v>
      </c>
      <c r="E223" s="36" t="e">
        <f>IF(ISBLANK(Data!#REF!),"",Data!#REF!)</f>
        <v>#REF!</v>
      </c>
      <c r="F223" s="36" t="e">
        <f>IF(ISBLANK(Data!#REF!),"",Data!#REF!)</f>
        <v>#REF!</v>
      </c>
      <c r="G223" s="37" t="e">
        <f>IF(ISBLANK(Data!#REF!),"",Data!#REF!)</f>
        <v>#REF!</v>
      </c>
      <c r="H223" s="37" t="e">
        <f>IF(ISBLANK(Data!#REF!),"",Data!#REF!)</f>
        <v>#REF!</v>
      </c>
      <c r="I223" s="37" t="e">
        <f>IF(ISBLANK(Data!#REF!),"",Data!#REF!)</f>
        <v>#REF!</v>
      </c>
      <c r="J223" s="37" t="e">
        <f>IF(ISBLANK(Data!#REF!),"",Data!#REF!)</f>
        <v>#REF!</v>
      </c>
      <c r="K223" s="22" t="e">
        <f>IF(ISBLANK(Data!#REF!),"",Data!#REF!)</f>
        <v>#REF!</v>
      </c>
      <c r="L223" s="22" t="e">
        <f>IF(ISBLANK(Data!#REF!),"",Data!#REF!)</f>
        <v>#REF!</v>
      </c>
      <c r="M223" s="22"/>
      <c r="N223" s="37" t="e">
        <f>IF(ISBLANK(Data!#REF!),"",Data!#REF!)</f>
        <v>#REF!</v>
      </c>
      <c r="O223" s="37" t="e">
        <f>IF(ISBLANK(Data!#REF!),"",Data!#REF!)</f>
        <v>#REF!</v>
      </c>
      <c r="P223" s="37" t="e">
        <f>IF(ISBLANK(Data!#REF!),"",Data!#REF!)</f>
        <v>#REF!</v>
      </c>
      <c r="Q223" s="37" t="e">
        <f>IF(ISBLANK(Data!#REF!),"",Data!#REF!)</f>
        <v>#REF!</v>
      </c>
    </row>
    <row r="224" spans="1:17" x14ac:dyDescent="0.25">
      <c r="A224" s="23" t="e">
        <f t="shared" si="4"/>
        <v>#REF!</v>
      </c>
      <c r="B224" s="42" t="e">
        <f>IF(ISBLANK(Data!#REF!),"",Data!#REF!)</f>
        <v>#REF!</v>
      </c>
      <c r="C224" s="35" t="e">
        <f>IF(ISBLANK(Data!#REF!),"",Data!#REF!)</f>
        <v>#REF!</v>
      </c>
      <c r="D224" s="36" t="e">
        <f>IF(ISBLANK(Data!#REF!),"",Data!#REF!)</f>
        <v>#REF!</v>
      </c>
      <c r="E224" s="36" t="e">
        <f>IF(ISBLANK(Data!#REF!),"",Data!#REF!)</f>
        <v>#REF!</v>
      </c>
      <c r="F224" s="36" t="e">
        <f>IF(ISBLANK(Data!#REF!),"",Data!#REF!)</f>
        <v>#REF!</v>
      </c>
      <c r="G224" s="37" t="e">
        <f>IF(ISBLANK(Data!#REF!),"",Data!#REF!)</f>
        <v>#REF!</v>
      </c>
      <c r="H224" s="37" t="e">
        <f>IF(ISBLANK(Data!#REF!),"",Data!#REF!)</f>
        <v>#REF!</v>
      </c>
      <c r="I224" s="37" t="e">
        <f>IF(ISBLANK(Data!#REF!),"",Data!#REF!)</f>
        <v>#REF!</v>
      </c>
      <c r="J224" s="37" t="e">
        <f>IF(ISBLANK(Data!#REF!),"",Data!#REF!)</f>
        <v>#REF!</v>
      </c>
      <c r="K224" s="22" t="e">
        <f>IF(ISBLANK(Data!#REF!),"",Data!#REF!)</f>
        <v>#REF!</v>
      </c>
      <c r="L224" s="22" t="e">
        <f>IF(ISBLANK(Data!#REF!),"",Data!#REF!)</f>
        <v>#REF!</v>
      </c>
      <c r="M224" s="22"/>
      <c r="N224" s="37" t="e">
        <f>IF(ISBLANK(Data!#REF!),"",Data!#REF!)</f>
        <v>#REF!</v>
      </c>
      <c r="O224" s="37" t="e">
        <f>IF(ISBLANK(Data!#REF!),"",Data!#REF!)</f>
        <v>#REF!</v>
      </c>
      <c r="P224" s="37" t="e">
        <f>IF(ISBLANK(Data!#REF!),"",Data!#REF!)</f>
        <v>#REF!</v>
      </c>
      <c r="Q224" s="37" t="e">
        <f>IF(ISBLANK(Data!#REF!),"",Data!#REF!)</f>
        <v>#REF!</v>
      </c>
    </row>
    <row r="225" spans="1:17" x14ac:dyDescent="0.25">
      <c r="A225" s="23" t="e">
        <f t="shared" si="4"/>
        <v>#REF!</v>
      </c>
      <c r="B225" s="42" t="e">
        <f>IF(ISBLANK(Data!#REF!),"",Data!#REF!)</f>
        <v>#REF!</v>
      </c>
      <c r="C225" s="35" t="e">
        <f>IF(ISBLANK(Data!#REF!),"",Data!#REF!)</f>
        <v>#REF!</v>
      </c>
      <c r="D225" s="36" t="e">
        <f>IF(ISBLANK(Data!#REF!),"",Data!#REF!)</f>
        <v>#REF!</v>
      </c>
      <c r="E225" s="36" t="e">
        <f>IF(ISBLANK(Data!#REF!),"",Data!#REF!)</f>
        <v>#REF!</v>
      </c>
      <c r="F225" s="36" t="e">
        <f>IF(ISBLANK(Data!#REF!),"",Data!#REF!)</f>
        <v>#REF!</v>
      </c>
      <c r="G225" s="37" t="e">
        <f>IF(ISBLANK(Data!#REF!),"",Data!#REF!)</f>
        <v>#REF!</v>
      </c>
      <c r="H225" s="37" t="e">
        <f>IF(ISBLANK(Data!#REF!),"",Data!#REF!)</f>
        <v>#REF!</v>
      </c>
      <c r="I225" s="37" t="e">
        <f>IF(ISBLANK(Data!#REF!),"",Data!#REF!)</f>
        <v>#REF!</v>
      </c>
      <c r="J225" s="37" t="e">
        <f>IF(ISBLANK(Data!#REF!),"",Data!#REF!)</f>
        <v>#REF!</v>
      </c>
      <c r="K225" s="22" t="e">
        <f>IF(ISBLANK(Data!#REF!),"",Data!#REF!)</f>
        <v>#REF!</v>
      </c>
      <c r="L225" s="22" t="e">
        <f>IF(ISBLANK(Data!#REF!),"",Data!#REF!)</f>
        <v>#REF!</v>
      </c>
      <c r="M225" s="22"/>
      <c r="N225" s="37" t="e">
        <f>IF(ISBLANK(Data!#REF!),"",Data!#REF!)</f>
        <v>#REF!</v>
      </c>
      <c r="O225" s="37" t="e">
        <f>IF(ISBLANK(Data!#REF!),"",Data!#REF!)</f>
        <v>#REF!</v>
      </c>
      <c r="P225" s="37" t="e">
        <f>IF(ISBLANK(Data!#REF!),"",Data!#REF!)</f>
        <v>#REF!</v>
      </c>
      <c r="Q225" s="37" t="e">
        <f>IF(ISBLANK(Data!#REF!),"",Data!#REF!)</f>
        <v>#REF!</v>
      </c>
    </row>
    <row r="226" spans="1:17" x14ac:dyDescent="0.25">
      <c r="A226" s="23" t="e">
        <f t="shared" si="4"/>
        <v>#REF!</v>
      </c>
      <c r="B226" s="42" t="e">
        <f>IF(ISBLANK(Data!#REF!),"",Data!#REF!)</f>
        <v>#REF!</v>
      </c>
      <c r="C226" s="35" t="e">
        <f>IF(ISBLANK(Data!#REF!),"",Data!#REF!)</f>
        <v>#REF!</v>
      </c>
      <c r="D226" s="36" t="e">
        <f>IF(ISBLANK(Data!#REF!),"",Data!#REF!)</f>
        <v>#REF!</v>
      </c>
      <c r="E226" s="36" t="e">
        <f>IF(ISBLANK(Data!#REF!),"",Data!#REF!)</f>
        <v>#REF!</v>
      </c>
      <c r="F226" s="36" t="e">
        <f>IF(ISBLANK(Data!#REF!),"",Data!#REF!)</f>
        <v>#REF!</v>
      </c>
      <c r="G226" s="37" t="e">
        <f>IF(ISBLANK(Data!#REF!),"",Data!#REF!)</f>
        <v>#REF!</v>
      </c>
      <c r="H226" s="37" t="e">
        <f>IF(ISBLANK(Data!#REF!),"",Data!#REF!)</f>
        <v>#REF!</v>
      </c>
      <c r="I226" s="37" t="e">
        <f>IF(ISBLANK(Data!#REF!),"",Data!#REF!)</f>
        <v>#REF!</v>
      </c>
      <c r="J226" s="37" t="e">
        <f>IF(ISBLANK(Data!#REF!),"",Data!#REF!)</f>
        <v>#REF!</v>
      </c>
      <c r="K226" s="22" t="e">
        <f>IF(ISBLANK(Data!#REF!),"",Data!#REF!)</f>
        <v>#REF!</v>
      </c>
      <c r="L226" s="22" t="e">
        <f>IF(ISBLANK(Data!#REF!),"",Data!#REF!)</f>
        <v>#REF!</v>
      </c>
      <c r="M226" s="22"/>
      <c r="N226" s="37" t="e">
        <f>IF(ISBLANK(Data!#REF!),"",Data!#REF!)</f>
        <v>#REF!</v>
      </c>
      <c r="O226" s="37" t="e">
        <f>IF(ISBLANK(Data!#REF!),"",Data!#REF!)</f>
        <v>#REF!</v>
      </c>
      <c r="P226" s="37" t="e">
        <f>IF(ISBLANK(Data!#REF!),"",Data!#REF!)</f>
        <v>#REF!</v>
      </c>
      <c r="Q226" s="37" t="e">
        <f>IF(ISBLANK(Data!#REF!),"",Data!#REF!)</f>
        <v>#REF!</v>
      </c>
    </row>
    <row r="227" spans="1:17" x14ac:dyDescent="0.25">
      <c r="A227" s="23" t="e">
        <f t="shared" si="4"/>
        <v>#REF!</v>
      </c>
      <c r="B227" s="42" t="e">
        <f>IF(ISBLANK(Data!#REF!),"",Data!#REF!)</f>
        <v>#REF!</v>
      </c>
      <c r="C227" s="35" t="e">
        <f>IF(ISBLANK(Data!#REF!),"",Data!#REF!)</f>
        <v>#REF!</v>
      </c>
      <c r="D227" s="36" t="e">
        <f>IF(ISBLANK(Data!#REF!),"",Data!#REF!)</f>
        <v>#REF!</v>
      </c>
      <c r="E227" s="36" t="e">
        <f>IF(ISBLANK(Data!#REF!),"",Data!#REF!)</f>
        <v>#REF!</v>
      </c>
      <c r="F227" s="36" t="e">
        <f>IF(ISBLANK(Data!#REF!),"",Data!#REF!)</f>
        <v>#REF!</v>
      </c>
      <c r="G227" s="37" t="e">
        <f>IF(ISBLANK(Data!#REF!),"",Data!#REF!)</f>
        <v>#REF!</v>
      </c>
      <c r="H227" s="37" t="e">
        <f>IF(ISBLANK(Data!#REF!),"",Data!#REF!)</f>
        <v>#REF!</v>
      </c>
      <c r="I227" s="37" t="e">
        <f>IF(ISBLANK(Data!#REF!),"",Data!#REF!)</f>
        <v>#REF!</v>
      </c>
      <c r="J227" s="37" t="e">
        <f>IF(ISBLANK(Data!#REF!),"",Data!#REF!)</f>
        <v>#REF!</v>
      </c>
      <c r="K227" s="22" t="e">
        <f>IF(ISBLANK(Data!#REF!),"",Data!#REF!)</f>
        <v>#REF!</v>
      </c>
      <c r="L227" s="22" t="e">
        <f>IF(ISBLANK(Data!#REF!),"",Data!#REF!)</f>
        <v>#REF!</v>
      </c>
      <c r="M227" s="22"/>
      <c r="N227" s="37" t="e">
        <f>IF(ISBLANK(Data!#REF!),"",Data!#REF!)</f>
        <v>#REF!</v>
      </c>
      <c r="O227" s="37" t="e">
        <f>IF(ISBLANK(Data!#REF!),"",Data!#REF!)</f>
        <v>#REF!</v>
      </c>
      <c r="P227" s="37" t="e">
        <f>IF(ISBLANK(Data!#REF!),"",Data!#REF!)</f>
        <v>#REF!</v>
      </c>
      <c r="Q227" s="37" t="e">
        <f>IF(ISBLANK(Data!#REF!),"",Data!#REF!)</f>
        <v>#REF!</v>
      </c>
    </row>
    <row r="228" spans="1:17" x14ac:dyDescent="0.25">
      <c r="A228" s="23" t="e">
        <f t="shared" si="4"/>
        <v>#REF!</v>
      </c>
      <c r="B228" s="42" t="e">
        <f>IF(ISBLANK(Data!#REF!),"",Data!#REF!)</f>
        <v>#REF!</v>
      </c>
      <c r="C228" s="35" t="e">
        <f>IF(ISBLANK(Data!#REF!),"",Data!#REF!)</f>
        <v>#REF!</v>
      </c>
      <c r="D228" s="36" t="e">
        <f>IF(ISBLANK(Data!#REF!),"",Data!#REF!)</f>
        <v>#REF!</v>
      </c>
      <c r="E228" s="36" t="e">
        <f>IF(ISBLANK(Data!#REF!),"",Data!#REF!)</f>
        <v>#REF!</v>
      </c>
      <c r="F228" s="36" t="e">
        <f>IF(ISBLANK(Data!#REF!),"",Data!#REF!)</f>
        <v>#REF!</v>
      </c>
      <c r="G228" s="37" t="e">
        <f>IF(ISBLANK(Data!#REF!),"",Data!#REF!)</f>
        <v>#REF!</v>
      </c>
      <c r="H228" s="37" t="e">
        <f>IF(ISBLANK(Data!#REF!),"",Data!#REF!)</f>
        <v>#REF!</v>
      </c>
      <c r="I228" s="37" t="e">
        <f>IF(ISBLANK(Data!#REF!),"",Data!#REF!)</f>
        <v>#REF!</v>
      </c>
      <c r="J228" s="37" t="e">
        <f>IF(ISBLANK(Data!#REF!),"",Data!#REF!)</f>
        <v>#REF!</v>
      </c>
      <c r="K228" s="22" t="e">
        <f>IF(ISBLANK(Data!#REF!),"",Data!#REF!)</f>
        <v>#REF!</v>
      </c>
      <c r="L228" s="22" t="e">
        <f>IF(ISBLANK(Data!#REF!),"",Data!#REF!)</f>
        <v>#REF!</v>
      </c>
      <c r="M228" s="22"/>
      <c r="N228" s="37" t="e">
        <f>IF(ISBLANK(Data!#REF!),"",Data!#REF!)</f>
        <v>#REF!</v>
      </c>
      <c r="O228" s="37" t="e">
        <f>IF(ISBLANK(Data!#REF!),"",Data!#REF!)</f>
        <v>#REF!</v>
      </c>
      <c r="P228" s="37" t="e">
        <f>IF(ISBLANK(Data!#REF!),"",Data!#REF!)</f>
        <v>#REF!</v>
      </c>
      <c r="Q228" s="37" t="e">
        <f>IF(ISBLANK(Data!#REF!),"",Data!#REF!)</f>
        <v>#REF!</v>
      </c>
    </row>
    <row r="229" spans="1:17" x14ac:dyDescent="0.25">
      <c r="A229" s="23" t="e">
        <f t="shared" si="4"/>
        <v>#REF!</v>
      </c>
      <c r="B229" s="42" t="e">
        <f>IF(ISBLANK(Data!#REF!),"",Data!#REF!)</f>
        <v>#REF!</v>
      </c>
      <c r="C229" s="35" t="e">
        <f>IF(ISBLANK(Data!#REF!),"",Data!#REF!)</f>
        <v>#REF!</v>
      </c>
      <c r="D229" s="36" t="e">
        <f>IF(ISBLANK(Data!#REF!),"",Data!#REF!)</f>
        <v>#REF!</v>
      </c>
      <c r="E229" s="36" t="e">
        <f>IF(ISBLANK(Data!#REF!),"",Data!#REF!)</f>
        <v>#REF!</v>
      </c>
      <c r="F229" s="36" t="e">
        <f>IF(ISBLANK(Data!#REF!),"",Data!#REF!)</f>
        <v>#REF!</v>
      </c>
      <c r="G229" s="37" t="e">
        <f>IF(ISBLANK(Data!#REF!),"",Data!#REF!)</f>
        <v>#REF!</v>
      </c>
      <c r="H229" s="37" t="e">
        <f>IF(ISBLANK(Data!#REF!),"",Data!#REF!)</f>
        <v>#REF!</v>
      </c>
      <c r="I229" s="37" t="e">
        <f>IF(ISBLANK(Data!#REF!),"",Data!#REF!)</f>
        <v>#REF!</v>
      </c>
      <c r="J229" s="37" t="e">
        <f>IF(ISBLANK(Data!#REF!),"",Data!#REF!)</f>
        <v>#REF!</v>
      </c>
      <c r="K229" s="22" t="e">
        <f>IF(ISBLANK(Data!#REF!),"",Data!#REF!)</f>
        <v>#REF!</v>
      </c>
      <c r="L229" s="22" t="e">
        <f>IF(ISBLANK(Data!#REF!),"",Data!#REF!)</f>
        <v>#REF!</v>
      </c>
      <c r="M229" s="22"/>
      <c r="N229" s="37" t="e">
        <f>IF(ISBLANK(Data!#REF!),"",Data!#REF!)</f>
        <v>#REF!</v>
      </c>
      <c r="O229" s="37" t="e">
        <f>IF(ISBLANK(Data!#REF!),"",Data!#REF!)</f>
        <v>#REF!</v>
      </c>
      <c r="P229" s="37" t="e">
        <f>IF(ISBLANK(Data!#REF!),"",Data!#REF!)</f>
        <v>#REF!</v>
      </c>
      <c r="Q229" s="37" t="e">
        <f>IF(ISBLANK(Data!#REF!),"",Data!#REF!)</f>
        <v>#REF!</v>
      </c>
    </row>
    <row r="230" spans="1:17" x14ac:dyDescent="0.25">
      <c r="A230" s="23" t="e">
        <f t="shared" si="4"/>
        <v>#REF!</v>
      </c>
      <c r="B230" s="42" t="e">
        <f>IF(ISBLANK(Data!#REF!),"",Data!#REF!)</f>
        <v>#REF!</v>
      </c>
      <c r="C230" s="35" t="e">
        <f>IF(ISBLANK(Data!#REF!),"",Data!#REF!)</f>
        <v>#REF!</v>
      </c>
      <c r="D230" s="36" t="e">
        <f>IF(ISBLANK(Data!#REF!),"",Data!#REF!)</f>
        <v>#REF!</v>
      </c>
      <c r="E230" s="36" t="e">
        <f>IF(ISBLANK(Data!#REF!),"",Data!#REF!)</f>
        <v>#REF!</v>
      </c>
      <c r="F230" s="36" t="e">
        <f>IF(ISBLANK(Data!#REF!),"",Data!#REF!)</f>
        <v>#REF!</v>
      </c>
      <c r="G230" s="37" t="e">
        <f>IF(ISBLANK(Data!#REF!),"",Data!#REF!)</f>
        <v>#REF!</v>
      </c>
      <c r="H230" s="37" t="e">
        <f>IF(ISBLANK(Data!#REF!),"",Data!#REF!)</f>
        <v>#REF!</v>
      </c>
      <c r="I230" s="37" t="e">
        <f>IF(ISBLANK(Data!#REF!),"",Data!#REF!)</f>
        <v>#REF!</v>
      </c>
      <c r="J230" s="37" t="e">
        <f>IF(ISBLANK(Data!#REF!),"",Data!#REF!)</f>
        <v>#REF!</v>
      </c>
      <c r="K230" s="22" t="e">
        <f>IF(ISBLANK(Data!#REF!),"",Data!#REF!)</f>
        <v>#REF!</v>
      </c>
      <c r="L230" s="22" t="e">
        <f>IF(ISBLANK(Data!#REF!),"",Data!#REF!)</f>
        <v>#REF!</v>
      </c>
      <c r="M230" s="22"/>
      <c r="N230" s="37" t="e">
        <f>IF(ISBLANK(Data!#REF!),"",Data!#REF!)</f>
        <v>#REF!</v>
      </c>
      <c r="O230" s="37" t="e">
        <f>IF(ISBLANK(Data!#REF!),"",Data!#REF!)</f>
        <v>#REF!</v>
      </c>
      <c r="P230" s="37" t="e">
        <f>IF(ISBLANK(Data!#REF!),"",Data!#REF!)</f>
        <v>#REF!</v>
      </c>
      <c r="Q230" s="37" t="e">
        <f>IF(ISBLANK(Data!#REF!),"",Data!#REF!)</f>
        <v>#REF!</v>
      </c>
    </row>
    <row r="231" spans="1:17" x14ac:dyDescent="0.25">
      <c r="A231" s="23" t="e">
        <f t="shared" si="4"/>
        <v>#REF!</v>
      </c>
      <c r="B231" s="42" t="e">
        <f>IF(ISBLANK(Data!#REF!),"",Data!#REF!)</f>
        <v>#REF!</v>
      </c>
      <c r="C231" s="35" t="e">
        <f>IF(ISBLANK(Data!#REF!),"",Data!#REF!)</f>
        <v>#REF!</v>
      </c>
      <c r="D231" s="36" t="e">
        <f>IF(ISBLANK(Data!#REF!),"",Data!#REF!)</f>
        <v>#REF!</v>
      </c>
      <c r="E231" s="36" t="e">
        <f>IF(ISBLANK(Data!#REF!),"",Data!#REF!)</f>
        <v>#REF!</v>
      </c>
      <c r="F231" s="36" t="e">
        <f>IF(ISBLANK(Data!#REF!),"",Data!#REF!)</f>
        <v>#REF!</v>
      </c>
      <c r="G231" s="37" t="e">
        <f>IF(ISBLANK(Data!#REF!),"",Data!#REF!)</f>
        <v>#REF!</v>
      </c>
      <c r="H231" s="37" t="e">
        <f>IF(ISBLANK(Data!#REF!),"",Data!#REF!)</f>
        <v>#REF!</v>
      </c>
      <c r="I231" s="37" t="e">
        <f>IF(ISBLANK(Data!#REF!),"",Data!#REF!)</f>
        <v>#REF!</v>
      </c>
      <c r="J231" s="37" t="e">
        <f>IF(ISBLANK(Data!#REF!),"",Data!#REF!)</f>
        <v>#REF!</v>
      </c>
      <c r="K231" s="22" t="e">
        <f>IF(ISBLANK(Data!#REF!),"",Data!#REF!)</f>
        <v>#REF!</v>
      </c>
      <c r="L231" s="22" t="e">
        <f>IF(ISBLANK(Data!#REF!),"",Data!#REF!)</f>
        <v>#REF!</v>
      </c>
      <c r="M231" s="22"/>
      <c r="N231" s="37" t="e">
        <f>IF(ISBLANK(Data!#REF!),"",Data!#REF!)</f>
        <v>#REF!</v>
      </c>
      <c r="O231" s="37" t="e">
        <f>IF(ISBLANK(Data!#REF!),"",Data!#REF!)</f>
        <v>#REF!</v>
      </c>
      <c r="P231" s="37" t="e">
        <f>IF(ISBLANK(Data!#REF!),"",Data!#REF!)</f>
        <v>#REF!</v>
      </c>
      <c r="Q231" s="37" t="e">
        <f>IF(ISBLANK(Data!#REF!),"",Data!#REF!)</f>
        <v>#REF!</v>
      </c>
    </row>
    <row r="232" spans="1:17" x14ac:dyDescent="0.25">
      <c r="A232" s="23" t="e">
        <f t="shared" si="4"/>
        <v>#REF!</v>
      </c>
      <c r="B232" s="42" t="e">
        <f>IF(ISBLANK(Data!#REF!),"",Data!#REF!)</f>
        <v>#REF!</v>
      </c>
      <c r="C232" s="35" t="e">
        <f>IF(ISBLANK(Data!#REF!),"",Data!#REF!)</f>
        <v>#REF!</v>
      </c>
      <c r="D232" s="36" t="e">
        <f>IF(ISBLANK(Data!#REF!),"",Data!#REF!)</f>
        <v>#REF!</v>
      </c>
      <c r="E232" s="36" t="e">
        <f>IF(ISBLANK(Data!#REF!),"",Data!#REF!)</f>
        <v>#REF!</v>
      </c>
      <c r="F232" s="36" t="e">
        <f>IF(ISBLANK(Data!#REF!),"",Data!#REF!)</f>
        <v>#REF!</v>
      </c>
      <c r="G232" s="37" t="e">
        <f>IF(ISBLANK(Data!#REF!),"",Data!#REF!)</f>
        <v>#REF!</v>
      </c>
      <c r="H232" s="37" t="e">
        <f>IF(ISBLANK(Data!#REF!),"",Data!#REF!)</f>
        <v>#REF!</v>
      </c>
      <c r="I232" s="37" t="e">
        <f>IF(ISBLANK(Data!#REF!),"",Data!#REF!)</f>
        <v>#REF!</v>
      </c>
      <c r="J232" s="37" t="e">
        <f>IF(ISBLANK(Data!#REF!),"",Data!#REF!)</f>
        <v>#REF!</v>
      </c>
      <c r="K232" s="22" t="e">
        <f>IF(ISBLANK(Data!#REF!),"",Data!#REF!)</f>
        <v>#REF!</v>
      </c>
      <c r="L232" s="22" t="e">
        <f>IF(ISBLANK(Data!#REF!),"",Data!#REF!)</f>
        <v>#REF!</v>
      </c>
      <c r="M232" s="22"/>
      <c r="N232" s="37" t="e">
        <f>IF(ISBLANK(Data!#REF!),"",Data!#REF!)</f>
        <v>#REF!</v>
      </c>
      <c r="O232" s="37" t="e">
        <f>IF(ISBLANK(Data!#REF!),"",Data!#REF!)</f>
        <v>#REF!</v>
      </c>
      <c r="P232" s="37" t="e">
        <f>IF(ISBLANK(Data!#REF!),"",Data!#REF!)</f>
        <v>#REF!</v>
      </c>
      <c r="Q232" s="37" t="e">
        <f>IF(ISBLANK(Data!#REF!),"",Data!#REF!)</f>
        <v>#REF!</v>
      </c>
    </row>
    <row r="233" spans="1:17" x14ac:dyDescent="0.25">
      <c r="A233" s="23" t="e">
        <f t="shared" si="4"/>
        <v>#REF!</v>
      </c>
      <c r="B233" s="42" t="e">
        <f>IF(ISBLANK(Data!#REF!),"",Data!#REF!)</f>
        <v>#REF!</v>
      </c>
      <c r="C233" s="35" t="e">
        <f>IF(ISBLANK(Data!#REF!),"",Data!#REF!)</f>
        <v>#REF!</v>
      </c>
      <c r="D233" s="36" t="e">
        <f>IF(ISBLANK(Data!#REF!),"",Data!#REF!)</f>
        <v>#REF!</v>
      </c>
      <c r="E233" s="36" t="e">
        <f>IF(ISBLANK(Data!#REF!),"",Data!#REF!)</f>
        <v>#REF!</v>
      </c>
      <c r="F233" s="36" t="e">
        <f>IF(ISBLANK(Data!#REF!),"",Data!#REF!)</f>
        <v>#REF!</v>
      </c>
      <c r="G233" s="37" t="e">
        <f>IF(ISBLANK(Data!#REF!),"",Data!#REF!)</f>
        <v>#REF!</v>
      </c>
      <c r="H233" s="37" t="e">
        <f>IF(ISBLANK(Data!#REF!),"",Data!#REF!)</f>
        <v>#REF!</v>
      </c>
      <c r="I233" s="37" t="e">
        <f>IF(ISBLANK(Data!#REF!),"",Data!#REF!)</f>
        <v>#REF!</v>
      </c>
      <c r="J233" s="37" t="e">
        <f>IF(ISBLANK(Data!#REF!),"",Data!#REF!)</f>
        <v>#REF!</v>
      </c>
      <c r="K233" s="22" t="e">
        <f>IF(ISBLANK(Data!#REF!),"",Data!#REF!)</f>
        <v>#REF!</v>
      </c>
      <c r="L233" s="22" t="e">
        <f>IF(ISBLANK(Data!#REF!),"",Data!#REF!)</f>
        <v>#REF!</v>
      </c>
      <c r="M233" s="22"/>
      <c r="N233" s="37" t="e">
        <f>IF(ISBLANK(Data!#REF!),"",Data!#REF!)</f>
        <v>#REF!</v>
      </c>
      <c r="O233" s="37" t="e">
        <f>IF(ISBLANK(Data!#REF!),"",Data!#REF!)</f>
        <v>#REF!</v>
      </c>
      <c r="P233" s="37" t="e">
        <f>IF(ISBLANK(Data!#REF!),"",Data!#REF!)</f>
        <v>#REF!</v>
      </c>
      <c r="Q233" s="37" t="e">
        <f>IF(ISBLANK(Data!#REF!),"",Data!#REF!)</f>
        <v>#REF!</v>
      </c>
    </row>
    <row r="234" spans="1:17" x14ac:dyDescent="0.25">
      <c r="A234" s="23" t="e">
        <f t="shared" si="4"/>
        <v>#REF!</v>
      </c>
      <c r="B234" s="42" t="e">
        <f>IF(ISBLANK(Data!#REF!),"",Data!#REF!)</f>
        <v>#REF!</v>
      </c>
      <c r="C234" s="35" t="e">
        <f>IF(ISBLANK(Data!#REF!),"",Data!#REF!)</f>
        <v>#REF!</v>
      </c>
      <c r="D234" s="36" t="e">
        <f>IF(ISBLANK(Data!#REF!),"",Data!#REF!)</f>
        <v>#REF!</v>
      </c>
      <c r="E234" s="36" t="e">
        <f>IF(ISBLANK(Data!#REF!),"",Data!#REF!)</f>
        <v>#REF!</v>
      </c>
      <c r="F234" s="36" t="e">
        <f>IF(ISBLANK(Data!#REF!),"",Data!#REF!)</f>
        <v>#REF!</v>
      </c>
      <c r="G234" s="37" t="e">
        <f>IF(ISBLANK(Data!#REF!),"",Data!#REF!)</f>
        <v>#REF!</v>
      </c>
      <c r="H234" s="37" t="e">
        <f>IF(ISBLANK(Data!#REF!),"",Data!#REF!)</f>
        <v>#REF!</v>
      </c>
      <c r="I234" s="37" t="e">
        <f>IF(ISBLANK(Data!#REF!),"",Data!#REF!)</f>
        <v>#REF!</v>
      </c>
      <c r="J234" s="37" t="e">
        <f>IF(ISBLANK(Data!#REF!),"",Data!#REF!)</f>
        <v>#REF!</v>
      </c>
      <c r="K234" s="22" t="e">
        <f>IF(ISBLANK(Data!#REF!),"",Data!#REF!)</f>
        <v>#REF!</v>
      </c>
      <c r="L234" s="22" t="e">
        <f>IF(ISBLANK(Data!#REF!),"",Data!#REF!)</f>
        <v>#REF!</v>
      </c>
      <c r="M234" s="22"/>
      <c r="N234" s="37" t="e">
        <f>IF(ISBLANK(Data!#REF!),"",Data!#REF!)</f>
        <v>#REF!</v>
      </c>
      <c r="O234" s="37" t="e">
        <f>IF(ISBLANK(Data!#REF!),"",Data!#REF!)</f>
        <v>#REF!</v>
      </c>
      <c r="P234" s="37" t="e">
        <f>IF(ISBLANK(Data!#REF!),"",Data!#REF!)</f>
        <v>#REF!</v>
      </c>
      <c r="Q234" s="37" t="e">
        <f>IF(ISBLANK(Data!#REF!),"",Data!#REF!)</f>
        <v>#REF!</v>
      </c>
    </row>
    <row r="235" spans="1:17" x14ac:dyDescent="0.25">
      <c r="A235" s="23" t="e">
        <f t="shared" si="4"/>
        <v>#REF!</v>
      </c>
      <c r="B235" s="42" t="e">
        <f>IF(ISBLANK(Data!#REF!),"",Data!#REF!)</f>
        <v>#REF!</v>
      </c>
      <c r="C235" s="35" t="e">
        <f>IF(ISBLANK(Data!#REF!),"",Data!#REF!)</f>
        <v>#REF!</v>
      </c>
      <c r="D235" s="36" t="e">
        <f>IF(ISBLANK(Data!#REF!),"",Data!#REF!)</f>
        <v>#REF!</v>
      </c>
      <c r="E235" s="36" t="e">
        <f>IF(ISBLANK(Data!#REF!),"",Data!#REF!)</f>
        <v>#REF!</v>
      </c>
      <c r="F235" s="36" t="e">
        <f>IF(ISBLANK(Data!#REF!),"",Data!#REF!)</f>
        <v>#REF!</v>
      </c>
      <c r="G235" s="37" t="e">
        <f>IF(ISBLANK(Data!#REF!),"",Data!#REF!)</f>
        <v>#REF!</v>
      </c>
      <c r="H235" s="37" t="e">
        <f>IF(ISBLANK(Data!#REF!),"",Data!#REF!)</f>
        <v>#REF!</v>
      </c>
      <c r="I235" s="37" t="e">
        <f>IF(ISBLANK(Data!#REF!),"",Data!#REF!)</f>
        <v>#REF!</v>
      </c>
      <c r="J235" s="37" t="e">
        <f>IF(ISBLANK(Data!#REF!),"",Data!#REF!)</f>
        <v>#REF!</v>
      </c>
      <c r="K235" s="22" t="e">
        <f>IF(ISBLANK(Data!#REF!),"",Data!#REF!)</f>
        <v>#REF!</v>
      </c>
      <c r="L235" s="22" t="e">
        <f>IF(ISBLANK(Data!#REF!),"",Data!#REF!)</f>
        <v>#REF!</v>
      </c>
      <c r="M235" s="22"/>
      <c r="N235" s="37" t="e">
        <f>IF(ISBLANK(Data!#REF!),"",Data!#REF!)</f>
        <v>#REF!</v>
      </c>
      <c r="O235" s="37" t="e">
        <f>IF(ISBLANK(Data!#REF!),"",Data!#REF!)</f>
        <v>#REF!</v>
      </c>
      <c r="P235" s="37" t="e">
        <f>IF(ISBLANK(Data!#REF!),"",Data!#REF!)</f>
        <v>#REF!</v>
      </c>
      <c r="Q235" s="37" t="e">
        <f>IF(ISBLANK(Data!#REF!),"",Data!#REF!)</f>
        <v>#REF!</v>
      </c>
    </row>
    <row r="236" spans="1:17" x14ac:dyDescent="0.25">
      <c r="A236" s="23" t="e">
        <f t="shared" si="4"/>
        <v>#REF!</v>
      </c>
      <c r="B236" s="42" t="e">
        <f>IF(ISBLANK(Data!#REF!),"",Data!#REF!)</f>
        <v>#REF!</v>
      </c>
      <c r="C236" s="35" t="e">
        <f>IF(ISBLANK(Data!#REF!),"",Data!#REF!)</f>
        <v>#REF!</v>
      </c>
      <c r="D236" s="36" t="e">
        <f>IF(ISBLANK(Data!#REF!),"",Data!#REF!)</f>
        <v>#REF!</v>
      </c>
      <c r="E236" s="36" t="e">
        <f>IF(ISBLANK(Data!#REF!),"",Data!#REF!)</f>
        <v>#REF!</v>
      </c>
      <c r="F236" s="36" t="e">
        <f>IF(ISBLANK(Data!#REF!),"",Data!#REF!)</f>
        <v>#REF!</v>
      </c>
      <c r="G236" s="37" t="e">
        <f>IF(ISBLANK(Data!#REF!),"",Data!#REF!)</f>
        <v>#REF!</v>
      </c>
      <c r="H236" s="37" t="e">
        <f>IF(ISBLANK(Data!#REF!),"",Data!#REF!)</f>
        <v>#REF!</v>
      </c>
      <c r="I236" s="37" t="e">
        <f>IF(ISBLANK(Data!#REF!),"",Data!#REF!)</f>
        <v>#REF!</v>
      </c>
      <c r="J236" s="37" t="e">
        <f>IF(ISBLANK(Data!#REF!),"",Data!#REF!)</f>
        <v>#REF!</v>
      </c>
      <c r="K236" s="22" t="e">
        <f>IF(ISBLANK(Data!#REF!),"",Data!#REF!)</f>
        <v>#REF!</v>
      </c>
      <c r="L236" s="22" t="e">
        <f>IF(ISBLANK(Data!#REF!),"",Data!#REF!)</f>
        <v>#REF!</v>
      </c>
      <c r="M236" s="22"/>
      <c r="N236" s="37" t="e">
        <f>IF(ISBLANK(Data!#REF!),"",Data!#REF!)</f>
        <v>#REF!</v>
      </c>
      <c r="O236" s="37" t="e">
        <f>IF(ISBLANK(Data!#REF!),"",Data!#REF!)</f>
        <v>#REF!</v>
      </c>
      <c r="P236" s="37" t="e">
        <f>IF(ISBLANK(Data!#REF!),"",Data!#REF!)</f>
        <v>#REF!</v>
      </c>
      <c r="Q236" s="37" t="e">
        <f>IF(ISBLANK(Data!#REF!),"",Data!#REF!)</f>
        <v>#REF!</v>
      </c>
    </row>
    <row r="237" spans="1:17" x14ac:dyDescent="0.25">
      <c r="A237" s="23" t="e">
        <f t="shared" si="4"/>
        <v>#REF!</v>
      </c>
      <c r="B237" s="42" t="e">
        <f>IF(ISBLANK(Data!#REF!),"",Data!#REF!)</f>
        <v>#REF!</v>
      </c>
      <c r="C237" s="35" t="e">
        <f>IF(ISBLANK(Data!#REF!),"",Data!#REF!)</f>
        <v>#REF!</v>
      </c>
      <c r="D237" s="36" t="e">
        <f>IF(ISBLANK(Data!#REF!),"",Data!#REF!)</f>
        <v>#REF!</v>
      </c>
      <c r="E237" s="36" t="e">
        <f>IF(ISBLANK(Data!#REF!),"",Data!#REF!)</f>
        <v>#REF!</v>
      </c>
      <c r="F237" s="36" t="e">
        <f>IF(ISBLANK(Data!#REF!),"",Data!#REF!)</f>
        <v>#REF!</v>
      </c>
      <c r="G237" s="37" t="e">
        <f>IF(ISBLANK(Data!#REF!),"",Data!#REF!)</f>
        <v>#REF!</v>
      </c>
      <c r="H237" s="37" t="e">
        <f>IF(ISBLANK(Data!#REF!),"",Data!#REF!)</f>
        <v>#REF!</v>
      </c>
      <c r="I237" s="37" t="e">
        <f>IF(ISBLANK(Data!#REF!),"",Data!#REF!)</f>
        <v>#REF!</v>
      </c>
      <c r="J237" s="37" t="e">
        <f>IF(ISBLANK(Data!#REF!),"",Data!#REF!)</f>
        <v>#REF!</v>
      </c>
      <c r="K237" s="22" t="e">
        <f>IF(ISBLANK(Data!#REF!),"",Data!#REF!)</f>
        <v>#REF!</v>
      </c>
      <c r="L237" s="22" t="e">
        <f>IF(ISBLANK(Data!#REF!),"",Data!#REF!)</f>
        <v>#REF!</v>
      </c>
      <c r="M237" s="22"/>
      <c r="N237" s="37" t="e">
        <f>IF(ISBLANK(Data!#REF!),"",Data!#REF!)</f>
        <v>#REF!</v>
      </c>
      <c r="O237" s="37" t="e">
        <f>IF(ISBLANK(Data!#REF!),"",Data!#REF!)</f>
        <v>#REF!</v>
      </c>
      <c r="P237" s="37" t="e">
        <f>IF(ISBLANK(Data!#REF!),"",Data!#REF!)</f>
        <v>#REF!</v>
      </c>
      <c r="Q237" s="37" t="e">
        <f>IF(ISBLANK(Data!#REF!),"",Data!#REF!)</f>
        <v>#REF!</v>
      </c>
    </row>
    <row r="238" spans="1:17" x14ac:dyDescent="0.25">
      <c r="A238" s="23" t="e">
        <f t="shared" si="4"/>
        <v>#REF!</v>
      </c>
      <c r="B238" s="42" t="e">
        <f>IF(ISBLANK(Data!#REF!),"",Data!#REF!)</f>
        <v>#REF!</v>
      </c>
      <c r="C238" s="35" t="e">
        <f>IF(ISBLANK(Data!#REF!),"",Data!#REF!)</f>
        <v>#REF!</v>
      </c>
      <c r="D238" s="36" t="e">
        <f>IF(ISBLANK(Data!#REF!),"",Data!#REF!)</f>
        <v>#REF!</v>
      </c>
      <c r="E238" s="36" t="e">
        <f>IF(ISBLANK(Data!#REF!),"",Data!#REF!)</f>
        <v>#REF!</v>
      </c>
      <c r="F238" s="36" t="e">
        <f>IF(ISBLANK(Data!#REF!),"",Data!#REF!)</f>
        <v>#REF!</v>
      </c>
      <c r="G238" s="37" t="e">
        <f>IF(ISBLANK(Data!#REF!),"",Data!#REF!)</f>
        <v>#REF!</v>
      </c>
      <c r="H238" s="37" t="e">
        <f>IF(ISBLANK(Data!#REF!),"",Data!#REF!)</f>
        <v>#REF!</v>
      </c>
      <c r="I238" s="37" t="e">
        <f>IF(ISBLANK(Data!#REF!),"",Data!#REF!)</f>
        <v>#REF!</v>
      </c>
      <c r="J238" s="37" t="e">
        <f>IF(ISBLANK(Data!#REF!),"",Data!#REF!)</f>
        <v>#REF!</v>
      </c>
      <c r="K238" s="22" t="e">
        <f>IF(ISBLANK(Data!#REF!),"",Data!#REF!)</f>
        <v>#REF!</v>
      </c>
      <c r="L238" s="22" t="e">
        <f>IF(ISBLANK(Data!#REF!),"",Data!#REF!)</f>
        <v>#REF!</v>
      </c>
      <c r="M238" s="22"/>
      <c r="N238" s="37" t="e">
        <f>IF(ISBLANK(Data!#REF!),"",Data!#REF!)</f>
        <v>#REF!</v>
      </c>
      <c r="O238" s="37" t="e">
        <f>IF(ISBLANK(Data!#REF!),"",Data!#REF!)</f>
        <v>#REF!</v>
      </c>
      <c r="P238" s="37" t="e">
        <f>IF(ISBLANK(Data!#REF!),"",Data!#REF!)</f>
        <v>#REF!</v>
      </c>
      <c r="Q238" s="37" t="e">
        <f>IF(ISBLANK(Data!#REF!),"",Data!#REF!)</f>
        <v>#REF!</v>
      </c>
    </row>
    <row r="239" spans="1:17" x14ac:dyDescent="0.25">
      <c r="A239" s="23" t="e">
        <f t="shared" si="4"/>
        <v>#REF!</v>
      </c>
      <c r="B239" s="42" t="e">
        <f>IF(ISBLANK(Data!#REF!),"",Data!#REF!)</f>
        <v>#REF!</v>
      </c>
      <c r="C239" s="35" t="e">
        <f>IF(ISBLANK(Data!#REF!),"",Data!#REF!)</f>
        <v>#REF!</v>
      </c>
      <c r="D239" s="36" t="e">
        <f>IF(ISBLANK(Data!#REF!),"",Data!#REF!)</f>
        <v>#REF!</v>
      </c>
      <c r="E239" s="36" t="e">
        <f>IF(ISBLANK(Data!#REF!),"",Data!#REF!)</f>
        <v>#REF!</v>
      </c>
      <c r="F239" s="36" t="e">
        <f>IF(ISBLANK(Data!#REF!),"",Data!#REF!)</f>
        <v>#REF!</v>
      </c>
      <c r="G239" s="37" t="e">
        <f>IF(ISBLANK(Data!#REF!),"",Data!#REF!)</f>
        <v>#REF!</v>
      </c>
      <c r="H239" s="37" t="e">
        <f>IF(ISBLANK(Data!#REF!),"",Data!#REF!)</f>
        <v>#REF!</v>
      </c>
      <c r="I239" s="37" t="e">
        <f>IF(ISBLANK(Data!#REF!),"",Data!#REF!)</f>
        <v>#REF!</v>
      </c>
      <c r="J239" s="37" t="e">
        <f>IF(ISBLANK(Data!#REF!),"",Data!#REF!)</f>
        <v>#REF!</v>
      </c>
      <c r="K239" s="22" t="e">
        <f>IF(ISBLANK(Data!#REF!),"",Data!#REF!)</f>
        <v>#REF!</v>
      </c>
      <c r="L239" s="22" t="e">
        <f>IF(ISBLANK(Data!#REF!),"",Data!#REF!)</f>
        <v>#REF!</v>
      </c>
      <c r="M239" s="22"/>
      <c r="N239" s="37" t="e">
        <f>IF(ISBLANK(Data!#REF!),"",Data!#REF!)</f>
        <v>#REF!</v>
      </c>
      <c r="O239" s="37" t="e">
        <f>IF(ISBLANK(Data!#REF!),"",Data!#REF!)</f>
        <v>#REF!</v>
      </c>
      <c r="P239" s="37" t="e">
        <f>IF(ISBLANK(Data!#REF!),"",Data!#REF!)</f>
        <v>#REF!</v>
      </c>
      <c r="Q239" s="37" t="e">
        <f>IF(ISBLANK(Data!#REF!),"",Data!#REF!)</f>
        <v>#REF!</v>
      </c>
    </row>
    <row r="240" spans="1:17" x14ac:dyDescent="0.25">
      <c r="A240" s="23" t="e">
        <f t="shared" si="4"/>
        <v>#REF!</v>
      </c>
      <c r="B240" s="42" t="e">
        <f>IF(ISBLANK(Data!#REF!),"",Data!#REF!)</f>
        <v>#REF!</v>
      </c>
      <c r="C240" s="35" t="e">
        <f>IF(ISBLANK(Data!#REF!),"",Data!#REF!)</f>
        <v>#REF!</v>
      </c>
      <c r="D240" s="36" t="e">
        <f>IF(ISBLANK(Data!#REF!),"",Data!#REF!)</f>
        <v>#REF!</v>
      </c>
      <c r="E240" s="36" t="e">
        <f>IF(ISBLANK(Data!#REF!),"",Data!#REF!)</f>
        <v>#REF!</v>
      </c>
      <c r="F240" s="36" t="e">
        <f>IF(ISBLANK(Data!#REF!),"",Data!#REF!)</f>
        <v>#REF!</v>
      </c>
      <c r="G240" s="37" t="e">
        <f>IF(ISBLANK(Data!#REF!),"",Data!#REF!)</f>
        <v>#REF!</v>
      </c>
      <c r="H240" s="37" t="e">
        <f>IF(ISBLANK(Data!#REF!),"",Data!#REF!)</f>
        <v>#REF!</v>
      </c>
      <c r="I240" s="37" t="e">
        <f>IF(ISBLANK(Data!#REF!),"",Data!#REF!)</f>
        <v>#REF!</v>
      </c>
      <c r="J240" s="37" t="e">
        <f>IF(ISBLANK(Data!#REF!),"",Data!#REF!)</f>
        <v>#REF!</v>
      </c>
      <c r="K240" s="22" t="e">
        <f>IF(ISBLANK(Data!#REF!),"",Data!#REF!)</f>
        <v>#REF!</v>
      </c>
      <c r="L240" s="22" t="e">
        <f>IF(ISBLANK(Data!#REF!),"",Data!#REF!)</f>
        <v>#REF!</v>
      </c>
      <c r="M240" s="22"/>
      <c r="N240" s="37" t="e">
        <f>IF(ISBLANK(Data!#REF!),"",Data!#REF!)</f>
        <v>#REF!</v>
      </c>
      <c r="O240" s="37" t="e">
        <f>IF(ISBLANK(Data!#REF!),"",Data!#REF!)</f>
        <v>#REF!</v>
      </c>
      <c r="P240" s="37" t="e">
        <f>IF(ISBLANK(Data!#REF!),"",Data!#REF!)</f>
        <v>#REF!</v>
      </c>
      <c r="Q240" s="37" t="e">
        <f>IF(ISBLANK(Data!#REF!),"",Data!#REF!)</f>
        <v>#REF!</v>
      </c>
    </row>
    <row r="241" spans="1:17" x14ac:dyDescent="0.25">
      <c r="A241" s="23" t="e">
        <f t="shared" si="4"/>
        <v>#REF!</v>
      </c>
      <c r="B241" s="42" t="e">
        <f>IF(ISBLANK(Data!#REF!),"",Data!#REF!)</f>
        <v>#REF!</v>
      </c>
      <c r="C241" s="35" t="e">
        <f>IF(ISBLANK(Data!#REF!),"",Data!#REF!)</f>
        <v>#REF!</v>
      </c>
      <c r="D241" s="36" t="e">
        <f>IF(ISBLANK(Data!#REF!),"",Data!#REF!)</f>
        <v>#REF!</v>
      </c>
      <c r="E241" s="36" t="e">
        <f>IF(ISBLANK(Data!#REF!),"",Data!#REF!)</f>
        <v>#REF!</v>
      </c>
      <c r="F241" s="36" t="e">
        <f>IF(ISBLANK(Data!#REF!),"",Data!#REF!)</f>
        <v>#REF!</v>
      </c>
      <c r="G241" s="37" t="e">
        <f>IF(ISBLANK(Data!#REF!),"",Data!#REF!)</f>
        <v>#REF!</v>
      </c>
      <c r="H241" s="37" t="e">
        <f>IF(ISBLANK(Data!#REF!),"",Data!#REF!)</f>
        <v>#REF!</v>
      </c>
      <c r="I241" s="37" t="e">
        <f>IF(ISBLANK(Data!#REF!),"",Data!#REF!)</f>
        <v>#REF!</v>
      </c>
      <c r="J241" s="37" t="e">
        <f>IF(ISBLANK(Data!#REF!),"",Data!#REF!)</f>
        <v>#REF!</v>
      </c>
      <c r="K241" s="22" t="e">
        <f>IF(ISBLANK(Data!#REF!),"",Data!#REF!)</f>
        <v>#REF!</v>
      </c>
      <c r="L241" s="22" t="e">
        <f>IF(ISBLANK(Data!#REF!),"",Data!#REF!)</f>
        <v>#REF!</v>
      </c>
      <c r="M241" s="22"/>
      <c r="N241" s="37" t="e">
        <f>IF(ISBLANK(Data!#REF!),"",Data!#REF!)</f>
        <v>#REF!</v>
      </c>
      <c r="O241" s="37" t="e">
        <f>IF(ISBLANK(Data!#REF!),"",Data!#REF!)</f>
        <v>#REF!</v>
      </c>
      <c r="P241" s="37" t="e">
        <f>IF(ISBLANK(Data!#REF!),"",Data!#REF!)</f>
        <v>#REF!</v>
      </c>
      <c r="Q241" s="37" t="e">
        <f>IF(ISBLANK(Data!#REF!),"",Data!#REF!)</f>
        <v>#REF!</v>
      </c>
    </row>
    <row r="242" spans="1:17" x14ac:dyDescent="0.25">
      <c r="A242" s="23" t="e">
        <f t="shared" si="4"/>
        <v>#REF!</v>
      </c>
      <c r="B242" s="42" t="e">
        <f>IF(ISBLANK(Data!#REF!),"",Data!#REF!)</f>
        <v>#REF!</v>
      </c>
      <c r="C242" s="35" t="e">
        <f>IF(ISBLANK(Data!#REF!),"",Data!#REF!)</f>
        <v>#REF!</v>
      </c>
      <c r="D242" s="36" t="e">
        <f>IF(ISBLANK(Data!#REF!),"",Data!#REF!)</f>
        <v>#REF!</v>
      </c>
      <c r="E242" s="36" t="e">
        <f>IF(ISBLANK(Data!#REF!),"",Data!#REF!)</f>
        <v>#REF!</v>
      </c>
      <c r="F242" s="36" t="e">
        <f>IF(ISBLANK(Data!#REF!),"",Data!#REF!)</f>
        <v>#REF!</v>
      </c>
      <c r="G242" s="37" t="e">
        <f>IF(ISBLANK(Data!#REF!),"",Data!#REF!)</f>
        <v>#REF!</v>
      </c>
      <c r="H242" s="37" t="e">
        <f>IF(ISBLANK(Data!#REF!),"",Data!#REF!)</f>
        <v>#REF!</v>
      </c>
      <c r="I242" s="37" t="e">
        <f>IF(ISBLANK(Data!#REF!),"",Data!#REF!)</f>
        <v>#REF!</v>
      </c>
      <c r="J242" s="37" t="e">
        <f>IF(ISBLANK(Data!#REF!),"",Data!#REF!)</f>
        <v>#REF!</v>
      </c>
      <c r="K242" s="22" t="e">
        <f>IF(ISBLANK(Data!#REF!),"",Data!#REF!)</f>
        <v>#REF!</v>
      </c>
      <c r="L242" s="22" t="e">
        <f>IF(ISBLANK(Data!#REF!),"",Data!#REF!)</f>
        <v>#REF!</v>
      </c>
      <c r="M242" s="22"/>
      <c r="N242" s="37" t="e">
        <f>IF(ISBLANK(Data!#REF!),"",Data!#REF!)</f>
        <v>#REF!</v>
      </c>
      <c r="O242" s="37" t="e">
        <f>IF(ISBLANK(Data!#REF!),"",Data!#REF!)</f>
        <v>#REF!</v>
      </c>
      <c r="P242" s="37" t="e">
        <f>IF(ISBLANK(Data!#REF!),"",Data!#REF!)</f>
        <v>#REF!</v>
      </c>
      <c r="Q242" s="37" t="e">
        <f>IF(ISBLANK(Data!#REF!),"",Data!#REF!)</f>
        <v>#REF!</v>
      </c>
    </row>
    <row r="243" spans="1:17" x14ac:dyDescent="0.25">
      <c r="A243" s="23" t="e">
        <f t="shared" si="4"/>
        <v>#REF!</v>
      </c>
      <c r="B243" s="42" t="e">
        <f>IF(ISBLANK(Data!#REF!),"",Data!#REF!)</f>
        <v>#REF!</v>
      </c>
      <c r="C243" s="35" t="e">
        <f>IF(ISBLANK(Data!#REF!),"",Data!#REF!)</f>
        <v>#REF!</v>
      </c>
      <c r="D243" s="36" t="e">
        <f>IF(ISBLANK(Data!#REF!),"",Data!#REF!)</f>
        <v>#REF!</v>
      </c>
      <c r="E243" s="36" t="e">
        <f>IF(ISBLANK(Data!#REF!),"",Data!#REF!)</f>
        <v>#REF!</v>
      </c>
      <c r="F243" s="36" t="e">
        <f>IF(ISBLANK(Data!#REF!),"",Data!#REF!)</f>
        <v>#REF!</v>
      </c>
      <c r="G243" s="37" t="e">
        <f>IF(ISBLANK(Data!#REF!),"",Data!#REF!)</f>
        <v>#REF!</v>
      </c>
      <c r="H243" s="37" t="e">
        <f>IF(ISBLANK(Data!#REF!),"",Data!#REF!)</f>
        <v>#REF!</v>
      </c>
      <c r="I243" s="37" t="e">
        <f>IF(ISBLANK(Data!#REF!),"",Data!#REF!)</f>
        <v>#REF!</v>
      </c>
      <c r="J243" s="37" t="e">
        <f>IF(ISBLANK(Data!#REF!),"",Data!#REF!)</f>
        <v>#REF!</v>
      </c>
      <c r="K243" s="22" t="e">
        <f>IF(ISBLANK(Data!#REF!),"",Data!#REF!)</f>
        <v>#REF!</v>
      </c>
      <c r="L243" s="22" t="e">
        <f>IF(ISBLANK(Data!#REF!),"",Data!#REF!)</f>
        <v>#REF!</v>
      </c>
      <c r="M243" s="22"/>
      <c r="N243" s="37" t="e">
        <f>IF(ISBLANK(Data!#REF!),"",Data!#REF!)</f>
        <v>#REF!</v>
      </c>
      <c r="O243" s="37" t="e">
        <f>IF(ISBLANK(Data!#REF!),"",Data!#REF!)</f>
        <v>#REF!</v>
      </c>
      <c r="P243" s="37" t="e">
        <f>IF(ISBLANK(Data!#REF!),"",Data!#REF!)</f>
        <v>#REF!</v>
      </c>
      <c r="Q243" s="37" t="e">
        <f>IF(ISBLANK(Data!#REF!),"",Data!#REF!)</f>
        <v>#REF!</v>
      </c>
    </row>
    <row r="244" spans="1:17" x14ac:dyDescent="0.25">
      <c r="A244" s="23" t="e">
        <f t="shared" si="4"/>
        <v>#REF!</v>
      </c>
      <c r="B244" s="42" t="e">
        <f>IF(ISBLANK(Data!#REF!),"",Data!#REF!)</f>
        <v>#REF!</v>
      </c>
      <c r="C244" s="35" t="e">
        <f>IF(ISBLANK(Data!#REF!),"",Data!#REF!)</f>
        <v>#REF!</v>
      </c>
      <c r="D244" s="36" t="e">
        <f>IF(ISBLANK(Data!#REF!),"",Data!#REF!)</f>
        <v>#REF!</v>
      </c>
      <c r="E244" s="36" t="e">
        <f>IF(ISBLANK(Data!#REF!),"",Data!#REF!)</f>
        <v>#REF!</v>
      </c>
      <c r="F244" s="36" t="e">
        <f>IF(ISBLANK(Data!#REF!),"",Data!#REF!)</f>
        <v>#REF!</v>
      </c>
      <c r="G244" s="37" t="e">
        <f>IF(ISBLANK(Data!#REF!),"",Data!#REF!)</f>
        <v>#REF!</v>
      </c>
      <c r="H244" s="37" t="e">
        <f>IF(ISBLANK(Data!#REF!),"",Data!#REF!)</f>
        <v>#REF!</v>
      </c>
      <c r="I244" s="37" t="e">
        <f>IF(ISBLANK(Data!#REF!),"",Data!#REF!)</f>
        <v>#REF!</v>
      </c>
      <c r="J244" s="37" t="e">
        <f>IF(ISBLANK(Data!#REF!),"",Data!#REF!)</f>
        <v>#REF!</v>
      </c>
      <c r="K244" s="22" t="e">
        <f>IF(ISBLANK(Data!#REF!),"",Data!#REF!)</f>
        <v>#REF!</v>
      </c>
      <c r="L244" s="22" t="e">
        <f>IF(ISBLANK(Data!#REF!),"",Data!#REF!)</f>
        <v>#REF!</v>
      </c>
      <c r="M244" s="22"/>
      <c r="N244" s="37" t="e">
        <f>IF(ISBLANK(Data!#REF!),"",Data!#REF!)</f>
        <v>#REF!</v>
      </c>
      <c r="O244" s="37" t="e">
        <f>IF(ISBLANK(Data!#REF!),"",Data!#REF!)</f>
        <v>#REF!</v>
      </c>
      <c r="P244" s="37" t="e">
        <f>IF(ISBLANK(Data!#REF!),"",Data!#REF!)</f>
        <v>#REF!</v>
      </c>
      <c r="Q244" s="37" t="e">
        <f>IF(ISBLANK(Data!#REF!),"",Data!#REF!)</f>
        <v>#REF!</v>
      </c>
    </row>
    <row r="245" spans="1:17" x14ac:dyDescent="0.25">
      <c r="A245" s="23" t="e">
        <f t="shared" si="4"/>
        <v>#REF!</v>
      </c>
      <c r="B245" s="42" t="e">
        <f>IF(ISBLANK(Data!#REF!),"",Data!#REF!)</f>
        <v>#REF!</v>
      </c>
      <c r="C245" s="35" t="e">
        <f>IF(ISBLANK(Data!#REF!),"",Data!#REF!)</f>
        <v>#REF!</v>
      </c>
      <c r="D245" s="36" t="e">
        <f>IF(ISBLANK(Data!#REF!),"",Data!#REF!)</f>
        <v>#REF!</v>
      </c>
      <c r="E245" s="36" t="e">
        <f>IF(ISBLANK(Data!#REF!),"",Data!#REF!)</f>
        <v>#REF!</v>
      </c>
      <c r="F245" s="36" t="e">
        <f>IF(ISBLANK(Data!#REF!),"",Data!#REF!)</f>
        <v>#REF!</v>
      </c>
      <c r="G245" s="37" t="e">
        <f>IF(ISBLANK(Data!#REF!),"",Data!#REF!)</f>
        <v>#REF!</v>
      </c>
      <c r="H245" s="37" t="e">
        <f>IF(ISBLANK(Data!#REF!),"",Data!#REF!)</f>
        <v>#REF!</v>
      </c>
      <c r="I245" s="37" t="e">
        <f>IF(ISBLANK(Data!#REF!),"",Data!#REF!)</f>
        <v>#REF!</v>
      </c>
      <c r="J245" s="37" t="e">
        <f>IF(ISBLANK(Data!#REF!),"",Data!#REF!)</f>
        <v>#REF!</v>
      </c>
      <c r="K245" s="22" t="e">
        <f>IF(ISBLANK(Data!#REF!),"",Data!#REF!)</f>
        <v>#REF!</v>
      </c>
      <c r="L245" s="22" t="e">
        <f>IF(ISBLANK(Data!#REF!),"",Data!#REF!)</f>
        <v>#REF!</v>
      </c>
      <c r="M245" s="22"/>
      <c r="N245" s="37" t="e">
        <f>IF(ISBLANK(Data!#REF!),"",Data!#REF!)</f>
        <v>#REF!</v>
      </c>
      <c r="O245" s="37" t="e">
        <f>IF(ISBLANK(Data!#REF!),"",Data!#REF!)</f>
        <v>#REF!</v>
      </c>
      <c r="P245" s="37" t="e">
        <f>IF(ISBLANK(Data!#REF!),"",Data!#REF!)</f>
        <v>#REF!</v>
      </c>
      <c r="Q245" s="37" t="e">
        <f>IF(ISBLANK(Data!#REF!),"",Data!#REF!)</f>
        <v>#REF!</v>
      </c>
    </row>
    <row r="246" spans="1:17" x14ac:dyDescent="0.25">
      <c r="A246" s="23" t="e">
        <f t="shared" si="4"/>
        <v>#REF!</v>
      </c>
      <c r="B246" s="42" t="e">
        <f>IF(ISBLANK(Data!#REF!),"",Data!#REF!)</f>
        <v>#REF!</v>
      </c>
      <c r="C246" s="35" t="e">
        <f>IF(ISBLANK(Data!#REF!),"",Data!#REF!)</f>
        <v>#REF!</v>
      </c>
      <c r="D246" s="36" t="e">
        <f>IF(ISBLANK(Data!#REF!),"",Data!#REF!)</f>
        <v>#REF!</v>
      </c>
      <c r="E246" s="36" t="e">
        <f>IF(ISBLANK(Data!#REF!),"",Data!#REF!)</f>
        <v>#REF!</v>
      </c>
      <c r="F246" s="36" t="e">
        <f>IF(ISBLANK(Data!#REF!),"",Data!#REF!)</f>
        <v>#REF!</v>
      </c>
      <c r="G246" s="37" t="e">
        <f>IF(ISBLANK(Data!#REF!),"",Data!#REF!)</f>
        <v>#REF!</v>
      </c>
      <c r="H246" s="37" t="e">
        <f>IF(ISBLANK(Data!#REF!),"",Data!#REF!)</f>
        <v>#REF!</v>
      </c>
      <c r="I246" s="37" t="e">
        <f>IF(ISBLANK(Data!#REF!),"",Data!#REF!)</f>
        <v>#REF!</v>
      </c>
      <c r="J246" s="37" t="e">
        <f>IF(ISBLANK(Data!#REF!),"",Data!#REF!)</f>
        <v>#REF!</v>
      </c>
      <c r="K246" s="22" t="e">
        <f>IF(ISBLANK(Data!#REF!),"",Data!#REF!)</f>
        <v>#REF!</v>
      </c>
      <c r="L246" s="22" t="e">
        <f>IF(ISBLANK(Data!#REF!),"",Data!#REF!)</f>
        <v>#REF!</v>
      </c>
      <c r="M246" s="22"/>
      <c r="N246" s="37" t="e">
        <f>IF(ISBLANK(Data!#REF!),"",Data!#REF!)</f>
        <v>#REF!</v>
      </c>
      <c r="O246" s="37" t="e">
        <f>IF(ISBLANK(Data!#REF!),"",Data!#REF!)</f>
        <v>#REF!</v>
      </c>
      <c r="P246" s="37" t="e">
        <f>IF(ISBLANK(Data!#REF!),"",Data!#REF!)</f>
        <v>#REF!</v>
      </c>
      <c r="Q246" s="37" t="e">
        <f>IF(ISBLANK(Data!#REF!),"",Data!#REF!)</f>
        <v>#REF!</v>
      </c>
    </row>
    <row r="247" spans="1:17" x14ac:dyDescent="0.25">
      <c r="A247" s="23" t="e">
        <f t="shared" si="4"/>
        <v>#REF!</v>
      </c>
      <c r="B247" s="42" t="e">
        <f>IF(ISBLANK(Data!#REF!),"",Data!#REF!)</f>
        <v>#REF!</v>
      </c>
      <c r="C247" s="35" t="e">
        <f>IF(ISBLANK(Data!#REF!),"",Data!#REF!)</f>
        <v>#REF!</v>
      </c>
      <c r="D247" s="36" t="e">
        <f>IF(ISBLANK(Data!#REF!),"",Data!#REF!)</f>
        <v>#REF!</v>
      </c>
      <c r="E247" s="36" t="e">
        <f>IF(ISBLANK(Data!#REF!),"",Data!#REF!)</f>
        <v>#REF!</v>
      </c>
      <c r="F247" s="36" t="e">
        <f>IF(ISBLANK(Data!#REF!),"",Data!#REF!)</f>
        <v>#REF!</v>
      </c>
      <c r="G247" s="37" t="e">
        <f>IF(ISBLANK(Data!#REF!),"",Data!#REF!)</f>
        <v>#REF!</v>
      </c>
      <c r="H247" s="37" t="e">
        <f>IF(ISBLANK(Data!#REF!),"",Data!#REF!)</f>
        <v>#REF!</v>
      </c>
      <c r="I247" s="37" t="e">
        <f>IF(ISBLANK(Data!#REF!),"",Data!#REF!)</f>
        <v>#REF!</v>
      </c>
      <c r="J247" s="37" t="e">
        <f>IF(ISBLANK(Data!#REF!),"",Data!#REF!)</f>
        <v>#REF!</v>
      </c>
      <c r="K247" s="22" t="e">
        <f>IF(ISBLANK(Data!#REF!),"",Data!#REF!)</f>
        <v>#REF!</v>
      </c>
      <c r="L247" s="22" t="e">
        <f>IF(ISBLANK(Data!#REF!),"",Data!#REF!)</f>
        <v>#REF!</v>
      </c>
      <c r="M247" s="22"/>
      <c r="N247" s="37" t="e">
        <f>IF(ISBLANK(Data!#REF!),"",Data!#REF!)</f>
        <v>#REF!</v>
      </c>
      <c r="O247" s="37" t="e">
        <f>IF(ISBLANK(Data!#REF!),"",Data!#REF!)</f>
        <v>#REF!</v>
      </c>
      <c r="P247" s="37" t="e">
        <f>IF(ISBLANK(Data!#REF!),"",Data!#REF!)</f>
        <v>#REF!</v>
      </c>
      <c r="Q247" s="37" t="e">
        <f>IF(ISBLANK(Data!#REF!),"",Data!#REF!)</f>
        <v>#REF!</v>
      </c>
    </row>
    <row r="248" spans="1:17" x14ac:dyDescent="0.25">
      <c r="A248" s="23" t="e">
        <f t="shared" si="4"/>
        <v>#REF!</v>
      </c>
      <c r="B248" s="42" t="e">
        <f>IF(ISBLANK(Data!#REF!),"",Data!#REF!)</f>
        <v>#REF!</v>
      </c>
      <c r="C248" s="35" t="e">
        <f>IF(ISBLANK(Data!#REF!),"",Data!#REF!)</f>
        <v>#REF!</v>
      </c>
      <c r="D248" s="36" t="e">
        <f>IF(ISBLANK(Data!#REF!),"",Data!#REF!)</f>
        <v>#REF!</v>
      </c>
      <c r="E248" s="36" t="e">
        <f>IF(ISBLANK(Data!#REF!),"",Data!#REF!)</f>
        <v>#REF!</v>
      </c>
      <c r="F248" s="36" t="e">
        <f>IF(ISBLANK(Data!#REF!),"",Data!#REF!)</f>
        <v>#REF!</v>
      </c>
      <c r="G248" s="37" t="e">
        <f>IF(ISBLANK(Data!#REF!),"",Data!#REF!)</f>
        <v>#REF!</v>
      </c>
      <c r="H248" s="37" t="e">
        <f>IF(ISBLANK(Data!#REF!),"",Data!#REF!)</f>
        <v>#REF!</v>
      </c>
      <c r="I248" s="37" t="e">
        <f>IF(ISBLANK(Data!#REF!),"",Data!#REF!)</f>
        <v>#REF!</v>
      </c>
      <c r="J248" s="37" t="e">
        <f>IF(ISBLANK(Data!#REF!),"",Data!#REF!)</f>
        <v>#REF!</v>
      </c>
      <c r="K248" s="22" t="e">
        <f>IF(ISBLANK(Data!#REF!),"",Data!#REF!)</f>
        <v>#REF!</v>
      </c>
      <c r="L248" s="22" t="e">
        <f>IF(ISBLANK(Data!#REF!),"",Data!#REF!)</f>
        <v>#REF!</v>
      </c>
      <c r="M248" s="22"/>
      <c r="N248" s="37" t="e">
        <f>IF(ISBLANK(Data!#REF!),"",Data!#REF!)</f>
        <v>#REF!</v>
      </c>
      <c r="O248" s="37" t="e">
        <f>IF(ISBLANK(Data!#REF!),"",Data!#REF!)</f>
        <v>#REF!</v>
      </c>
      <c r="P248" s="37" t="e">
        <f>IF(ISBLANK(Data!#REF!),"",Data!#REF!)</f>
        <v>#REF!</v>
      </c>
      <c r="Q248" s="37" t="e">
        <f>IF(ISBLANK(Data!#REF!),"",Data!#REF!)</f>
        <v>#REF!</v>
      </c>
    </row>
    <row r="249" spans="1:17" x14ac:dyDescent="0.25">
      <c r="A249" s="23" t="e">
        <f t="shared" si="4"/>
        <v>#REF!</v>
      </c>
      <c r="B249" s="42" t="e">
        <f>IF(ISBLANK(Data!#REF!),"",Data!#REF!)</f>
        <v>#REF!</v>
      </c>
      <c r="C249" s="35" t="e">
        <f>IF(ISBLANK(Data!#REF!),"",Data!#REF!)</f>
        <v>#REF!</v>
      </c>
      <c r="D249" s="36" t="e">
        <f>IF(ISBLANK(Data!#REF!),"",Data!#REF!)</f>
        <v>#REF!</v>
      </c>
      <c r="E249" s="36" t="e">
        <f>IF(ISBLANK(Data!#REF!),"",Data!#REF!)</f>
        <v>#REF!</v>
      </c>
      <c r="F249" s="36" t="e">
        <f>IF(ISBLANK(Data!#REF!),"",Data!#REF!)</f>
        <v>#REF!</v>
      </c>
      <c r="G249" s="37" t="e">
        <f>IF(ISBLANK(Data!#REF!),"",Data!#REF!)</f>
        <v>#REF!</v>
      </c>
      <c r="H249" s="37" t="e">
        <f>IF(ISBLANK(Data!#REF!),"",Data!#REF!)</f>
        <v>#REF!</v>
      </c>
      <c r="I249" s="37" t="e">
        <f>IF(ISBLANK(Data!#REF!),"",Data!#REF!)</f>
        <v>#REF!</v>
      </c>
      <c r="J249" s="37" t="e">
        <f>IF(ISBLANK(Data!#REF!),"",Data!#REF!)</f>
        <v>#REF!</v>
      </c>
      <c r="K249" s="22" t="e">
        <f>IF(ISBLANK(Data!#REF!),"",Data!#REF!)</f>
        <v>#REF!</v>
      </c>
      <c r="L249" s="22" t="e">
        <f>IF(ISBLANK(Data!#REF!),"",Data!#REF!)</f>
        <v>#REF!</v>
      </c>
      <c r="M249" s="22"/>
      <c r="N249" s="37" t="e">
        <f>IF(ISBLANK(Data!#REF!),"",Data!#REF!)</f>
        <v>#REF!</v>
      </c>
      <c r="O249" s="37" t="e">
        <f>IF(ISBLANK(Data!#REF!),"",Data!#REF!)</f>
        <v>#REF!</v>
      </c>
      <c r="P249" s="37" t="e">
        <f>IF(ISBLANK(Data!#REF!),"",Data!#REF!)</f>
        <v>#REF!</v>
      </c>
      <c r="Q249" s="37" t="e">
        <f>IF(ISBLANK(Data!#REF!),"",Data!#REF!)</f>
        <v>#REF!</v>
      </c>
    </row>
    <row r="250" spans="1:17" x14ac:dyDescent="0.25">
      <c r="A250" s="23" t="e">
        <f t="shared" si="4"/>
        <v>#REF!</v>
      </c>
      <c r="B250" s="42" t="e">
        <f>IF(ISBLANK(Data!#REF!),"",Data!#REF!)</f>
        <v>#REF!</v>
      </c>
      <c r="C250" s="35" t="e">
        <f>IF(ISBLANK(Data!#REF!),"",Data!#REF!)</f>
        <v>#REF!</v>
      </c>
      <c r="D250" s="36" t="e">
        <f>IF(ISBLANK(Data!#REF!),"",Data!#REF!)</f>
        <v>#REF!</v>
      </c>
      <c r="E250" s="36" t="e">
        <f>IF(ISBLANK(Data!#REF!),"",Data!#REF!)</f>
        <v>#REF!</v>
      </c>
      <c r="F250" s="36" t="e">
        <f>IF(ISBLANK(Data!#REF!),"",Data!#REF!)</f>
        <v>#REF!</v>
      </c>
      <c r="G250" s="37" t="e">
        <f>IF(ISBLANK(Data!#REF!),"",Data!#REF!)</f>
        <v>#REF!</v>
      </c>
      <c r="H250" s="37" t="e">
        <f>IF(ISBLANK(Data!#REF!),"",Data!#REF!)</f>
        <v>#REF!</v>
      </c>
      <c r="I250" s="37" t="e">
        <f>IF(ISBLANK(Data!#REF!),"",Data!#REF!)</f>
        <v>#REF!</v>
      </c>
      <c r="J250" s="37" t="e">
        <f>IF(ISBLANK(Data!#REF!),"",Data!#REF!)</f>
        <v>#REF!</v>
      </c>
      <c r="K250" s="22" t="e">
        <f>IF(ISBLANK(Data!#REF!),"",Data!#REF!)</f>
        <v>#REF!</v>
      </c>
      <c r="L250" s="22" t="e">
        <f>IF(ISBLANK(Data!#REF!),"",Data!#REF!)</f>
        <v>#REF!</v>
      </c>
      <c r="M250" s="22"/>
      <c r="N250" s="37" t="e">
        <f>IF(ISBLANK(Data!#REF!),"",Data!#REF!)</f>
        <v>#REF!</v>
      </c>
      <c r="O250" s="37" t="e">
        <f>IF(ISBLANK(Data!#REF!),"",Data!#REF!)</f>
        <v>#REF!</v>
      </c>
      <c r="P250" s="37" t="e">
        <f>IF(ISBLANK(Data!#REF!),"",Data!#REF!)</f>
        <v>#REF!</v>
      </c>
      <c r="Q250" s="37" t="e">
        <f>IF(ISBLANK(Data!#REF!),"",Data!#REF!)</f>
        <v>#REF!</v>
      </c>
    </row>
    <row r="251" spans="1:17" x14ac:dyDescent="0.25">
      <c r="A251" s="23" t="e">
        <f t="shared" si="4"/>
        <v>#REF!</v>
      </c>
      <c r="B251" s="42" t="e">
        <f>IF(ISBLANK(Data!#REF!),"",Data!#REF!)</f>
        <v>#REF!</v>
      </c>
      <c r="C251" s="35" t="e">
        <f>IF(ISBLANK(Data!#REF!),"",Data!#REF!)</f>
        <v>#REF!</v>
      </c>
      <c r="D251" s="36" t="e">
        <f>IF(ISBLANK(Data!#REF!),"",Data!#REF!)</f>
        <v>#REF!</v>
      </c>
      <c r="E251" s="36" t="e">
        <f>IF(ISBLANK(Data!#REF!),"",Data!#REF!)</f>
        <v>#REF!</v>
      </c>
      <c r="F251" s="36" t="e">
        <f>IF(ISBLANK(Data!#REF!),"",Data!#REF!)</f>
        <v>#REF!</v>
      </c>
      <c r="G251" s="37" t="e">
        <f>IF(ISBLANK(Data!#REF!),"",Data!#REF!)</f>
        <v>#REF!</v>
      </c>
      <c r="H251" s="37" t="e">
        <f>IF(ISBLANK(Data!#REF!),"",Data!#REF!)</f>
        <v>#REF!</v>
      </c>
      <c r="I251" s="37" t="e">
        <f>IF(ISBLANK(Data!#REF!),"",Data!#REF!)</f>
        <v>#REF!</v>
      </c>
      <c r="J251" s="37" t="e">
        <f>IF(ISBLANK(Data!#REF!),"",Data!#REF!)</f>
        <v>#REF!</v>
      </c>
      <c r="K251" s="22" t="e">
        <f>IF(ISBLANK(Data!#REF!),"",Data!#REF!)</f>
        <v>#REF!</v>
      </c>
      <c r="L251" s="22" t="e">
        <f>IF(ISBLANK(Data!#REF!),"",Data!#REF!)</f>
        <v>#REF!</v>
      </c>
      <c r="M251" s="22"/>
      <c r="N251" s="37" t="e">
        <f>IF(ISBLANK(Data!#REF!),"",Data!#REF!)</f>
        <v>#REF!</v>
      </c>
      <c r="O251" s="37" t="e">
        <f>IF(ISBLANK(Data!#REF!),"",Data!#REF!)</f>
        <v>#REF!</v>
      </c>
      <c r="P251" s="37" t="e">
        <f>IF(ISBLANK(Data!#REF!),"",Data!#REF!)</f>
        <v>#REF!</v>
      </c>
      <c r="Q251" s="37" t="e">
        <f>IF(ISBLANK(Data!#REF!),"",Data!#REF!)</f>
        <v>#REF!</v>
      </c>
    </row>
    <row r="252" spans="1:17" x14ac:dyDescent="0.25">
      <c r="A252" s="23" t="e">
        <f t="shared" si="4"/>
        <v>#REF!</v>
      </c>
      <c r="B252" s="42" t="e">
        <f>IF(ISBLANK(Data!#REF!),"",Data!#REF!)</f>
        <v>#REF!</v>
      </c>
      <c r="C252" s="35" t="e">
        <f>IF(ISBLANK(Data!#REF!),"",Data!#REF!)</f>
        <v>#REF!</v>
      </c>
      <c r="D252" s="36" t="e">
        <f>IF(ISBLANK(Data!#REF!),"",Data!#REF!)</f>
        <v>#REF!</v>
      </c>
      <c r="E252" s="36" t="e">
        <f>IF(ISBLANK(Data!#REF!),"",Data!#REF!)</f>
        <v>#REF!</v>
      </c>
      <c r="F252" s="36" t="e">
        <f>IF(ISBLANK(Data!#REF!),"",Data!#REF!)</f>
        <v>#REF!</v>
      </c>
      <c r="G252" s="37" t="e">
        <f>IF(ISBLANK(Data!#REF!),"",Data!#REF!)</f>
        <v>#REF!</v>
      </c>
      <c r="H252" s="37" t="e">
        <f>IF(ISBLANK(Data!#REF!),"",Data!#REF!)</f>
        <v>#REF!</v>
      </c>
      <c r="I252" s="37" t="e">
        <f>IF(ISBLANK(Data!#REF!),"",Data!#REF!)</f>
        <v>#REF!</v>
      </c>
      <c r="J252" s="37" t="e">
        <f>IF(ISBLANK(Data!#REF!),"",Data!#REF!)</f>
        <v>#REF!</v>
      </c>
      <c r="K252" s="22" t="e">
        <f>IF(ISBLANK(Data!#REF!),"",Data!#REF!)</f>
        <v>#REF!</v>
      </c>
      <c r="L252" s="22" t="e">
        <f>IF(ISBLANK(Data!#REF!),"",Data!#REF!)</f>
        <v>#REF!</v>
      </c>
      <c r="M252" s="22"/>
      <c r="N252" s="37" t="e">
        <f>IF(ISBLANK(Data!#REF!),"",Data!#REF!)</f>
        <v>#REF!</v>
      </c>
      <c r="O252" s="37" t="e">
        <f>IF(ISBLANK(Data!#REF!),"",Data!#REF!)</f>
        <v>#REF!</v>
      </c>
      <c r="P252" s="37" t="e">
        <f>IF(ISBLANK(Data!#REF!),"",Data!#REF!)</f>
        <v>#REF!</v>
      </c>
      <c r="Q252" s="37" t="e">
        <f>IF(ISBLANK(Data!#REF!),"",Data!#REF!)</f>
        <v>#REF!</v>
      </c>
    </row>
    <row r="253" spans="1:17" x14ac:dyDescent="0.25">
      <c r="A253" s="23" t="e">
        <f t="shared" si="4"/>
        <v>#REF!</v>
      </c>
      <c r="B253" s="42" t="e">
        <f>IF(ISBLANK(Data!#REF!),"",Data!#REF!)</f>
        <v>#REF!</v>
      </c>
      <c r="C253" s="35" t="e">
        <f>IF(ISBLANK(Data!#REF!),"",Data!#REF!)</f>
        <v>#REF!</v>
      </c>
      <c r="D253" s="36" t="e">
        <f>IF(ISBLANK(Data!#REF!),"",Data!#REF!)</f>
        <v>#REF!</v>
      </c>
      <c r="E253" s="36" t="e">
        <f>IF(ISBLANK(Data!#REF!),"",Data!#REF!)</f>
        <v>#REF!</v>
      </c>
      <c r="F253" s="36" t="e">
        <f>IF(ISBLANK(Data!#REF!),"",Data!#REF!)</f>
        <v>#REF!</v>
      </c>
      <c r="G253" s="37" t="e">
        <f>IF(ISBLANK(Data!#REF!),"",Data!#REF!)</f>
        <v>#REF!</v>
      </c>
      <c r="H253" s="37" t="e">
        <f>IF(ISBLANK(Data!#REF!),"",Data!#REF!)</f>
        <v>#REF!</v>
      </c>
      <c r="I253" s="37" t="e">
        <f>IF(ISBLANK(Data!#REF!),"",Data!#REF!)</f>
        <v>#REF!</v>
      </c>
      <c r="J253" s="37" t="e">
        <f>IF(ISBLANK(Data!#REF!),"",Data!#REF!)</f>
        <v>#REF!</v>
      </c>
      <c r="K253" s="22" t="e">
        <f>IF(ISBLANK(Data!#REF!),"",Data!#REF!)</f>
        <v>#REF!</v>
      </c>
      <c r="L253" s="22" t="e">
        <f>IF(ISBLANK(Data!#REF!),"",Data!#REF!)</f>
        <v>#REF!</v>
      </c>
      <c r="M253" s="22"/>
      <c r="N253" s="37" t="e">
        <f>IF(ISBLANK(Data!#REF!),"",Data!#REF!)</f>
        <v>#REF!</v>
      </c>
      <c r="O253" s="37" t="e">
        <f>IF(ISBLANK(Data!#REF!),"",Data!#REF!)</f>
        <v>#REF!</v>
      </c>
      <c r="P253" s="37" t="e">
        <f>IF(ISBLANK(Data!#REF!),"",Data!#REF!)</f>
        <v>#REF!</v>
      </c>
      <c r="Q253" s="37" t="e">
        <f>IF(ISBLANK(Data!#REF!),"",Data!#REF!)</f>
        <v>#REF!</v>
      </c>
    </row>
    <row r="254" spans="1:17" x14ac:dyDescent="0.25">
      <c r="A254" s="23" t="e">
        <f t="shared" si="4"/>
        <v>#REF!</v>
      </c>
      <c r="B254" s="42" t="e">
        <f>IF(ISBLANK(Data!#REF!),"",Data!#REF!)</f>
        <v>#REF!</v>
      </c>
      <c r="C254" s="35" t="e">
        <f>IF(ISBLANK(Data!#REF!),"",Data!#REF!)</f>
        <v>#REF!</v>
      </c>
      <c r="D254" s="36" t="e">
        <f>IF(ISBLANK(Data!#REF!),"",Data!#REF!)</f>
        <v>#REF!</v>
      </c>
      <c r="E254" s="36" t="e">
        <f>IF(ISBLANK(Data!#REF!),"",Data!#REF!)</f>
        <v>#REF!</v>
      </c>
      <c r="F254" s="36" t="e">
        <f>IF(ISBLANK(Data!#REF!),"",Data!#REF!)</f>
        <v>#REF!</v>
      </c>
      <c r="G254" s="37" t="e">
        <f>IF(ISBLANK(Data!#REF!),"",Data!#REF!)</f>
        <v>#REF!</v>
      </c>
      <c r="H254" s="37" t="e">
        <f>IF(ISBLANK(Data!#REF!),"",Data!#REF!)</f>
        <v>#REF!</v>
      </c>
      <c r="I254" s="37" t="e">
        <f>IF(ISBLANK(Data!#REF!),"",Data!#REF!)</f>
        <v>#REF!</v>
      </c>
      <c r="J254" s="37" t="e">
        <f>IF(ISBLANK(Data!#REF!),"",Data!#REF!)</f>
        <v>#REF!</v>
      </c>
      <c r="K254" s="22" t="e">
        <f>IF(ISBLANK(Data!#REF!),"",Data!#REF!)</f>
        <v>#REF!</v>
      </c>
      <c r="L254" s="22" t="e">
        <f>IF(ISBLANK(Data!#REF!),"",Data!#REF!)</f>
        <v>#REF!</v>
      </c>
      <c r="M254" s="22"/>
      <c r="N254" s="37" t="e">
        <f>IF(ISBLANK(Data!#REF!),"",Data!#REF!)</f>
        <v>#REF!</v>
      </c>
      <c r="O254" s="37" t="e">
        <f>IF(ISBLANK(Data!#REF!),"",Data!#REF!)</f>
        <v>#REF!</v>
      </c>
      <c r="P254" s="37" t="e">
        <f>IF(ISBLANK(Data!#REF!),"",Data!#REF!)</f>
        <v>#REF!</v>
      </c>
      <c r="Q254" s="37" t="e">
        <f>IF(ISBLANK(Data!#REF!),"",Data!#REF!)</f>
        <v>#REF!</v>
      </c>
    </row>
    <row r="255" spans="1:17" x14ac:dyDescent="0.25">
      <c r="A255" s="23" t="e">
        <f t="shared" si="4"/>
        <v>#REF!</v>
      </c>
      <c r="B255" s="42" t="e">
        <f>IF(ISBLANK(Data!#REF!),"",Data!#REF!)</f>
        <v>#REF!</v>
      </c>
      <c r="C255" s="35" t="e">
        <f>IF(ISBLANK(Data!#REF!),"",Data!#REF!)</f>
        <v>#REF!</v>
      </c>
      <c r="D255" s="36" t="e">
        <f>IF(ISBLANK(Data!#REF!),"",Data!#REF!)</f>
        <v>#REF!</v>
      </c>
      <c r="E255" s="36" t="e">
        <f>IF(ISBLANK(Data!#REF!),"",Data!#REF!)</f>
        <v>#REF!</v>
      </c>
      <c r="F255" s="36" t="e">
        <f>IF(ISBLANK(Data!#REF!),"",Data!#REF!)</f>
        <v>#REF!</v>
      </c>
      <c r="G255" s="37" t="e">
        <f>IF(ISBLANK(Data!#REF!),"",Data!#REF!)</f>
        <v>#REF!</v>
      </c>
      <c r="H255" s="37" t="e">
        <f>IF(ISBLANK(Data!#REF!),"",Data!#REF!)</f>
        <v>#REF!</v>
      </c>
      <c r="I255" s="37" t="e">
        <f>IF(ISBLANK(Data!#REF!),"",Data!#REF!)</f>
        <v>#REF!</v>
      </c>
      <c r="J255" s="37" t="e">
        <f>IF(ISBLANK(Data!#REF!),"",Data!#REF!)</f>
        <v>#REF!</v>
      </c>
      <c r="K255" s="22" t="e">
        <f>IF(ISBLANK(Data!#REF!),"",Data!#REF!)</f>
        <v>#REF!</v>
      </c>
      <c r="L255" s="22" t="e">
        <f>IF(ISBLANK(Data!#REF!),"",Data!#REF!)</f>
        <v>#REF!</v>
      </c>
      <c r="M255" s="22"/>
      <c r="N255" s="37" t="e">
        <f>IF(ISBLANK(Data!#REF!),"",Data!#REF!)</f>
        <v>#REF!</v>
      </c>
      <c r="O255" s="37" t="e">
        <f>IF(ISBLANK(Data!#REF!),"",Data!#REF!)</f>
        <v>#REF!</v>
      </c>
      <c r="P255" s="37" t="e">
        <f>IF(ISBLANK(Data!#REF!),"",Data!#REF!)</f>
        <v>#REF!</v>
      </c>
      <c r="Q255" s="37" t="e">
        <f>IF(ISBLANK(Data!#REF!),"",Data!#REF!)</f>
        <v>#REF!</v>
      </c>
    </row>
    <row r="256" spans="1:17" x14ac:dyDescent="0.25">
      <c r="A256" s="23" t="e">
        <f t="shared" si="4"/>
        <v>#REF!</v>
      </c>
      <c r="B256" s="42" t="e">
        <f>IF(ISBLANK(Data!#REF!),"",Data!#REF!)</f>
        <v>#REF!</v>
      </c>
      <c r="C256" s="35" t="e">
        <f>IF(ISBLANK(Data!#REF!),"",Data!#REF!)</f>
        <v>#REF!</v>
      </c>
      <c r="D256" s="36" t="e">
        <f>IF(ISBLANK(Data!#REF!),"",Data!#REF!)</f>
        <v>#REF!</v>
      </c>
      <c r="E256" s="36" t="e">
        <f>IF(ISBLANK(Data!#REF!),"",Data!#REF!)</f>
        <v>#REF!</v>
      </c>
      <c r="F256" s="36" t="e">
        <f>IF(ISBLANK(Data!#REF!),"",Data!#REF!)</f>
        <v>#REF!</v>
      </c>
      <c r="G256" s="37" t="e">
        <f>IF(ISBLANK(Data!#REF!),"",Data!#REF!)</f>
        <v>#REF!</v>
      </c>
      <c r="H256" s="37" t="e">
        <f>IF(ISBLANK(Data!#REF!),"",Data!#REF!)</f>
        <v>#REF!</v>
      </c>
      <c r="I256" s="37" t="e">
        <f>IF(ISBLANK(Data!#REF!),"",Data!#REF!)</f>
        <v>#REF!</v>
      </c>
      <c r="J256" s="37" t="e">
        <f>IF(ISBLANK(Data!#REF!),"",Data!#REF!)</f>
        <v>#REF!</v>
      </c>
      <c r="K256" s="22" t="e">
        <f>IF(ISBLANK(Data!#REF!),"",Data!#REF!)</f>
        <v>#REF!</v>
      </c>
      <c r="L256" s="22" t="e">
        <f>IF(ISBLANK(Data!#REF!),"",Data!#REF!)</f>
        <v>#REF!</v>
      </c>
      <c r="M256" s="22"/>
      <c r="N256" s="37" t="e">
        <f>IF(ISBLANK(Data!#REF!),"",Data!#REF!)</f>
        <v>#REF!</v>
      </c>
      <c r="O256" s="37" t="e">
        <f>IF(ISBLANK(Data!#REF!),"",Data!#REF!)</f>
        <v>#REF!</v>
      </c>
      <c r="P256" s="37" t="e">
        <f>IF(ISBLANK(Data!#REF!),"",Data!#REF!)</f>
        <v>#REF!</v>
      </c>
      <c r="Q256" s="37" t="e">
        <f>IF(ISBLANK(Data!#REF!),"",Data!#REF!)</f>
        <v>#REF!</v>
      </c>
    </row>
    <row r="257" spans="1:17" x14ac:dyDescent="0.25">
      <c r="A257" s="23" t="e">
        <f t="shared" si="4"/>
        <v>#REF!</v>
      </c>
      <c r="B257" s="42" t="e">
        <f>IF(ISBLANK(Data!#REF!),"",Data!#REF!)</f>
        <v>#REF!</v>
      </c>
      <c r="C257" s="35" t="e">
        <f>IF(ISBLANK(Data!#REF!),"",Data!#REF!)</f>
        <v>#REF!</v>
      </c>
      <c r="D257" s="36" t="e">
        <f>IF(ISBLANK(Data!#REF!),"",Data!#REF!)</f>
        <v>#REF!</v>
      </c>
      <c r="E257" s="36" t="e">
        <f>IF(ISBLANK(Data!#REF!),"",Data!#REF!)</f>
        <v>#REF!</v>
      </c>
      <c r="F257" s="36" t="e">
        <f>IF(ISBLANK(Data!#REF!),"",Data!#REF!)</f>
        <v>#REF!</v>
      </c>
      <c r="G257" s="37" t="e">
        <f>IF(ISBLANK(Data!#REF!),"",Data!#REF!)</f>
        <v>#REF!</v>
      </c>
      <c r="H257" s="37" t="e">
        <f>IF(ISBLANK(Data!#REF!),"",Data!#REF!)</f>
        <v>#REF!</v>
      </c>
      <c r="I257" s="37" t="e">
        <f>IF(ISBLANK(Data!#REF!),"",Data!#REF!)</f>
        <v>#REF!</v>
      </c>
      <c r="J257" s="37" t="e">
        <f>IF(ISBLANK(Data!#REF!),"",Data!#REF!)</f>
        <v>#REF!</v>
      </c>
      <c r="K257" s="22" t="e">
        <f>IF(ISBLANK(Data!#REF!),"",Data!#REF!)</f>
        <v>#REF!</v>
      </c>
      <c r="L257" s="22" t="e">
        <f>IF(ISBLANK(Data!#REF!),"",Data!#REF!)</f>
        <v>#REF!</v>
      </c>
      <c r="M257" s="22"/>
      <c r="N257" s="37" t="e">
        <f>IF(ISBLANK(Data!#REF!),"",Data!#REF!)</f>
        <v>#REF!</v>
      </c>
      <c r="O257" s="37" t="e">
        <f>IF(ISBLANK(Data!#REF!),"",Data!#REF!)</f>
        <v>#REF!</v>
      </c>
      <c r="P257" s="37" t="e">
        <f>IF(ISBLANK(Data!#REF!),"",Data!#REF!)</f>
        <v>#REF!</v>
      </c>
      <c r="Q257" s="37" t="e">
        <f>IF(ISBLANK(Data!#REF!),"",Data!#REF!)</f>
        <v>#REF!</v>
      </c>
    </row>
    <row r="258" spans="1:17" x14ac:dyDescent="0.25">
      <c r="A258" s="23" t="e">
        <f t="shared" si="4"/>
        <v>#REF!</v>
      </c>
      <c r="B258" s="42" t="e">
        <f>IF(ISBLANK(Data!#REF!),"",Data!#REF!)</f>
        <v>#REF!</v>
      </c>
      <c r="C258" s="35" t="e">
        <f>IF(ISBLANK(Data!#REF!),"",Data!#REF!)</f>
        <v>#REF!</v>
      </c>
      <c r="D258" s="36" t="e">
        <f>IF(ISBLANK(Data!#REF!),"",Data!#REF!)</f>
        <v>#REF!</v>
      </c>
      <c r="E258" s="36" t="e">
        <f>IF(ISBLANK(Data!#REF!),"",Data!#REF!)</f>
        <v>#REF!</v>
      </c>
      <c r="F258" s="36" t="e">
        <f>IF(ISBLANK(Data!#REF!),"",Data!#REF!)</f>
        <v>#REF!</v>
      </c>
      <c r="G258" s="37" t="e">
        <f>IF(ISBLANK(Data!#REF!),"",Data!#REF!)</f>
        <v>#REF!</v>
      </c>
      <c r="H258" s="37" t="e">
        <f>IF(ISBLANK(Data!#REF!),"",Data!#REF!)</f>
        <v>#REF!</v>
      </c>
      <c r="I258" s="37" t="e">
        <f>IF(ISBLANK(Data!#REF!),"",Data!#REF!)</f>
        <v>#REF!</v>
      </c>
      <c r="J258" s="37" t="e">
        <f>IF(ISBLANK(Data!#REF!),"",Data!#REF!)</f>
        <v>#REF!</v>
      </c>
      <c r="K258" s="22" t="e">
        <f>IF(ISBLANK(Data!#REF!),"",Data!#REF!)</f>
        <v>#REF!</v>
      </c>
      <c r="L258" s="22" t="e">
        <f>IF(ISBLANK(Data!#REF!),"",Data!#REF!)</f>
        <v>#REF!</v>
      </c>
      <c r="M258" s="22"/>
      <c r="N258" s="37" t="e">
        <f>IF(ISBLANK(Data!#REF!),"",Data!#REF!)</f>
        <v>#REF!</v>
      </c>
      <c r="O258" s="37" t="e">
        <f>IF(ISBLANK(Data!#REF!),"",Data!#REF!)</f>
        <v>#REF!</v>
      </c>
      <c r="P258" s="37" t="e">
        <f>IF(ISBLANK(Data!#REF!),"",Data!#REF!)</f>
        <v>#REF!</v>
      </c>
      <c r="Q258" s="37" t="e">
        <f>IF(ISBLANK(Data!#REF!),"",Data!#REF!)</f>
        <v>#REF!</v>
      </c>
    </row>
    <row r="259" spans="1:17" x14ac:dyDescent="0.25">
      <c r="A259" s="23" t="e">
        <f t="shared" ref="A259:A281" si="5">IF(B259="","",YEAR(B259))</f>
        <v>#REF!</v>
      </c>
      <c r="B259" s="42" t="e">
        <f>IF(ISBLANK(Data!#REF!),"",Data!#REF!)</f>
        <v>#REF!</v>
      </c>
      <c r="C259" s="35" t="e">
        <f>IF(ISBLANK(Data!#REF!),"",Data!#REF!)</f>
        <v>#REF!</v>
      </c>
      <c r="D259" s="36" t="e">
        <f>IF(ISBLANK(Data!#REF!),"",Data!#REF!)</f>
        <v>#REF!</v>
      </c>
      <c r="E259" s="36" t="e">
        <f>IF(ISBLANK(Data!#REF!),"",Data!#REF!)</f>
        <v>#REF!</v>
      </c>
      <c r="F259" s="36" t="e">
        <f>IF(ISBLANK(Data!#REF!),"",Data!#REF!)</f>
        <v>#REF!</v>
      </c>
      <c r="G259" s="37" t="e">
        <f>IF(ISBLANK(Data!#REF!),"",Data!#REF!)</f>
        <v>#REF!</v>
      </c>
      <c r="H259" s="37" t="e">
        <f>IF(ISBLANK(Data!#REF!),"",Data!#REF!)</f>
        <v>#REF!</v>
      </c>
      <c r="I259" s="37" t="e">
        <f>IF(ISBLANK(Data!#REF!),"",Data!#REF!)</f>
        <v>#REF!</v>
      </c>
      <c r="J259" s="37" t="e">
        <f>IF(ISBLANK(Data!#REF!),"",Data!#REF!)</f>
        <v>#REF!</v>
      </c>
      <c r="K259" s="22" t="e">
        <f>IF(ISBLANK(Data!#REF!),"",Data!#REF!)</f>
        <v>#REF!</v>
      </c>
      <c r="L259" s="22" t="e">
        <f>IF(ISBLANK(Data!#REF!),"",Data!#REF!)</f>
        <v>#REF!</v>
      </c>
      <c r="M259" s="22"/>
      <c r="N259" s="37" t="e">
        <f>IF(ISBLANK(Data!#REF!),"",Data!#REF!)</f>
        <v>#REF!</v>
      </c>
      <c r="O259" s="37" t="e">
        <f>IF(ISBLANK(Data!#REF!),"",Data!#REF!)</f>
        <v>#REF!</v>
      </c>
      <c r="P259" s="37" t="e">
        <f>IF(ISBLANK(Data!#REF!),"",Data!#REF!)</f>
        <v>#REF!</v>
      </c>
      <c r="Q259" s="37" t="e">
        <f>IF(ISBLANK(Data!#REF!),"",Data!#REF!)</f>
        <v>#REF!</v>
      </c>
    </row>
    <row r="260" spans="1:17" x14ac:dyDescent="0.25">
      <c r="A260" s="23" t="e">
        <f t="shared" si="5"/>
        <v>#REF!</v>
      </c>
      <c r="B260" s="42" t="e">
        <f>IF(ISBLANK(Data!#REF!),"",Data!#REF!)</f>
        <v>#REF!</v>
      </c>
      <c r="C260" s="35" t="e">
        <f>IF(ISBLANK(Data!#REF!),"",Data!#REF!)</f>
        <v>#REF!</v>
      </c>
      <c r="D260" s="36" t="e">
        <f>IF(ISBLANK(Data!#REF!),"",Data!#REF!)</f>
        <v>#REF!</v>
      </c>
      <c r="E260" s="36" t="e">
        <f>IF(ISBLANK(Data!#REF!),"",Data!#REF!)</f>
        <v>#REF!</v>
      </c>
      <c r="F260" s="36" t="e">
        <f>IF(ISBLANK(Data!#REF!),"",Data!#REF!)</f>
        <v>#REF!</v>
      </c>
      <c r="G260" s="37" t="e">
        <f>IF(ISBLANK(Data!#REF!),"",Data!#REF!)</f>
        <v>#REF!</v>
      </c>
      <c r="H260" s="37" t="e">
        <f>IF(ISBLANK(Data!#REF!),"",Data!#REF!)</f>
        <v>#REF!</v>
      </c>
      <c r="I260" s="37" t="e">
        <f>IF(ISBLANK(Data!#REF!),"",Data!#REF!)</f>
        <v>#REF!</v>
      </c>
      <c r="J260" s="37" t="e">
        <f>IF(ISBLANK(Data!#REF!),"",Data!#REF!)</f>
        <v>#REF!</v>
      </c>
      <c r="K260" s="22" t="e">
        <f>IF(ISBLANK(Data!#REF!),"",Data!#REF!)</f>
        <v>#REF!</v>
      </c>
      <c r="L260" s="22" t="e">
        <f>IF(ISBLANK(Data!#REF!),"",Data!#REF!)</f>
        <v>#REF!</v>
      </c>
      <c r="M260" s="22"/>
      <c r="N260" s="37" t="e">
        <f>IF(ISBLANK(Data!#REF!),"",Data!#REF!)</f>
        <v>#REF!</v>
      </c>
      <c r="O260" s="37" t="e">
        <f>IF(ISBLANK(Data!#REF!),"",Data!#REF!)</f>
        <v>#REF!</v>
      </c>
      <c r="P260" s="37" t="e">
        <f>IF(ISBLANK(Data!#REF!),"",Data!#REF!)</f>
        <v>#REF!</v>
      </c>
      <c r="Q260" s="37" t="e">
        <f>IF(ISBLANK(Data!#REF!),"",Data!#REF!)</f>
        <v>#REF!</v>
      </c>
    </row>
    <row r="261" spans="1:17" x14ac:dyDescent="0.25">
      <c r="A261" s="23" t="e">
        <f t="shared" si="5"/>
        <v>#REF!</v>
      </c>
      <c r="B261" s="42" t="e">
        <f>IF(ISBLANK(Data!#REF!),"",Data!#REF!)</f>
        <v>#REF!</v>
      </c>
      <c r="C261" s="35" t="e">
        <f>IF(ISBLANK(Data!#REF!),"",Data!#REF!)</f>
        <v>#REF!</v>
      </c>
      <c r="D261" s="36" t="e">
        <f>IF(ISBLANK(Data!#REF!),"",Data!#REF!)</f>
        <v>#REF!</v>
      </c>
      <c r="E261" s="36" t="e">
        <f>IF(ISBLANK(Data!#REF!),"",Data!#REF!)</f>
        <v>#REF!</v>
      </c>
      <c r="F261" s="36" t="e">
        <f>IF(ISBLANK(Data!#REF!),"",Data!#REF!)</f>
        <v>#REF!</v>
      </c>
      <c r="G261" s="37" t="e">
        <f>IF(ISBLANK(Data!#REF!),"",Data!#REF!)</f>
        <v>#REF!</v>
      </c>
      <c r="H261" s="37" t="e">
        <f>IF(ISBLANK(Data!#REF!),"",Data!#REF!)</f>
        <v>#REF!</v>
      </c>
      <c r="I261" s="37" t="e">
        <f>IF(ISBLANK(Data!#REF!),"",Data!#REF!)</f>
        <v>#REF!</v>
      </c>
      <c r="J261" s="37" t="e">
        <f>IF(ISBLANK(Data!#REF!),"",Data!#REF!)</f>
        <v>#REF!</v>
      </c>
      <c r="K261" s="22" t="e">
        <f>IF(ISBLANK(Data!#REF!),"",Data!#REF!)</f>
        <v>#REF!</v>
      </c>
      <c r="L261" s="22" t="e">
        <f>IF(ISBLANK(Data!#REF!),"",Data!#REF!)</f>
        <v>#REF!</v>
      </c>
      <c r="M261" s="22"/>
      <c r="N261" s="37" t="e">
        <f>IF(ISBLANK(Data!#REF!),"",Data!#REF!)</f>
        <v>#REF!</v>
      </c>
      <c r="O261" s="37" t="e">
        <f>IF(ISBLANK(Data!#REF!),"",Data!#REF!)</f>
        <v>#REF!</v>
      </c>
      <c r="P261" s="37" t="e">
        <f>IF(ISBLANK(Data!#REF!),"",Data!#REF!)</f>
        <v>#REF!</v>
      </c>
      <c r="Q261" s="37" t="e">
        <f>IF(ISBLANK(Data!#REF!),"",Data!#REF!)</f>
        <v>#REF!</v>
      </c>
    </row>
    <row r="262" spans="1:17" x14ac:dyDescent="0.25">
      <c r="A262" s="23" t="e">
        <f t="shared" si="5"/>
        <v>#REF!</v>
      </c>
      <c r="B262" s="42" t="e">
        <f>IF(ISBLANK(Data!#REF!),"",Data!#REF!)</f>
        <v>#REF!</v>
      </c>
      <c r="C262" s="35" t="e">
        <f>IF(ISBLANK(Data!#REF!),"",Data!#REF!)</f>
        <v>#REF!</v>
      </c>
      <c r="D262" s="36" t="e">
        <f>IF(ISBLANK(Data!#REF!),"",Data!#REF!)</f>
        <v>#REF!</v>
      </c>
      <c r="E262" s="36" t="e">
        <f>IF(ISBLANK(Data!#REF!),"",Data!#REF!)</f>
        <v>#REF!</v>
      </c>
      <c r="F262" s="36" t="e">
        <f>IF(ISBLANK(Data!#REF!),"",Data!#REF!)</f>
        <v>#REF!</v>
      </c>
      <c r="G262" s="37" t="e">
        <f>IF(ISBLANK(Data!#REF!),"",Data!#REF!)</f>
        <v>#REF!</v>
      </c>
      <c r="H262" s="37" t="e">
        <f>IF(ISBLANK(Data!#REF!),"",Data!#REF!)</f>
        <v>#REF!</v>
      </c>
      <c r="I262" s="37" t="e">
        <f>IF(ISBLANK(Data!#REF!),"",Data!#REF!)</f>
        <v>#REF!</v>
      </c>
      <c r="J262" s="37" t="e">
        <f>IF(ISBLANK(Data!#REF!),"",Data!#REF!)</f>
        <v>#REF!</v>
      </c>
      <c r="K262" s="22" t="e">
        <f>IF(ISBLANK(Data!#REF!),"",Data!#REF!)</f>
        <v>#REF!</v>
      </c>
      <c r="L262" s="22" t="e">
        <f>IF(ISBLANK(Data!#REF!),"",Data!#REF!)</f>
        <v>#REF!</v>
      </c>
      <c r="M262" s="22"/>
      <c r="N262" s="37" t="e">
        <f>IF(ISBLANK(Data!#REF!),"",Data!#REF!)</f>
        <v>#REF!</v>
      </c>
      <c r="O262" s="37" t="e">
        <f>IF(ISBLANK(Data!#REF!),"",Data!#REF!)</f>
        <v>#REF!</v>
      </c>
      <c r="P262" s="37" t="e">
        <f>IF(ISBLANK(Data!#REF!),"",Data!#REF!)</f>
        <v>#REF!</v>
      </c>
      <c r="Q262" s="37" t="e">
        <f>IF(ISBLANK(Data!#REF!),"",Data!#REF!)</f>
        <v>#REF!</v>
      </c>
    </row>
    <row r="263" spans="1:17" x14ac:dyDescent="0.25">
      <c r="A263" s="23" t="e">
        <f t="shared" si="5"/>
        <v>#REF!</v>
      </c>
      <c r="B263" s="42" t="e">
        <f>IF(ISBLANK(Data!#REF!),"",Data!#REF!)</f>
        <v>#REF!</v>
      </c>
      <c r="C263" s="35" t="e">
        <f>IF(ISBLANK(Data!#REF!),"",Data!#REF!)</f>
        <v>#REF!</v>
      </c>
      <c r="D263" s="36" t="e">
        <f>IF(ISBLANK(Data!#REF!),"",Data!#REF!)</f>
        <v>#REF!</v>
      </c>
      <c r="E263" s="36" t="e">
        <f>IF(ISBLANK(Data!#REF!),"",Data!#REF!)</f>
        <v>#REF!</v>
      </c>
      <c r="F263" s="36" t="e">
        <f>IF(ISBLANK(Data!#REF!),"",Data!#REF!)</f>
        <v>#REF!</v>
      </c>
      <c r="G263" s="37" t="e">
        <f>IF(ISBLANK(Data!#REF!),"",Data!#REF!)</f>
        <v>#REF!</v>
      </c>
      <c r="H263" s="37" t="e">
        <f>IF(ISBLANK(Data!#REF!),"",Data!#REF!)</f>
        <v>#REF!</v>
      </c>
      <c r="I263" s="37" t="e">
        <f>IF(ISBLANK(Data!#REF!),"",Data!#REF!)</f>
        <v>#REF!</v>
      </c>
      <c r="J263" s="37" t="e">
        <f>IF(ISBLANK(Data!#REF!),"",Data!#REF!)</f>
        <v>#REF!</v>
      </c>
      <c r="K263" s="22" t="e">
        <f>IF(ISBLANK(Data!#REF!),"",Data!#REF!)</f>
        <v>#REF!</v>
      </c>
      <c r="L263" s="22" t="e">
        <f>IF(ISBLANK(Data!#REF!),"",Data!#REF!)</f>
        <v>#REF!</v>
      </c>
      <c r="M263" s="22"/>
      <c r="N263" s="37" t="e">
        <f>IF(ISBLANK(Data!#REF!),"",Data!#REF!)</f>
        <v>#REF!</v>
      </c>
      <c r="O263" s="37" t="e">
        <f>IF(ISBLANK(Data!#REF!),"",Data!#REF!)</f>
        <v>#REF!</v>
      </c>
      <c r="P263" s="37" t="e">
        <f>IF(ISBLANK(Data!#REF!),"",Data!#REF!)</f>
        <v>#REF!</v>
      </c>
      <c r="Q263" s="37" t="e">
        <f>IF(ISBLANK(Data!#REF!),"",Data!#REF!)</f>
        <v>#REF!</v>
      </c>
    </row>
    <row r="264" spans="1:17" x14ac:dyDescent="0.25">
      <c r="A264" s="23" t="e">
        <f t="shared" si="5"/>
        <v>#REF!</v>
      </c>
      <c r="B264" s="42" t="e">
        <f>IF(ISBLANK(Data!#REF!),"",Data!#REF!)</f>
        <v>#REF!</v>
      </c>
      <c r="C264" s="35" t="e">
        <f>IF(ISBLANK(Data!#REF!),"",Data!#REF!)</f>
        <v>#REF!</v>
      </c>
      <c r="D264" s="36" t="e">
        <f>IF(ISBLANK(Data!#REF!),"",Data!#REF!)</f>
        <v>#REF!</v>
      </c>
      <c r="E264" s="36" t="e">
        <f>IF(ISBLANK(Data!#REF!),"",Data!#REF!)</f>
        <v>#REF!</v>
      </c>
      <c r="F264" s="36" t="e">
        <f>IF(ISBLANK(Data!#REF!),"",Data!#REF!)</f>
        <v>#REF!</v>
      </c>
      <c r="G264" s="37" t="e">
        <f>IF(ISBLANK(Data!#REF!),"",Data!#REF!)</f>
        <v>#REF!</v>
      </c>
      <c r="H264" s="37" t="e">
        <f>IF(ISBLANK(Data!#REF!),"",Data!#REF!)</f>
        <v>#REF!</v>
      </c>
      <c r="I264" s="37" t="e">
        <f>IF(ISBLANK(Data!#REF!),"",Data!#REF!)</f>
        <v>#REF!</v>
      </c>
      <c r="J264" s="37" t="e">
        <f>IF(ISBLANK(Data!#REF!),"",Data!#REF!)</f>
        <v>#REF!</v>
      </c>
      <c r="K264" s="22" t="e">
        <f>IF(ISBLANK(Data!#REF!),"",Data!#REF!)</f>
        <v>#REF!</v>
      </c>
      <c r="L264" s="22" t="e">
        <f>IF(ISBLANK(Data!#REF!),"",Data!#REF!)</f>
        <v>#REF!</v>
      </c>
      <c r="M264" s="22"/>
      <c r="N264" s="37" t="e">
        <f>IF(ISBLANK(Data!#REF!),"",Data!#REF!)</f>
        <v>#REF!</v>
      </c>
      <c r="O264" s="37" t="e">
        <f>IF(ISBLANK(Data!#REF!),"",Data!#REF!)</f>
        <v>#REF!</v>
      </c>
      <c r="P264" s="37" t="e">
        <f>IF(ISBLANK(Data!#REF!),"",Data!#REF!)</f>
        <v>#REF!</v>
      </c>
      <c r="Q264" s="37" t="e">
        <f>IF(ISBLANK(Data!#REF!),"",Data!#REF!)</f>
        <v>#REF!</v>
      </c>
    </row>
    <row r="265" spans="1:17" x14ac:dyDescent="0.25">
      <c r="A265" s="23" t="e">
        <f t="shared" si="5"/>
        <v>#REF!</v>
      </c>
      <c r="B265" s="42" t="e">
        <f>IF(ISBLANK(Data!#REF!),"",Data!#REF!)</f>
        <v>#REF!</v>
      </c>
      <c r="C265" s="35" t="e">
        <f>IF(ISBLANK(Data!#REF!),"",Data!#REF!)</f>
        <v>#REF!</v>
      </c>
      <c r="D265" s="36" t="e">
        <f>IF(ISBLANK(Data!#REF!),"",Data!#REF!)</f>
        <v>#REF!</v>
      </c>
      <c r="E265" s="36" t="e">
        <f>IF(ISBLANK(Data!#REF!),"",Data!#REF!)</f>
        <v>#REF!</v>
      </c>
      <c r="F265" s="36" t="e">
        <f>IF(ISBLANK(Data!#REF!),"",Data!#REF!)</f>
        <v>#REF!</v>
      </c>
      <c r="G265" s="37" t="e">
        <f>IF(ISBLANK(Data!#REF!),"",Data!#REF!)</f>
        <v>#REF!</v>
      </c>
      <c r="H265" s="37" t="e">
        <f>IF(ISBLANK(Data!#REF!),"",Data!#REF!)</f>
        <v>#REF!</v>
      </c>
      <c r="I265" s="37" t="e">
        <f>IF(ISBLANK(Data!#REF!),"",Data!#REF!)</f>
        <v>#REF!</v>
      </c>
      <c r="J265" s="37" t="e">
        <f>IF(ISBLANK(Data!#REF!),"",Data!#REF!)</f>
        <v>#REF!</v>
      </c>
      <c r="K265" s="22" t="e">
        <f>IF(ISBLANK(Data!#REF!),"",Data!#REF!)</f>
        <v>#REF!</v>
      </c>
      <c r="L265" s="22" t="e">
        <f>IF(ISBLANK(Data!#REF!),"",Data!#REF!)</f>
        <v>#REF!</v>
      </c>
      <c r="M265" s="22"/>
      <c r="N265" s="37" t="e">
        <f>IF(ISBLANK(Data!#REF!),"",Data!#REF!)</f>
        <v>#REF!</v>
      </c>
      <c r="O265" s="37" t="e">
        <f>IF(ISBLANK(Data!#REF!),"",Data!#REF!)</f>
        <v>#REF!</v>
      </c>
      <c r="P265" s="37" t="e">
        <f>IF(ISBLANK(Data!#REF!),"",Data!#REF!)</f>
        <v>#REF!</v>
      </c>
      <c r="Q265" s="37" t="e">
        <f>IF(ISBLANK(Data!#REF!),"",Data!#REF!)</f>
        <v>#REF!</v>
      </c>
    </row>
    <row r="266" spans="1:17" x14ac:dyDescent="0.25">
      <c r="A266" s="23" t="e">
        <f t="shared" si="5"/>
        <v>#REF!</v>
      </c>
      <c r="B266" s="42" t="e">
        <f>IF(ISBLANK(Data!#REF!),"",Data!#REF!)</f>
        <v>#REF!</v>
      </c>
      <c r="C266" s="35" t="e">
        <f>IF(ISBLANK(Data!#REF!),"",Data!#REF!)</f>
        <v>#REF!</v>
      </c>
      <c r="D266" s="36" t="e">
        <f>IF(ISBLANK(Data!#REF!),"",Data!#REF!)</f>
        <v>#REF!</v>
      </c>
      <c r="E266" s="36" t="e">
        <f>IF(ISBLANK(Data!#REF!),"",Data!#REF!)</f>
        <v>#REF!</v>
      </c>
      <c r="F266" s="36" t="e">
        <f>IF(ISBLANK(Data!#REF!),"",Data!#REF!)</f>
        <v>#REF!</v>
      </c>
      <c r="G266" s="37" t="e">
        <f>IF(ISBLANK(Data!#REF!),"",Data!#REF!)</f>
        <v>#REF!</v>
      </c>
      <c r="H266" s="37" t="e">
        <f>IF(ISBLANK(Data!#REF!),"",Data!#REF!)</f>
        <v>#REF!</v>
      </c>
      <c r="I266" s="37" t="e">
        <f>IF(ISBLANK(Data!#REF!),"",Data!#REF!)</f>
        <v>#REF!</v>
      </c>
      <c r="J266" s="37" t="e">
        <f>IF(ISBLANK(Data!#REF!),"",Data!#REF!)</f>
        <v>#REF!</v>
      </c>
      <c r="K266" s="22" t="e">
        <f>IF(ISBLANK(Data!#REF!),"",Data!#REF!)</f>
        <v>#REF!</v>
      </c>
      <c r="L266" s="22" t="e">
        <f>IF(ISBLANK(Data!#REF!),"",Data!#REF!)</f>
        <v>#REF!</v>
      </c>
      <c r="M266" s="22"/>
      <c r="N266" s="37" t="e">
        <f>IF(ISBLANK(Data!#REF!),"",Data!#REF!)</f>
        <v>#REF!</v>
      </c>
      <c r="O266" s="37" t="e">
        <f>IF(ISBLANK(Data!#REF!),"",Data!#REF!)</f>
        <v>#REF!</v>
      </c>
      <c r="P266" s="37" t="e">
        <f>IF(ISBLANK(Data!#REF!),"",Data!#REF!)</f>
        <v>#REF!</v>
      </c>
      <c r="Q266" s="37" t="e">
        <f>IF(ISBLANK(Data!#REF!),"",Data!#REF!)</f>
        <v>#REF!</v>
      </c>
    </row>
    <row r="267" spans="1:17" x14ac:dyDescent="0.25">
      <c r="A267" s="23" t="e">
        <f t="shared" si="5"/>
        <v>#REF!</v>
      </c>
      <c r="B267" s="42" t="e">
        <f>IF(ISBLANK(Data!#REF!),"",Data!#REF!)</f>
        <v>#REF!</v>
      </c>
      <c r="C267" s="35" t="e">
        <f>IF(ISBLANK(Data!#REF!),"",Data!#REF!)</f>
        <v>#REF!</v>
      </c>
      <c r="D267" s="36" t="e">
        <f>IF(ISBLANK(Data!#REF!),"",Data!#REF!)</f>
        <v>#REF!</v>
      </c>
      <c r="E267" s="36" t="e">
        <f>IF(ISBLANK(Data!#REF!),"",Data!#REF!)</f>
        <v>#REF!</v>
      </c>
      <c r="F267" s="36" t="e">
        <f>IF(ISBLANK(Data!#REF!),"",Data!#REF!)</f>
        <v>#REF!</v>
      </c>
      <c r="G267" s="37" t="e">
        <f>IF(ISBLANK(Data!#REF!),"",Data!#REF!)</f>
        <v>#REF!</v>
      </c>
      <c r="H267" s="37" t="e">
        <f>IF(ISBLANK(Data!#REF!),"",Data!#REF!)</f>
        <v>#REF!</v>
      </c>
      <c r="I267" s="37" t="e">
        <f>IF(ISBLANK(Data!#REF!),"",Data!#REF!)</f>
        <v>#REF!</v>
      </c>
      <c r="J267" s="37" t="e">
        <f>IF(ISBLANK(Data!#REF!),"",Data!#REF!)</f>
        <v>#REF!</v>
      </c>
      <c r="K267" s="22" t="e">
        <f>IF(ISBLANK(Data!#REF!),"",Data!#REF!)</f>
        <v>#REF!</v>
      </c>
      <c r="L267" s="22" t="e">
        <f>IF(ISBLANK(Data!#REF!),"",Data!#REF!)</f>
        <v>#REF!</v>
      </c>
      <c r="M267" s="22"/>
      <c r="N267" s="37" t="e">
        <f>IF(ISBLANK(Data!#REF!),"",Data!#REF!)</f>
        <v>#REF!</v>
      </c>
      <c r="O267" s="37" t="e">
        <f>IF(ISBLANK(Data!#REF!),"",Data!#REF!)</f>
        <v>#REF!</v>
      </c>
      <c r="P267" s="37" t="e">
        <f>IF(ISBLANK(Data!#REF!),"",Data!#REF!)</f>
        <v>#REF!</v>
      </c>
      <c r="Q267" s="37" t="e">
        <f>IF(ISBLANK(Data!#REF!),"",Data!#REF!)</f>
        <v>#REF!</v>
      </c>
    </row>
    <row r="268" spans="1:17" x14ac:dyDescent="0.25">
      <c r="A268" s="23" t="e">
        <f t="shared" si="5"/>
        <v>#REF!</v>
      </c>
      <c r="B268" s="42" t="e">
        <f>IF(ISBLANK(Data!#REF!),"",Data!#REF!)</f>
        <v>#REF!</v>
      </c>
      <c r="C268" s="35" t="e">
        <f>IF(ISBLANK(Data!#REF!),"",Data!#REF!)</f>
        <v>#REF!</v>
      </c>
      <c r="D268" s="36" t="e">
        <f>IF(ISBLANK(Data!#REF!),"",Data!#REF!)</f>
        <v>#REF!</v>
      </c>
      <c r="E268" s="36" t="e">
        <f>IF(ISBLANK(Data!#REF!),"",Data!#REF!)</f>
        <v>#REF!</v>
      </c>
      <c r="F268" s="36" t="e">
        <f>IF(ISBLANK(Data!#REF!),"",Data!#REF!)</f>
        <v>#REF!</v>
      </c>
      <c r="G268" s="37" t="e">
        <f>IF(ISBLANK(Data!#REF!),"",Data!#REF!)</f>
        <v>#REF!</v>
      </c>
      <c r="H268" s="37" t="e">
        <f>IF(ISBLANK(Data!#REF!),"",Data!#REF!)</f>
        <v>#REF!</v>
      </c>
      <c r="I268" s="37" t="e">
        <f>IF(ISBLANK(Data!#REF!),"",Data!#REF!)</f>
        <v>#REF!</v>
      </c>
      <c r="J268" s="37" t="e">
        <f>IF(ISBLANK(Data!#REF!),"",Data!#REF!)</f>
        <v>#REF!</v>
      </c>
      <c r="K268" s="22" t="e">
        <f>IF(ISBLANK(Data!#REF!),"",Data!#REF!)</f>
        <v>#REF!</v>
      </c>
      <c r="L268" s="22" t="e">
        <f>IF(ISBLANK(Data!#REF!),"",Data!#REF!)</f>
        <v>#REF!</v>
      </c>
      <c r="M268" s="22"/>
      <c r="N268" s="37" t="e">
        <f>IF(ISBLANK(Data!#REF!),"",Data!#REF!)</f>
        <v>#REF!</v>
      </c>
      <c r="O268" s="37" t="e">
        <f>IF(ISBLANK(Data!#REF!),"",Data!#REF!)</f>
        <v>#REF!</v>
      </c>
      <c r="P268" s="37" t="e">
        <f>IF(ISBLANK(Data!#REF!),"",Data!#REF!)</f>
        <v>#REF!</v>
      </c>
      <c r="Q268" s="37" t="e">
        <f>IF(ISBLANK(Data!#REF!),"",Data!#REF!)</f>
        <v>#REF!</v>
      </c>
    </row>
    <row r="269" spans="1:17" x14ac:dyDescent="0.25">
      <c r="A269" s="23" t="e">
        <f t="shared" si="5"/>
        <v>#REF!</v>
      </c>
      <c r="B269" s="42" t="e">
        <f>IF(ISBLANK(Data!#REF!),"",Data!#REF!)</f>
        <v>#REF!</v>
      </c>
      <c r="C269" s="35" t="e">
        <f>IF(ISBLANK(Data!#REF!),"",Data!#REF!)</f>
        <v>#REF!</v>
      </c>
      <c r="D269" s="36" t="e">
        <f>IF(ISBLANK(Data!#REF!),"",Data!#REF!)</f>
        <v>#REF!</v>
      </c>
      <c r="E269" s="36" t="e">
        <f>IF(ISBLANK(Data!#REF!),"",Data!#REF!)</f>
        <v>#REF!</v>
      </c>
      <c r="F269" s="36" t="e">
        <f>IF(ISBLANK(Data!#REF!),"",Data!#REF!)</f>
        <v>#REF!</v>
      </c>
      <c r="G269" s="37" t="e">
        <f>IF(ISBLANK(Data!#REF!),"",Data!#REF!)</f>
        <v>#REF!</v>
      </c>
      <c r="H269" s="37" t="e">
        <f>IF(ISBLANK(Data!#REF!),"",Data!#REF!)</f>
        <v>#REF!</v>
      </c>
      <c r="I269" s="37" t="e">
        <f>IF(ISBLANK(Data!#REF!),"",Data!#REF!)</f>
        <v>#REF!</v>
      </c>
      <c r="J269" s="37" t="e">
        <f>IF(ISBLANK(Data!#REF!),"",Data!#REF!)</f>
        <v>#REF!</v>
      </c>
      <c r="K269" s="22" t="e">
        <f>IF(ISBLANK(Data!#REF!),"",Data!#REF!)</f>
        <v>#REF!</v>
      </c>
      <c r="L269" s="22" t="e">
        <f>IF(ISBLANK(Data!#REF!),"",Data!#REF!)</f>
        <v>#REF!</v>
      </c>
      <c r="M269" s="22"/>
      <c r="N269" s="37" t="e">
        <f>IF(ISBLANK(Data!#REF!),"",Data!#REF!)</f>
        <v>#REF!</v>
      </c>
      <c r="O269" s="37" t="e">
        <f>IF(ISBLANK(Data!#REF!),"",Data!#REF!)</f>
        <v>#REF!</v>
      </c>
      <c r="P269" s="37" t="e">
        <f>IF(ISBLANK(Data!#REF!),"",Data!#REF!)</f>
        <v>#REF!</v>
      </c>
      <c r="Q269" s="37" t="e">
        <f>IF(ISBLANK(Data!#REF!),"",Data!#REF!)</f>
        <v>#REF!</v>
      </c>
    </row>
    <row r="270" spans="1:17" x14ac:dyDescent="0.25">
      <c r="A270" s="23" t="e">
        <f t="shared" si="5"/>
        <v>#REF!</v>
      </c>
      <c r="B270" s="42" t="e">
        <f>IF(ISBLANK(Data!#REF!),"",Data!#REF!)</f>
        <v>#REF!</v>
      </c>
      <c r="C270" s="35" t="e">
        <f>IF(ISBLANK(Data!#REF!),"",Data!#REF!)</f>
        <v>#REF!</v>
      </c>
      <c r="D270" s="36" t="e">
        <f>IF(ISBLANK(Data!#REF!),"",Data!#REF!)</f>
        <v>#REF!</v>
      </c>
      <c r="E270" s="36" t="e">
        <f>IF(ISBLANK(Data!#REF!),"",Data!#REF!)</f>
        <v>#REF!</v>
      </c>
      <c r="F270" s="36" t="e">
        <f>IF(ISBLANK(Data!#REF!),"",Data!#REF!)</f>
        <v>#REF!</v>
      </c>
      <c r="G270" s="37" t="e">
        <f>IF(ISBLANK(Data!#REF!),"",Data!#REF!)</f>
        <v>#REF!</v>
      </c>
      <c r="H270" s="37" t="e">
        <f>IF(ISBLANK(Data!#REF!),"",Data!#REF!)</f>
        <v>#REF!</v>
      </c>
      <c r="I270" s="37" t="e">
        <f>IF(ISBLANK(Data!#REF!),"",Data!#REF!)</f>
        <v>#REF!</v>
      </c>
      <c r="J270" s="37" t="e">
        <f>IF(ISBLANK(Data!#REF!),"",Data!#REF!)</f>
        <v>#REF!</v>
      </c>
      <c r="K270" s="22" t="e">
        <f>IF(ISBLANK(Data!#REF!),"",Data!#REF!)</f>
        <v>#REF!</v>
      </c>
      <c r="L270" s="22" t="e">
        <f>IF(ISBLANK(Data!#REF!),"",Data!#REF!)</f>
        <v>#REF!</v>
      </c>
      <c r="M270" s="22"/>
      <c r="N270" s="37" t="e">
        <f>IF(ISBLANK(Data!#REF!),"",Data!#REF!)</f>
        <v>#REF!</v>
      </c>
      <c r="O270" s="37" t="e">
        <f>IF(ISBLANK(Data!#REF!),"",Data!#REF!)</f>
        <v>#REF!</v>
      </c>
      <c r="P270" s="37" t="e">
        <f>IF(ISBLANK(Data!#REF!),"",Data!#REF!)</f>
        <v>#REF!</v>
      </c>
      <c r="Q270" s="37" t="e">
        <f>IF(ISBLANK(Data!#REF!),"",Data!#REF!)</f>
        <v>#REF!</v>
      </c>
    </row>
    <row r="271" spans="1:17" x14ac:dyDescent="0.25">
      <c r="A271" s="23" t="e">
        <f t="shared" si="5"/>
        <v>#REF!</v>
      </c>
      <c r="B271" s="42" t="e">
        <f>IF(ISBLANK(Data!#REF!),"",Data!#REF!)</f>
        <v>#REF!</v>
      </c>
      <c r="C271" s="35" t="e">
        <f>IF(ISBLANK(Data!#REF!),"",Data!#REF!)</f>
        <v>#REF!</v>
      </c>
      <c r="D271" s="36" t="e">
        <f>IF(ISBLANK(Data!#REF!),"",Data!#REF!)</f>
        <v>#REF!</v>
      </c>
      <c r="E271" s="36" t="e">
        <f>IF(ISBLANK(Data!#REF!),"",Data!#REF!)</f>
        <v>#REF!</v>
      </c>
      <c r="F271" s="36" t="e">
        <f>IF(ISBLANK(Data!#REF!),"",Data!#REF!)</f>
        <v>#REF!</v>
      </c>
      <c r="G271" s="37" t="e">
        <f>IF(ISBLANK(Data!#REF!),"",Data!#REF!)</f>
        <v>#REF!</v>
      </c>
      <c r="H271" s="37" t="e">
        <f>IF(ISBLANK(Data!#REF!),"",Data!#REF!)</f>
        <v>#REF!</v>
      </c>
      <c r="I271" s="37" t="e">
        <f>IF(ISBLANK(Data!#REF!),"",Data!#REF!)</f>
        <v>#REF!</v>
      </c>
      <c r="J271" s="37" t="e">
        <f>IF(ISBLANK(Data!#REF!),"",Data!#REF!)</f>
        <v>#REF!</v>
      </c>
      <c r="K271" s="22" t="e">
        <f>IF(ISBLANK(Data!#REF!),"",Data!#REF!)</f>
        <v>#REF!</v>
      </c>
      <c r="L271" s="22" t="e">
        <f>IF(ISBLANK(Data!#REF!),"",Data!#REF!)</f>
        <v>#REF!</v>
      </c>
      <c r="M271" s="22"/>
      <c r="N271" s="37" t="e">
        <f>IF(ISBLANK(Data!#REF!),"",Data!#REF!)</f>
        <v>#REF!</v>
      </c>
      <c r="O271" s="37" t="e">
        <f>IF(ISBLANK(Data!#REF!),"",Data!#REF!)</f>
        <v>#REF!</v>
      </c>
      <c r="P271" s="37" t="e">
        <f>IF(ISBLANK(Data!#REF!),"",Data!#REF!)</f>
        <v>#REF!</v>
      </c>
      <c r="Q271" s="37" t="e">
        <f>IF(ISBLANK(Data!#REF!),"",Data!#REF!)</f>
        <v>#REF!</v>
      </c>
    </row>
    <row r="272" spans="1:17" x14ac:dyDescent="0.25">
      <c r="A272" s="23" t="e">
        <f t="shared" si="5"/>
        <v>#REF!</v>
      </c>
      <c r="B272" s="42" t="e">
        <f>IF(ISBLANK(Data!#REF!),"",Data!#REF!)</f>
        <v>#REF!</v>
      </c>
      <c r="C272" s="35" t="e">
        <f>IF(ISBLANK(Data!#REF!),"",Data!#REF!)</f>
        <v>#REF!</v>
      </c>
      <c r="D272" s="36" t="e">
        <f>IF(ISBLANK(Data!#REF!),"",Data!#REF!)</f>
        <v>#REF!</v>
      </c>
      <c r="E272" s="36" t="e">
        <f>IF(ISBLANK(Data!#REF!),"",Data!#REF!)</f>
        <v>#REF!</v>
      </c>
      <c r="F272" s="36" t="e">
        <f>IF(ISBLANK(Data!#REF!),"",Data!#REF!)</f>
        <v>#REF!</v>
      </c>
      <c r="G272" s="37" t="e">
        <f>IF(ISBLANK(Data!#REF!),"",Data!#REF!)</f>
        <v>#REF!</v>
      </c>
      <c r="H272" s="37" t="e">
        <f>IF(ISBLANK(Data!#REF!),"",Data!#REF!)</f>
        <v>#REF!</v>
      </c>
      <c r="I272" s="37" t="e">
        <f>IF(ISBLANK(Data!#REF!),"",Data!#REF!)</f>
        <v>#REF!</v>
      </c>
      <c r="J272" s="37" t="e">
        <f>IF(ISBLANK(Data!#REF!),"",Data!#REF!)</f>
        <v>#REF!</v>
      </c>
      <c r="K272" s="22" t="e">
        <f>IF(ISBLANK(Data!#REF!),"",Data!#REF!)</f>
        <v>#REF!</v>
      </c>
      <c r="L272" s="22" t="e">
        <f>IF(ISBLANK(Data!#REF!),"",Data!#REF!)</f>
        <v>#REF!</v>
      </c>
      <c r="M272" s="22"/>
      <c r="N272" s="37" t="e">
        <f>IF(ISBLANK(Data!#REF!),"",Data!#REF!)</f>
        <v>#REF!</v>
      </c>
      <c r="O272" s="37" t="e">
        <f>IF(ISBLANK(Data!#REF!),"",Data!#REF!)</f>
        <v>#REF!</v>
      </c>
      <c r="P272" s="37" t="e">
        <f>IF(ISBLANK(Data!#REF!),"",Data!#REF!)</f>
        <v>#REF!</v>
      </c>
      <c r="Q272" s="37" t="e">
        <f>IF(ISBLANK(Data!#REF!),"",Data!#REF!)</f>
        <v>#REF!</v>
      </c>
    </row>
    <row r="273" spans="1:17" x14ac:dyDescent="0.25">
      <c r="A273" s="23" t="e">
        <f t="shared" si="5"/>
        <v>#REF!</v>
      </c>
      <c r="B273" s="42" t="e">
        <f>IF(ISBLANK(Data!#REF!),"",Data!#REF!)</f>
        <v>#REF!</v>
      </c>
      <c r="C273" s="35" t="e">
        <f>IF(ISBLANK(Data!#REF!),"",Data!#REF!)</f>
        <v>#REF!</v>
      </c>
      <c r="D273" s="36" t="e">
        <f>IF(ISBLANK(Data!#REF!),"",Data!#REF!)</f>
        <v>#REF!</v>
      </c>
      <c r="E273" s="36" t="e">
        <f>IF(ISBLANK(Data!#REF!),"",Data!#REF!)</f>
        <v>#REF!</v>
      </c>
      <c r="F273" s="36" t="e">
        <f>IF(ISBLANK(Data!#REF!),"",Data!#REF!)</f>
        <v>#REF!</v>
      </c>
      <c r="G273" s="37" t="e">
        <f>IF(ISBLANK(Data!#REF!),"",Data!#REF!)</f>
        <v>#REF!</v>
      </c>
      <c r="H273" s="37" t="e">
        <f>IF(ISBLANK(Data!#REF!),"",Data!#REF!)</f>
        <v>#REF!</v>
      </c>
      <c r="I273" s="37" t="e">
        <f>IF(ISBLANK(Data!#REF!),"",Data!#REF!)</f>
        <v>#REF!</v>
      </c>
      <c r="J273" s="37" t="e">
        <f>IF(ISBLANK(Data!#REF!),"",Data!#REF!)</f>
        <v>#REF!</v>
      </c>
      <c r="K273" s="22" t="e">
        <f>IF(ISBLANK(Data!#REF!),"",Data!#REF!)</f>
        <v>#REF!</v>
      </c>
      <c r="L273" s="22" t="e">
        <f>IF(ISBLANK(Data!#REF!),"",Data!#REF!)</f>
        <v>#REF!</v>
      </c>
      <c r="M273" s="22"/>
      <c r="N273" s="37" t="e">
        <f>IF(ISBLANK(Data!#REF!),"",Data!#REF!)</f>
        <v>#REF!</v>
      </c>
      <c r="O273" s="37" t="e">
        <f>IF(ISBLANK(Data!#REF!),"",Data!#REF!)</f>
        <v>#REF!</v>
      </c>
      <c r="P273" s="37" t="e">
        <f>IF(ISBLANK(Data!#REF!),"",Data!#REF!)</f>
        <v>#REF!</v>
      </c>
      <c r="Q273" s="37" t="e">
        <f>IF(ISBLANK(Data!#REF!),"",Data!#REF!)</f>
        <v>#REF!</v>
      </c>
    </row>
    <row r="274" spans="1:17" x14ac:dyDescent="0.25">
      <c r="A274" s="23" t="e">
        <f t="shared" si="5"/>
        <v>#REF!</v>
      </c>
      <c r="B274" s="42" t="e">
        <f>IF(ISBLANK(Data!#REF!),"",Data!#REF!)</f>
        <v>#REF!</v>
      </c>
      <c r="C274" s="35" t="e">
        <f>IF(ISBLANK(Data!#REF!),"",Data!#REF!)</f>
        <v>#REF!</v>
      </c>
      <c r="D274" s="36" t="e">
        <f>IF(ISBLANK(Data!#REF!),"",Data!#REF!)</f>
        <v>#REF!</v>
      </c>
      <c r="E274" s="36" t="e">
        <f>IF(ISBLANK(Data!#REF!),"",Data!#REF!)</f>
        <v>#REF!</v>
      </c>
      <c r="F274" s="36" t="e">
        <f>IF(ISBLANK(Data!#REF!),"",Data!#REF!)</f>
        <v>#REF!</v>
      </c>
      <c r="G274" s="37" t="e">
        <f>IF(ISBLANK(Data!#REF!),"",Data!#REF!)</f>
        <v>#REF!</v>
      </c>
      <c r="H274" s="37" t="e">
        <f>IF(ISBLANK(Data!#REF!),"",Data!#REF!)</f>
        <v>#REF!</v>
      </c>
      <c r="I274" s="37" t="e">
        <f>IF(ISBLANK(Data!#REF!),"",Data!#REF!)</f>
        <v>#REF!</v>
      </c>
      <c r="J274" s="37" t="e">
        <f>IF(ISBLANK(Data!#REF!),"",Data!#REF!)</f>
        <v>#REF!</v>
      </c>
      <c r="K274" s="22" t="e">
        <f>IF(ISBLANK(Data!#REF!),"",Data!#REF!)</f>
        <v>#REF!</v>
      </c>
      <c r="L274" s="22" t="e">
        <f>IF(ISBLANK(Data!#REF!),"",Data!#REF!)</f>
        <v>#REF!</v>
      </c>
      <c r="M274" s="22"/>
      <c r="N274" s="37" t="e">
        <f>IF(ISBLANK(Data!#REF!),"",Data!#REF!)</f>
        <v>#REF!</v>
      </c>
      <c r="O274" s="37" t="e">
        <f>IF(ISBLANK(Data!#REF!),"",Data!#REF!)</f>
        <v>#REF!</v>
      </c>
      <c r="P274" s="37" t="e">
        <f>IF(ISBLANK(Data!#REF!),"",Data!#REF!)</f>
        <v>#REF!</v>
      </c>
      <c r="Q274" s="37" t="e">
        <f>IF(ISBLANK(Data!#REF!),"",Data!#REF!)</f>
        <v>#REF!</v>
      </c>
    </row>
    <row r="275" spans="1:17" x14ac:dyDescent="0.25">
      <c r="A275" s="23" t="e">
        <f t="shared" si="5"/>
        <v>#REF!</v>
      </c>
      <c r="B275" s="42" t="e">
        <f>IF(ISBLANK(Data!#REF!),"",Data!#REF!)</f>
        <v>#REF!</v>
      </c>
      <c r="C275" s="35" t="e">
        <f>IF(ISBLANK(Data!#REF!),"",Data!#REF!)</f>
        <v>#REF!</v>
      </c>
      <c r="D275" s="36" t="e">
        <f>IF(ISBLANK(Data!#REF!),"",Data!#REF!)</f>
        <v>#REF!</v>
      </c>
      <c r="E275" s="36" t="e">
        <f>IF(ISBLANK(Data!#REF!),"",Data!#REF!)</f>
        <v>#REF!</v>
      </c>
      <c r="F275" s="36" t="e">
        <f>IF(ISBLANK(Data!#REF!),"",Data!#REF!)</f>
        <v>#REF!</v>
      </c>
      <c r="G275" s="37" t="e">
        <f>IF(ISBLANK(Data!#REF!),"",Data!#REF!)</f>
        <v>#REF!</v>
      </c>
      <c r="H275" s="37" t="e">
        <f>IF(ISBLANK(Data!#REF!),"",Data!#REF!)</f>
        <v>#REF!</v>
      </c>
      <c r="I275" s="37" t="e">
        <f>IF(ISBLANK(Data!#REF!),"",Data!#REF!)</f>
        <v>#REF!</v>
      </c>
      <c r="J275" s="37" t="e">
        <f>IF(ISBLANK(Data!#REF!),"",Data!#REF!)</f>
        <v>#REF!</v>
      </c>
      <c r="K275" s="22" t="e">
        <f>IF(ISBLANK(Data!#REF!),"",Data!#REF!)</f>
        <v>#REF!</v>
      </c>
      <c r="L275" s="22" t="e">
        <f>IF(ISBLANK(Data!#REF!),"",Data!#REF!)</f>
        <v>#REF!</v>
      </c>
      <c r="M275" s="22"/>
      <c r="N275" s="37" t="e">
        <f>IF(ISBLANK(Data!#REF!),"",Data!#REF!)</f>
        <v>#REF!</v>
      </c>
      <c r="O275" s="37" t="e">
        <f>IF(ISBLANK(Data!#REF!),"",Data!#REF!)</f>
        <v>#REF!</v>
      </c>
      <c r="P275" s="37" t="e">
        <f>IF(ISBLANK(Data!#REF!),"",Data!#REF!)</f>
        <v>#REF!</v>
      </c>
      <c r="Q275" s="37" t="e">
        <f>IF(ISBLANK(Data!#REF!),"",Data!#REF!)</f>
        <v>#REF!</v>
      </c>
    </row>
    <row r="276" spans="1:17" x14ac:dyDescent="0.25">
      <c r="A276" s="23" t="e">
        <f t="shared" si="5"/>
        <v>#REF!</v>
      </c>
      <c r="B276" s="42" t="e">
        <f>IF(ISBLANK(Data!#REF!),"",Data!#REF!)</f>
        <v>#REF!</v>
      </c>
      <c r="C276" s="35" t="e">
        <f>IF(ISBLANK(Data!#REF!),"",Data!#REF!)</f>
        <v>#REF!</v>
      </c>
      <c r="D276" s="36" t="e">
        <f>IF(ISBLANK(Data!#REF!),"",Data!#REF!)</f>
        <v>#REF!</v>
      </c>
      <c r="E276" s="36" t="e">
        <f>IF(ISBLANK(Data!#REF!),"",Data!#REF!)</f>
        <v>#REF!</v>
      </c>
      <c r="F276" s="36" t="e">
        <f>IF(ISBLANK(Data!#REF!),"",Data!#REF!)</f>
        <v>#REF!</v>
      </c>
      <c r="G276" s="37" t="e">
        <f>IF(ISBLANK(Data!#REF!),"",Data!#REF!)</f>
        <v>#REF!</v>
      </c>
      <c r="H276" s="37" t="e">
        <f>IF(ISBLANK(Data!#REF!),"",Data!#REF!)</f>
        <v>#REF!</v>
      </c>
      <c r="I276" s="37" t="e">
        <f>IF(ISBLANK(Data!#REF!),"",Data!#REF!)</f>
        <v>#REF!</v>
      </c>
      <c r="J276" s="37" t="e">
        <f>IF(ISBLANK(Data!#REF!),"",Data!#REF!)</f>
        <v>#REF!</v>
      </c>
      <c r="K276" s="22" t="e">
        <f>IF(ISBLANK(Data!#REF!),"",Data!#REF!)</f>
        <v>#REF!</v>
      </c>
      <c r="L276" s="22" t="e">
        <f>IF(ISBLANK(Data!#REF!),"",Data!#REF!)</f>
        <v>#REF!</v>
      </c>
      <c r="M276" s="22"/>
      <c r="N276" s="37" t="e">
        <f>IF(ISBLANK(Data!#REF!),"",Data!#REF!)</f>
        <v>#REF!</v>
      </c>
      <c r="O276" s="37" t="e">
        <f>IF(ISBLANK(Data!#REF!),"",Data!#REF!)</f>
        <v>#REF!</v>
      </c>
      <c r="P276" s="37" t="e">
        <f>IF(ISBLANK(Data!#REF!),"",Data!#REF!)</f>
        <v>#REF!</v>
      </c>
      <c r="Q276" s="37" t="e">
        <f>IF(ISBLANK(Data!#REF!),"",Data!#REF!)</f>
        <v>#REF!</v>
      </c>
    </row>
    <row r="277" spans="1:17" x14ac:dyDescent="0.25">
      <c r="A277" s="23" t="e">
        <f t="shared" si="5"/>
        <v>#REF!</v>
      </c>
      <c r="B277" s="42" t="e">
        <f>IF(ISBLANK(Data!#REF!),"",Data!#REF!)</f>
        <v>#REF!</v>
      </c>
      <c r="C277" s="35" t="e">
        <f>IF(ISBLANK(Data!#REF!),"",Data!#REF!)</f>
        <v>#REF!</v>
      </c>
      <c r="D277" s="36" t="e">
        <f>IF(ISBLANK(Data!#REF!),"",Data!#REF!)</f>
        <v>#REF!</v>
      </c>
      <c r="E277" s="36" t="e">
        <f>IF(ISBLANK(Data!#REF!),"",Data!#REF!)</f>
        <v>#REF!</v>
      </c>
      <c r="F277" s="36" t="e">
        <f>IF(ISBLANK(Data!#REF!),"",Data!#REF!)</f>
        <v>#REF!</v>
      </c>
      <c r="G277" s="37" t="e">
        <f>IF(ISBLANK(Data!#REF!),"",Data!#REF!)</f>
        <v>#REF!</v>
      </c>
      <c r="H277" s="37" t="e">
        <f>IF(ISBLANK(Data!#REF!),"",Data!#REF!)</f>
        <v>#REF!</v>
      </c>
      <c r="I277" s="37" t="e">
        <f>IF(ISBLANK(Data!#REF!),"",Data!#REF!)</f>
        <v>#REF!</v>
      </c>
      <c r="J277" s="37" t="e">
        <f>IF(ISBLANK(Data!#REF!),"",Data!#REF!)</f>
        <v>#REF!</v>
      </c>
      <c r="K277" s="22" t="e">
        <f>IF(ISBLANK(Data!#REF!),"",Data!#REF!)</f>
        <v>#REF!</v>
      </c>
      <c r="L277" s="22" t="e">
        <f>IF(ISBLANK(Data!#REF!),"",Data!#REF!)</f>
        <v>#REF!</v>
      </c>
      <c r="M277" s="22"/>
      <c r="N277" s="37" t="e">
        <f>IF(ISBLANK(Data!#REF!),"",Data!#REF!)</f>
        <v>#REF!</v>
      </c>
      <c r="O277" s="37" t="e">
        <f>IF(ISBLANK(Data!#REF!),"",Data!#REF!)</f>
        <v>#REF!</v>
      </c>
      <c r="P277" s="37" t="e">
        <f>IF(ISBLANK(Data!#REF!),"",Data!#REF!)</f>
        <v>#REF!</v>
      </c>
      <c r="Q277" s="37" t="e">
        <f>IF(ISBLANK(Data!#REF!),"",Data!#REF!)</f>
        <v>#REF!</v>
      </c>
    </row>
    <row r="278" spans="1:17" x14ac:dyDescent="0.25">
      <c r="A278" s="23" t="e">
        <f t="shared" si="5"/>
        <v>#REF!</v>
      </c>
      <c r="B278" s="42" t="e">
        <f>IF(ISBLANK(Data!#REF!),"",Data!#REF!)</f>
        <v>#REF!</v>
      </c>
      <c r="C278" s="35" t="e">
        <f>IF(ISBLANK(Data!#REF!),"",Data!#REF!)</f>
        <v>#REF!</v>
      </c>
      <c r="D278" s="36" t="e">
        <f>IF(ISBLANK(Data!#REF!),"",Data!#REF!)</f>
        <v>#REF!</v>
      </c>
      <c r="E278" s="36" t="e">
        <f>IF(ISBLANK(Data!#REF!),"",Data!#REF!)</f>
        <v>#REF!</v>
      </c>
      <c r="F278" s="36" t="e">
        <f>IF(ISBLANK(Data!#REF!),"",Data!#REF!)</f>
        <v>#REF!</v>
      </c>
      <c r="G278" s="37" t="e">
        <f>IF(ISBLANK(Data!#REF!),"",Data!#REF!)</f>
        <v>#REF!</v>
      </c>
      <c r="H278" s="37" t="e">
        <f>IF(ISBLANK(Data!#REF!),"",Data!#REF!)</f>
        <v>#REF!</v>
      </c>
      <c r="I278" s="37" t="e">
        <f>IF(ISBLANK(Data!#REF!),"",Data!#REF!)</f>
        <v>#REF!</v>
      </c>
      <c r="J278" s="37" t="e">
        <f>IF(ISBLANK(Data!#REF!),"",Data!#REF!)</f>
        <v>#REF!</v>
      </c>
      <c r="K278" s="22" t="e">
        <f>IF(ISBLANK(Data!#REF!),"",Data!#REF!)</f>
        <v>#REF!</v>
      </c>
      <c r="L278" s="22" t="e">
        <f>IF(ISBLANK(Data!#REF!),"",Data!#REF!)</f>
        <v>#REF!</v>
      </c>
      <c r="M278" s="22"/>
      <c r="N278" s="37" t="e">
        <f>IF(ISBLANK(Data!#REF!),"",Data!#REF!)</f>
        <v>#REF!</v>
      </c>
      <c r="O278" s="37" t="e">
        <f>IF(ISBLANK(Data!#REF!),"",Data!#REF!)</f>
        <v>#REF!</v>
      </c>
      <c r="P278" s="37" t="e">
        <f>IF(ISBLANK(Data!#REF!),"",Data!#REF!)</f>
        <v>#REF!</v>
      </c>
      <c r="Q278" s="37" t="e">
        <f>IF(ISBLANK(Data!#REF!),"",Data!#REF!)</f>
        <v>#REF!</v>
      </c>
    </row>
    <row r="279" spans="1:17" x14ac:dyDescent="0.25">
      <c r="A279" s="23" t="e">
        <f t="shared" si="5"/>
        <v>#REF!</v>
      </c>
      <c r="B279" s="42" t="e">
        <f>IF(ISBLANK(Data!#REF!),"",Data!#REF!)</f>
        <v>#REF!</v>
      </c>
      <c r="C279" s="35" t="e">
        <f>IF(ISBLANK(Data!#REF!),"",Data!#REF!)</f>
        <v>#REF!</v>
      </c>
      <c r="D279" s="36" t="e">
        <f>IF(ISBLANK(Data!#REF!),"",Data!#REF!)</f>
        <v>#REF!</v>
      </c>
      <c r="E279" s="36" t="e">
        <f>IF(ISBLANK(Data!#REF!),"",Data!#REF!)</f>
        <v>#REF!</v>
      </c>
      <c r="F279" s="36" t="e">
        <f>IF(ISBLANK(Data!#REF!),"",Data!#REF!)</f>
        <v>#REF!</v>
      </c>
      <c r="G279" s="37" t="e">
        <f>IF(ISBLANK(Data!#REF!),"",Data!#REF!)</f>
        <v>#REF!</v>
      </c>
      <c r="H279" s="37" t="e">
        <f>IF(ISBLANK(Data!#REF!),"",Data!#REF!)</f>
        <v>#REF!</v>
      </c>
      <c r="I279" s="37" t="e">
        <f>IF(ISBLANK(Data!#REF!),"",Data!#REF!)</f>
        <v>#REF!</v>
      </c>
      <c r="J279" s="37" t="e">
        <f>IF(ISBLANK(Data!#REF!),"",Data!#REF!)</f>
        <v>#REF!</v>
      </c>
      <c r="K279" s="22" t="e">
        <f>IF(ISBLANK(Data!#REF!),"",Data!#REF!)</f>
        <v>#REF!</v>
      </c>
      <c r="L279" s="22" t="e">
        <f>IF(ISBLANK(Data!#REF!),"",Data!#REF!)</f>
        <v>#REF!</v>
      </c>
      <c r="M279" s="22"/>
      <c r="N279" s="37" t="e">
        <f>IF(ISBLANK(Data!#REF!),"",Data!#REF!)</f>
        <v>#REF!</v>
      </c>
      <c r="O279" s="37" t="e">
        <f>IF(ISBLANK(Data!#REF!),"",Data!#REF!)</f>
        <v>#REF!</v>
      </c>
      <c r="P279" s="37" t="e">
        <f>IF(ISBLANK(Data!#REF!),"",Data!#REF!)</f>
        <v>#REF!</v>
      </c>
      <c r="Q279" s="37" t="e">
        <f>IF(ISBLANK(Data!#REF!),"",Data!#REF!)</f>
        <v>#REF!</v>
      </c>
    </row>
    <row r="280" spans="1:17" x14ac:dyDescent="0.25">
      <c r="A280" s="23" t="e">
        <f t="shared" si="5"/>
        <v>#REF!</v>
      </c>
      <c r="B280" s="42" t="e">
        <f>IF(ISBLANK(Data!#REF!),"",Data!#REF!)</f>
        <v>#REF!</v>
      </c>
      <c r="C280" s="35" t="e">
        <f>IF(ISBLANK(Data!#REF!),"",Data!#REF!)</f>
        <v>#REF!</v>
      </c>
      <c r="D280" s="36" t="e">
        <f>IF(ISBLANK(Data!#REF!),"",Data!#REF!)</f>
        <v>#REF!</v>
      </c>
      <c r="E280" s="36" t="e">
        <f>IF(ISBLANK(Data!#REF!),"",Data!#REF!)</f>
        <v>#REF!</v>
      </c>
      <c r="F280" s="36" t="e">
        <f>IF(ISBLANK(Data!#REF!),"",Data!#REF!)</f>
        <v>#REF!</v>
      </c>
      <c r="G280" s="37" t="e">
        <f>IF(ISBLANK(Data!#REF!),"",Data!#REF!)</f>
        <v>#REF!</v>
      </c>
      <c r="H280" s="37" t="e">
        <f>IF(ISBLANK(Data!#REF!),"",Data!#REF!)</f>
        <v>#REF!</v>
      </c>
      <c r="I280" s="37" t="e">
        <f>IF(ISBLANK(Data!#REF!),"",Data!#REF!)</f>
        <v>#REF!</v>
      </c>
      <c r="J280" s="37" t="e">
        <f>IF(ISBLANK(Data!#REF!),"",Data!#REF!)</f>
        <v>#REF!</v>
      </c>
      <c r="K280" s="22" t="e">
        <f>IF(ISBLANK(Data!#REF!),"",Data!#REF!)</f>
        <v>#REF!</v>
      </c>
      <c r="L280" s="22" t="e">
        <f>IF(ISBLANK(Data!#REF!),"",Data!#REF!)</f>
        <v>#REF!</v>
      </c>
      <c r="M280" s="22"/>
      <c r="N280" s="37" t="e">
        <f>IF(ISBLANK(Data!#REF!),"",Data!#REF!)</f>
        <v>#REF!</v>
      </c>
      <c r="O280" s="37" t="e">
        <f>IF(ISBLANK(Data!#REF!),"",Data!#REF!)</f>
        <v>#REF!</v>
      </c>
      <c r="P280" s="37" t="e">
        <f>IF(ISBLANK(Data!#REF!),"",Data!#REF!)</f>
        <v>#REF!</v>
      </c>
      <c r="Q280" s="37" t="e">
        <f>IF(ISBLANK(Data!#REF!),"",Data!#REF!)</f>
        <v>#REF!</v>
      </c>
    </row>
    <row r="281" spans="1:17" x14ac:dyDescent="0.25">
      <c r="A281" s="23" t="e">
        <f t="shared" si="5"/>
        <v>#REF!</v>
      </c>
      <c r="B281" s="42" t="e">
        <f>IF(ISBLANK(Data!#REF!),"",Data!#REF!)</f>
        <v>#REF!</v>
      </c>
      <c r="C281" s="35" t="e">
        <f>IF(ISBLANK(Data!#REF!),"",Data!#REF!)</f>
        <v>#REF!</v>
      </c>
      <c r="D281" s="36" t="e">
        <f>IF(ISBLANK(Data!#REF!),"",Data!#REF!)</f>
        <v>#REF!</v>
      </c>
      <c r="E281" s="36" t="e">
        <f>IF(ISBLANK(Data!#REF!),"",Data!#REF!)</f>
        <v>#REF!</v>
      </c>
      <c r="F281" s="36" t="e">
        <f>IF(ISBLANK(Data!#REF!),"",Data!#REF!)</f>
        <v>#REF!</v>
      </c>
      <c r="G281" s="37" t="e">
        <f>IF(ISBLANK(Data!#REF!),"",Data!#REF!)</f>
        <v>#REF!</v>
      </c>
      <c r="H281" s="37" t="e">
        <f>IF(ISBLANK(Data!#REF!),"",Data!#REF!)</f>
        <v>#REF!</v>
      </c>
      <c r="I281" s="37" t="e">
        <f>IF(ISBLANK(Data!#REF!),"",Data!#REF!)</f>
        <v>#REF!</v>
      </c>
      <c r="J281" s="37" t="e">
        <f>IF(ISBLANK(Data!#REF!),"",Data!#REF!)</f>
        <v>#REF!</v>
      </c>
      <c r="K281" s="22" t="e">
        <f>IF(ISBLANK(Data!#REF!),"",Data!#REF!)</f>
        <v>#REF!</v>
      </c>
      <c r="L281" s="22" t="e">
        <f>IF(ISBLANK(Data!#REF!),"",Data!#REF!)</f>
        <v>#REF!</v>
      </c>
      <c r="M281" s="22"/>
      <c r="N281" s="37" t="e">
        <f>IF(ISBLANK(Data!#REF!),"",Data!#REF!)</f>
        <v>#REF!</v>
      </c>
      <c r="O281" s="37" t="e">
        <f>IF(ISBLANK(Data!#REF!),"",Data!#REF!)</f>
        <v>#REF!</v>
      </c>
      <c r="P281" s="37" t="e">
        <f>IF(ISBLANK(Data!#REF!),"",Data!#REF!)</f>
        <v>#REF!</v>
      </c>
      <c r="Q281" s="37" t="e">
        <f>IF(ISBLANK(Data!#REF!),"",Data!#REF!)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9"/>
  <sheetViews>
    <sheetView topLeftCell="A79" workbookViewId="0"/>
  </sheetViews>
  <sheetFormatPr defaultRowHeight="15" x14ac:dyDescent="0.25"/>
  <cols>
    <col min="1" max="1" width="15.28515625" style="21" bestFit="1" customWidth="1"/>
    <col min="2" max="2" width="13.7109375" style="34" customWidth="1"/>
    <col min="3" max="3" width="11.42578125" style="35" bestFit="1" customWidth="1"/>
    <col min="4" max="4" width="16.85546875" style="36" customWidth="1"/>
    <col min="5" max="5" width="14.5703125" style="36" bestFit="1" customWidth="1"/>
    <col min="6" max="6" width="15.28515625" style="36" bestFit="1" customWidth="1"/>
    <col min="7" max="7" width="13.140625" style="37" bestFit="1" customWidth="1"/>
    <col min="8" max="8" width="10.85546875" style="37" bestFit="1" customWidth="1"/>
    <col min="9" max="9" width="11.7109375" style="37" bestFit="1" customWidth="1"/>
    <col min="10" max="10" width="15.28515625" style="37" bestFit="1" customWidth="1"/>
    <col min="11" max="11" width="15.28515625" style="37" customWidth="1"/>
    <col min="12" max="12" width="12" style="22" bestFit="1" customWidth="1"/>
    <col min="13" max="13" width="13.42578125" style="22" customWidth="1"/>
    <col min="14" max="14" width="13.85546875" style="49" bestFit="1" customWidth="1"/>
    <col min="15" max="15" width="13.85546875" style="37" bestFit="1" customWidth="1"/>
    <col min="16" max="16" width="13.42578125" style="37" bestFit="1" customWidth="1"/>
    <col min="17" max="17" width="12.28515625" style="36" bestFit="1" customWidth="1"/>
  </cols>
  <sheetData>
    <row r="1" spans="1:17" x14ac:dyDescent="0.25">
      <c r="A1" s="46" t="s">
        <v>235</v>
      </c>
      <c r="B1" s="27" t="s">
        <v>236</v>
      </c>
      <c r="C1" s="28" t="s">
        <v>237</v>
      </c>
      <c r="D1" s="29" t="s">
        <v>238</v>
      </c>
      <c r="E1" s="29" t="s">
        <v>239</v>
      </c>
      <c r="F1" s="29" t="s">
        <v>240</v>
      </c>
      <c r="G1" s="30" t="s">
        <v>241</v>
      </c>
      <c r="H1" s="30" t="s">
        <v>242</v>
      </c>
      <c r="I1" s="30" t="s">
        <v>243</v>
      </c>
      <c r="J1" s="31" t="s">
        <v>244</v>
      </c>
      <c r="K1" s="31" t="s">
        <v>245</v>
      </c>
      <c r="L1" s="48" t="s">
        <v>246</v>
      </c>
      <c r="M1" s="47" t="s">
        <v>247</v>
      </c>
      <c r="N1" s="47" t="s">
        <v>251</v>
      </c>
      <c r="O1" s="41" t="s">
        <v>248</v>
      </c>
      <c r="P1" s="41" t="s">
        <v>249</v>
      </c>
      <c r="Q1" s="41" t="s">
        <v>250</v>
      </c>
    </row>
    <row r="2" spans="1:17" ht="30" x14ac:dyDescent="0.25">
      <c r="A2" s="23">
        <v>2013</v>
      </c>
      <c r="B2" s="42">
        <v>41470</v>
      </c>
      <c r="C2" s="35" t="s">
        <v>230</v>
      </c>
      <c r="D2" s="36" t="s">
        <v>24</v>
      </c>
      <c r="E2" s="36" t="s">
        <v>204</v>
      </c>
      <c r="F2" s="36" t="s">
        <v>334</v>
      </c>
      <c r="G2" s="37">
        <v>2</v>
      </c>
      <c r="H2" s="37">
        <v>0</v>
      </c>
      <c r="I2" s="37">
        <v>0</v>
      </c>
      <c r="J2" s="37" t="s">
        <v>230</v>
      </c>
      <c r="K2" s="37" t="s">
        <v>633</v>
      </c>
      <c r="L2" s="22" t="s">
        <v>634</v>
      </c>
      <c r="M2" s="52"/>
      <c r="N2" s="22" t="s">
        <v>233</v>
      </c>
      <c r="O2" s="37" t="s">
        <v>230</v>
      </c>
      <c r="P2" s="37" t="s">
        <v>230</v>
      </c>
      <c r="Q2" s="37" t="s">
        <v>230</v>
      </c>
    </row>
    <row r="3" spans="1:17" ht="30" x14ac:dyDescent="0.25">
      <c r="A3" s="21">
        <v>2013</v>
      </c>
      <c r="B3" s="34">
        <v>41470</v>
      </c>
      <c r="C3" s="35" t="s">
        <v>230</v>
      </c>
      <c r="D3" s="36" t="s">
        <v>24</v>
      </c>
      <c r="E3" s="36" t="s">
        <v>204</v>
      </c>
      <c r="F3" s="36" t="s">
        <v>334</v>
      </c>
      <c r="G3" s="37">
        <v>2</v>
      </c>
      <c r="H3" s="37">
        <v>0</v>
      </c>
      <c r="I3" s="37">
        <v>0</v>
      </c>
      <c r="J3" s="37" t="s">
        <v>230</v>
      </c>
      <c r="K3" s="37" t="s">
        <v>283</v>
      </c>
      <c r="L3" s="22" t="s">
        <v>284</v>
      </c>
      <c r="N3" s="49" t="s">
        <v>233</v>
      </c>
      <c r="O3" s="37" t="s">
        <v>230</v>
      </c>
      <c r="P3" s="37" t="s">
        <v>230</v>
      </c>
      <c r="Q3" s="36" t="s">
        <v>230</v>
      </c>
    </row>
    <row r="4" spans="1:17" ht="30" x14ac:dyDescent="0.25">
      <c r="A4" s="21">
        <v>2013</v>
      </c>
      <c r="B4" s="34">
        <v>41470</v>
      </c>
      <c r="C4" s="35" t="s">
        <v>230</v>
      </c>
      <c r="D4" s="36" t="s">
        <v>24</v>
      </c>
      <c r="E4" s="36" t="s">
        <v>204</v>
      </c>
      <c r="F4" s="36" t="s">
        <v>334</v>
      </c>
      <c r="G4" s="37">
        <v>2</v>
      </c>
      <c r="H4" s="37">
        <v>0</v>
      </c>
      <c r="I4" s="37">
        <v>0</v>
      </c>
      <c r="J4" s="37" t="s">
        <v>230</v>
      </c>
      <c r="K4" s="37" t="s">
        <v>323</v>
      </c>
      <c r="L4" s="22" t="s">
        <v>635</v>
      </c>
      <c r="N4" s="49" t="s">
        <v>233</v>
      </c>
      <c r="O4" s="37" t="s">
        <v>230</v>
      </c>
      <c r="P4" s="37" t="s">
        <v>230</v>
      </c>
      <c r="Q4" s="36" t="s">
        <v>230</v>
      </c>
    </row>
    <row r="5" spans="1:17" ht="45" x14ac:dyDescent="0.25">
      <c r="A5" s="21">
        <v>2013</v>
      </c>
      <c r="B5" s="34">
        <v>41470</v>
      </c>
      <c r="C5" s="35" t="s">
        <v>230</v>
      </c>
      <c r="D5" s="36" t="s">
        <v>24</v>
      </c>
      <c r="E5" s="36" t="s">
        <v>204</v>
      </c>
      <c r="F5" s="36" t="s">
        <v>334</v>
      </c>
      <c r="G5" s="37">
        <v>2</v>
      </c>
      <c r="H5" s="37">
        <v>0</v>
      </c>
      <c r="I5" s="37">
        <v>0</v>
      </c>
      <c r="J5" s="37" t="s">
        <v>230</v>
      </c>
      <c r="K5" s="37" t="s">
        <v>285</v>
      </c>
      <c r="L5" s="22" t="s">
        <v>286</v>
      </c>
      <c r="N5" s="49" t="s">
        <v>232</v>
      </c>
      <c r="O5" s="37" t="s">
        <v>230</v>
      </c>
      <c r="P5" s="37" t="s">
        <v>230</v>
      </c>
      <c r="Q5" s="36" t="s">
        <v>624</v>
      </c>
    </row>
    <row r="6" spans="1:17" ht="45" x14ac:dyDescent="0.25">
      <c r="A6" s="21">
        <v>2013</v>
      </c>
      <c r="B6" s="34">
        <v>41470</v>
      </c>
      <c r="C6" s="35" t="s">
        <v>230</v>
      </c>
      <c r="D6" s="36" t="s">
        <v>24</v>
      </c>
      <c r="E6" s="36" t="s">
        <v>204</v>
      </c>
      <c r="F6" s="36" t="s">
        <v>334</v>
      </c>
      <c r="G6" s="37">
        <v>2</v>
      </c>
      <c r="H6" s="37">
        <v>0</v>
      </c>
      <c r="I6" s="37">
        <v>0</v>
      </c>
      <c r="J6" s="37" t="s">
        <v>230</v>
      </c>
      <c r="K6" s="37" t="s">
        <v>285</v>
      </c>
      <c r="L6" s="22" t="s">
        <v>286</v>
      </c>
      <c r="N6" s="49" t="s">
        <v>232</v>
      </c>
      <c r="O6" s="37" t="s">
        <v>230</v>
      </c>
      <c r="P6" s="37" t="s">
        <v>230</v>
      </c>
      <c r="Q6" s="36" t="s">
        <v>624</v>
      </c>
    </row>
    <row r="7" spans="1:17" ht="30" x14ac:dyDescent="0.25">
      <c r="A7" s="21">
        <v>2013</v>
      </c>
      <c r="B7" s="34">
        <v>41469</v>
      </c>
      <c r="C7" s="35" t="s">
        <v>230</v>
      </c>
      <c r="D7" s="36" t="s">
        <v>24</v>
      </c>
      <c r="E7" s="36" t="s">
        <v>205</v>
      </c>
      <c r="F7" s="36" t="s">
        <v>334</v>
      </c>
      <c r="G7" s="37">
        <v>2</v>
      </c>
      <c r="H7" s="37">
        <v>0</v>
      </c>
      <c r="I7" s="37">
        <v>0</v>
      </c>
      <c r="J7" s="37" t="s">
        <v>230</v>
      </c>
      <c r="K7" s="37" t="s">
        <v>304</v>
      </c>
      <c r="L7" s="22" t="s">
        <v>305</v>
      </c>
      <c r="N7" s="49" t="s">
        <v>233</v>
      </c>
      <c r="O7" s="37" t="s">
        <v>230</v>
      </c>
      <c r="P7" s="37" t="s">
        <v>230</v>
      </c>
      <c r="Q7" s="36" t="s">
        <v>625</v>
      </c>
    </row>
    <row r="8" spans="1:17" x14ac:dyDescent="0.25">
      <c r="A8" s="21">
        <v>2013</v>
      </c>
      <c r="B8" s="34">
        <v>41460</v>
      </c>
      <c r="C8" s="35" t="s">
        <v>230</v>
      </c>
      <c r="D8" s="36" t="s">
        <v>25</v>
      </c>
      <c r="E8" s="36" t="s">
        <v>200</v>
      </c>
      <c r="F8" s="36" t="s">
        <v>333</v>
      </c>
      <c r="G8" s="37">
        <v>1</v>
      </c>
      <c r="H8" s="37">
        <v>0</v>
      </c>
      <c r="I8" s="37">
        <v>0</v>
      </c>
      <c r="J8" s="37" t="s">
        <v>230</v>
      </c>
      <c r="K8" s="37" t="s">
        <v>636</v>
      </c>
      <c r="L8" s="22" t="s">
        <v>637</v>
      </c>
      <c r="N8" s="49" t="s">
        <v>232</v>
      </c>
      <c r="O8" s="37" t="s">
        <v>230</v>
      </c>
      <c r="P8" s="37" t="s">
        <v>230</v>
      </c>
      <c r="Q8" s="36" t="s">
        <v>626</v>
      </c>
    </row>
    <row r="9" spans="1:17" x14ac:dyDescent="0.25">
      <c r="A9" s="21">
        <v>2013</v>
      </c>
      <c r="B9" s="34">
        <v>41460</v>
      </c>
      <c r="C9" s="35" t="s">
        <v>230</v>
      </c>
      <c r="D9" s="36" t="s">
        <v>25</v>
      </c>
      <c r="E9" s="36" t="s">
        <v>200</v>
      </c>
      <c r="F9" s="36" t="s">
        <v>333</v>
      </c>
      <c r="G9" s="37">
        <v>1</v>
      </c>
      <c r="H9" s="37">
        <v>0</v>
      </c>
      <c r="I9" s="37">
        <v>0</v>
      </c>
      <c r="J9" s="37" t="s">
        <v>230</v>
      </c>
      <c r="K9" s="37" t="s">
        <v>270</v>
      </c>
      <c r="L9" s="22" t="s">
        <v>271</v>
      </c>
      <c r="N9" s="49" t="s">
        <v>232</v>
      </c>
      <c r="O9" s="37" t="s">
        <v>230</v>
      </c>
      <c r="P9" s="37" t="s">
        <v>230</v>
      </c>
      <c r="Q9" s="36" t="s">
        <v>230</v>
      </c>
    </row>
    <row r="10" spans="1:17" x14ac:dyDescent="0.25">
      <c r="A10" s="21">
        <v>2013</v>
      </c>
      <c r="B10" s="34">
        <v>41460</v>
      </c>
      <c r="C10" s="35" t="s">
        <v>230</v>
      </c>
      <c r="D10" s="36" t="s">
        <v>25</v>
      </c>
      <c r="E10" s="36" t="s">
        <v>200</v>
      </c>
      <c r="F10" s="36" t="s">
        <v>333</v>
      </c>
      <c r="G10" s="37">
        <v>1</v>
      </c>
      <c r="H10" s="37">
        <v>0</v>
      </c>
      <c r="I10" s="37">
        <v>0</v>
      </c>
      <c r="J10" s="37" t="s">
        <v>230</v>
      </c>
      <c r="K10" s="37" t="s">
        <v>312</v>
      </c>
      <c r="L10" s="22" t="s">
        <v>318</v>
      </c>
      <c r="N10" s="49" t="s">
        <v>232</v>
      </c>
      <c r="O10" s="37" t="s">
        <v>230</v>
      </c>
      <c r="P10" s="37" t="s">
        <v>230</v>
      </c>
      <c r="Q10" s="36" t="s">
        <v>230</v>
      </c>
    </row>
    <row r="11" spans="1:17" x14ac:dyDescent="0.25">
      <c r="A11" s="21">
        <v>2013</v>
      </c>
      <c r="B11" s="34">
        <v>41460</v>
      </c>
      <c r="C11" s="35" t="s">
        <v>230</v>
      </c>
      <c r="D11" s="36" t="s">
        <v>25</v>
      </c>
      <c r="E11" s="36" t="s">
        <v>200</v>
      </c>
      <c r="F11" s="36" t="s">
        <v>333</v>
      </c>
      <c r="G11" s="37">
        <v>1</v>
      </c>
      <c r="H11" s="37">
        <v>0</v>
      </c>
      <c r="I11" s="37">
        <v>0</v>
      </c>
      <c r="J11" s="37" t="s">
        <v>230</v>
      </c>
      <c r="K11" s="37" t="s">
        <v>281</v>
      </c>
      <c r="L11" s="22" t="s">
        <v>282</v>
      </c>
      <c r="N11" s="49" t="s">
        <v>233</v>
      </c>
      <c r="O11" s="37" t="s">
        <v>230</v>
      </c>
      <c r="P11" s="37" t="s">
        <v>230</v>
      </c>
      <c r="Q11" s="36" t="s">
        <v>230</v>
      </c>
    </row>
    <row r="12" spans="1:17" ht="45" x14ac:dyDescent="0.25">
      <c r="A12" s="21">
        <v>2013</v>
      </c>
      <c r="B12" s="34">
        <v>41460</v>
      </c>
      <c r="C12" s="35" t="s">
        <v>230</v>
      </c>
      <c r="D12" s="36" t="s">
        <v>25</v>
      </c>
      <c r="E12" s="36" t="s">
        <v>200</v>
      </c>
      <c r="F12" s="36" t="s">
        <v>333</v>
      </c>
      <c r="G12" s="37">
        <v>1</v>
      </c>
      <c r="H12" s="37">
        <v>0</v>
      </c>
      <c r="I12" s="37">
        <v>0</v>
      </c>
      <c r="J12" s="37" t="s">
        <v>230</v>
      </c>
      <c r="K12" s="37" t="s">
        <v>304</v>
      </c>
      <c r="L12" s="22" t="s">
        <v>305</v>
      </c>
      <c r="N12" s="49" t="s">
        <v>232</v>
      </c>
      <c r="O12" s="37" t="s">
        <v>230</v>
      </c>
      <c r="P12" s="37" t="s">
        <v>230</v>
      </c>
      <c r="Q12" s="36" t="s">
        <v>627</v>
      </c>
    </row>
    <row r="13" spans="1:17" x14ac:dyDescent="0.25">
      <c r="A13" s="21">
        <v>2013</v>
      </c>
      <c r="B13" s="34">
        <v>41460</v>
      </c>
      <c r="C13" s="35" t="s">
        <v>230</v>
      </c>
      <c r="D13" s="36" t="s">
        <v>25</v>
      </c>
      <c r="E13" s="36" t="s">
        <v>200</v>
      </c>
      <c r="F13" s="36" t="s">
        <v>333</v>
      </c>
      <c r="G13" s="37">
        <v>1</v>
      </c>
      <c r="H13" s="37">
        <v>0</v>
      </c>
      <c r="I13" s="37">
        <v>0</v>
      </c>
      <c r="J13" s="37" t="s">
        <v>230</v>
      </c>
      <c r="K13" s="37" t="s">
        <v>295</v>
      </c>
      <c r="L13" s="22" t="s">
        <v>296</v>
      </c>
      <c r="N13" s="49" t="s">
        <v>233</v>
      </c>
      <c r="O13" s="37" t="s">
        <v>230</v>
      </c>
      <c r="P13" s="37" t="s">
        <v>230</v>
      </c>
      <c r="Q13" s="36" t="s">
        <v>230</v>
      </c>
    </row>
    <row r="14" spans="1:17" x14ac:dyDescent="0.25">
      <c r="A14" s="21">
        <v>2013</v>
      </c>
      <c r="B14" s="34">
        <v>41460</v>
      </c>
      <c r="C14" s="35" t="s">
        <v>230</v>
      </c>
      <c r="D14" s="36" t="s">
        <v>25</v>
      </c>
      <c r="E14" s="36" t="s">
        <v>200</v>
      </c>
      <c r="F14" s="36" t="s">
        <v>333</v>
      </c>
      <c r="G14" s="37">
        <v>1</v>
      </c>
      <c r="H14" s="37">
        <v>0</v>
      </c>
      <c r="I14" s="37">
        <v>0</v>
      </c>
      <c r="J14" s="37" t="s">
        <v>230</v>
      </c>
      <c r="K14" s="37" t="s">
        <v>324</v>
      </c>
      <c r="L14" s="22" t="s">
        <v>325</v>
      </c>
      <c r="N14" s="49" t="s">
        <v>232</v>
      </c>
      <c r="O14" s="37" t="s">
        <v>230</v>
      </c>
      <c r="P14" s="37" t="s">
        <v>230</v>
      </c>
      <c r="Q14" s="36" t="s">
        <v>230</v>
      </c>
    </row>
    <row r="15" spans="1:17" x14ac:dyDescent="0.25">
      <c r="A15" s="21">
        <v>2013</v>
      </c>
      <c r="B15" s="34">
        <v>41460</v>
      </c>
      <c r="C15" s="35" t="s">
        <v>230</v>
      </c>
      <c r="D15" s="36" t="s">
        <v>25</v>
      </c>
      <c r="E15" s="36" t="s">
        <v>200</v>
      </c>
      <c r="F15" s="36" t="s">
        <v>333</v>
      </c>
      <c r="G15" s="37">
        <v>1</v>
      </c>
      <c r="H15" s="37">
        <v>0</v>
      </c>
      <c r="I15" s="37">
        <v>0</v>
      </c>
      <c r="J15" s="37" t="s">
        <v>230</v>
      </c>
      <c r="K15" s="37" t="s">
        <v>274</v>
      </c>
      <c r="L15" s="22" t="s">
        <v>275</v>
      </c>
      <c r="N15" s="49" t="s">
        <v>233</v>
      </c>
      <c r="O15" s="37" t="s">
        <v>230</v>
      </c>
      <c r="P15" s="37" t="s">
        <v>230</v>
      </c>
      <c r="Q15" s="36" t="s">
        <v>230</v>
      </c>
    </row>
    <row r="16" spans="1:17" x14ac:dyDescent="0.25">
      <c r="A16" s="21">
        <v>2013</v>
      </c>
      <c r="B16" s="34">
        <v>41460</v>
      </c>
      <c r="C16" s="35" t="s">
        <v>230</v>
      </c>
      <c r="D16" s="36" t="s">
        <v>25</v>
      </c>
      <c r="E16" s="36" t="s">
        <v>200</v>
      </c>
      <c r="F16" s="36" t="s">
        <v>333</v>
      </c>
      <c r="G16" s="37">
        <v>1</v>
      </c>
      <c r="H16" s="37">
        <v>0</v>
      </c>
      <c r="I16" s="37">
        <v>0</v>
      </c>
      <c r="J16" s="37" t="s">
        <v>230</v>
      </c>
      <c r="K16" s="37" t="s">
        <v>262</v>
      </c>
      <c r="L16" s="22" t="s">
        <v>263</v>
      </c>
      <c r="N16" s="49" t="s">
        <v>233</v>
      </c>
      <c r="O16" s="37" t="s">
        <v>230</v>
      </c>
      <c r="P16" s="37" t="s">
        <v>230</v>
      </c>
      <c r="Q16" s="36" t="s">
        <v>230</v>
      </c>
    </row>
    <row r="17" spans="1:17" x14ac:dyDescent="0.25">
      <c r="A17" s="21">
        <v>2013</v>
      </c>
      <c r="B17" s="34">
        <v>41460</v>
      </c>
      <c r="C17" s="35" t="s">
        <v>230</v>
      </c>
      <c r="D17" s="36" t="s">
        <v>25</v>
      </c>
      <c r="E17" s="36" t="s">
        <v>200</v>
      </c>
      <c r="F17" s="36" t="s">
        <v>333</v>
      </c>
      <c r="G17" s="37">
        <v>1</v>
      </c>
      <c r="H17" s="37">
        <v>0</v>
      </c>
      <c r="I17" s="37">
        <v>0</v>
      </c>
      <c r="J17" s="37" t="s">
        <v>230</v>
      </c>
      <c r="K17" s="37" t="s">
        <v>256</v>
      </c>
      <c r="L17" s="22" t="s">
        <v>257</v>
      </c>
      <c r="N17" s="49" t="s">
        <v>232</v>
      </c>
      <c r="O17" s="37" t="s">
        <v>230</v>
      </c>
      <c r="P17" s="37" t="s">
        <v>230</v>
      </c>
      <c r="Q17" s="36" t="s">
        <v>230</v>
      </c>
    </row>
    <row r="18" spans="1:17" x14ac:dyDescent="0.25">
      <c r="A18" s="21">
        <v>2013</v>
      </c>
      <c r="B18" s="34">
        <v>41460</v>
      </c>
      <c r="C18" s="35" t="s">
        <v>230</v>
      </c>
      <c r="D18" s="36" t="s">
        <v>25</v>
      </c>
      <c r="E18" s="36" t="s">
        <v>200</v>
      </c>
      <c r="F18" s="36" t="s">
        <v>333</v>
      </c>
      <c r="G18" s="37">
        <v>1</v>
      </c>
      <c r="H18" s="37">
        <v>0</v>
      </c>
      <c r="I18" s="37">
        <v>0</v>
      </c>
      <c r="J18" s="37" t="s">
        <v>230</v>
      </c>
      <c r="K18" s="37" t="s">
        <v>301</v>
      </c>
      <c r="L18" s="22" t="s">
        <v>302</v>
      </c>
      <c r="N18" s="49" t="s">
        <v>233</v>
      </c>
      <c r="O18" s="37" t="s">
        <v>230</v>
      </c>
      <c r="P18" s="37" t="s">
        <v>230</v>
      </c>
      <c r="Q18" s="36" t="s">
        <v>230</v>
      </c>
    </row>
    <row r="19" spans="1:17" x14ac:dyDescent="0.25">
      <c r="A19" s="21">
        <v>2013</v>
      </c>
      <c r="B19" s="34">
        <v>41460</v>
      </c>
      <c r="C19" s="35" t="s">
        <v>230</v>
      </c>
      <c r="D19" s="36" t="s">
        <v>25</v>
      </c>
      <c r="E19" s="36" t="s">
        <v>200</v>
      </c>
      <c r="F19" s="36" t="s">
        <v>333</v>
      </c>
      <c r="G19" s="37">
        <v>1</v>
      </c>
      <c r="H19" s="37">
        <v>0</v>
      </c>
      <c r="I19" s="37">
        <v>0</v>
      </c>
      <c r="J19" s="37" t="s">
        <v>230</v>
      </c>
      <c r="K19" s="37" t="s">
        <v>638</v>
      </c>
      <c r="L19" s="22" t="s">
        <v>639</v>
      </c>
      <c r="N19" s="49" t="s">
        <v>232</v>
      </c>
      <c r="O19" s="37" t="s">
        <v>230</v>
      </c>
      <c r="P19" s="37" t="s">
        <v>230</v>
      </c>
      <c r="Q19" s="36" t="s">
        <v>230</v>
      </c>
    </row>
    <row r="20" spans="1:17" x14ac:dyDescent="0.25">
      <c r="A20" s="21">
        <v>2013</v>
      </c>
      <c r="B20" s="34">
        <v>41460</v>
      </c>
      <c r="C20" s="35" t="s">
        <v>230</v>
      </c>
      <c r="D20" s="36" t="s">
        <v>25</v>
      </c>
      <c r="E20" s="36" t="s">
        <v>200</v>
      </c>
      <c r="F20" s="36" t="s">
        <v>333</v>
      </c>
      <c r="G20" s="37">
        <v>1</v>
      </c>
      <c r="H20" s="37">
        <v>0</v>
      </c>
      <c r="I20" s="37">
        <v>0</v>
      </c>
      <c r="J20" s="37" t="s">
        <v>230</v>
      </c>
      <c r="K20" s="37" t="s">
        <v>260</v>
      </c>
      <c r="L20" s="22" t="s">
        <v>261</v>
      </c>
      <c r="N20" s="49" t="s">
        <v>233</v>
      </c>
      <c r="O20" s="37" t="s">
        <v>230</v>
      </c>
      <c r="P20" s="37" t="s">
        <v>230</v>
      </c>
      <c r="Q20" s="36" t="s">
        <v>230</v>
      </c>
    </row>
    <row r="21" spans="1:17" x14ac:dyDescent="0.25">
      <c r="A21" s="21">
        <v>2013</v>
      </c>
      <c r="B21" s="34">
        <v>41460</v>
      </c>
      <c r="C21" s="35" t="s">
        <v>230</v>
      </c>
      <c r="D21" s="36" t="s">
        <v>25</v>
      </c>
      <c r="E21" s="36" t="s">
        <v>200</v>
      </c>
      <c r="F21" s="36" t="s">
        <v>333</v>
      </c>
      <c r="G21" s="37">
        <v>1</v>
      </c>
      <c r="H21" s="37">
        <v>0</v>
      </c>
      <c r="I21" s="37">
        <v>0</v>
      </c>
      <c r="J21" s="37" t="s">
        <v>230</v>
      </c>
      <c r="K21" s="37" t="s">
        <v>278</v>
      </c>
      <c r="L21" s="22" t="s">
        <v>279</v>
      </c>
      <c r="N21" s="49" t="s">
        <v>230</v>
      </c>
      <c r="O21" s="37" t="s">
        <v>230</v>
      </c>
      <c r="P21" s="37" t="s">
        <v>230</v>
      </c>
      <c r="Q21" s="36" t="s">
        <v>230</v>
      </c>
    </row>
    <row r="22" spans="1:17" x14ac:dyDescent="0.25">
      <c r="A22" s="21">
        <v>2013</v>
      </c>
      <c r="B22" s="34">
        <v>41460</v>
      </c>
      <c r="C22" s="35" t="s">
        <v>230</v>
      </c>
      <c r="D22" s="36" t="s">
        <v>25</v>
      </c>
      <c r="E22" s="36" t="s">
        <v>200</v>
      </c>
      <c r="F22" s="36" t="s">
        <v>333</v>
      </c>
      <c r="G22" s="37">
        <v>1</v>
      </c>
      <c r="H22" s="37">
        <v>0</v>
      </c>
      <c r="I22" s="37">
        <v>0</v>
      </c>
      <c r="J22" s="37" t="s">
        <v>230</v>
      </c>
      <c r="K22" s="37" t="s">
        <v>640</v>
      </c>
      <c r="L22" s="22" t="s">
        <v>641</v>
      </c>
      <c r="N22" s="49" t="s">
        <v>233</v>
      </c>
      <c r="O22" s="37" t="s">
        <v>230</v>
      </c>
      <c r="P22" s="37" t="s">
        <v>230</v>
      </c>
      <c r="Q22" s="36" t="s">
        <v>230</v>
      </c>
    </row>
    <row r="23" spans="1:17" x14ac:dyDescent="0.25">
      <c r="A23" s="21">
        <v>2013</v>
      </c>
      <c r="B23" s="34">
        <v>41460</v>
      </c>
      <c r="C23" s="35" t="s">
        <v>230</v>
      </c>
      <c r="D23" s="36" t="s">
        <v>25</v>
      </c>
      <c r="E23" s="36" t="s">
        <v>200</v>
      </c>
      <c r="F23" s="36" t="s">
        <v>333</v>
      </c>
      <c r="G23" s="37">
        <v>1</v>
      </c>
      <c r="H23" s="37">
        <v>0</v>
      </c>
      <c r="I23" s="37">
        <v>0</v>
      </c>
      <c r="J23" s="37" t="s">
        <v>230</v>
      </c>
      <c r="K23" s="37" t="s">
        <v>303</v>
      </c>
      <c r="L23" s="22" t="s">
        <v>297</v>
      </c>
      <c r="N23" s="49" t="s">
        <v>233</v>
      </c>
      <c r="O23" s="37" t="s">
        <v>230</v>
      </c>
      <c r="P23" s="37" t="s">
        <v>230</v>
      </c>
      <c r="Q23" s="36" t="s">
        <v>230</v>
      </c>
    </row>
    <row r="24" spans="1:17" x14ac:dyDescent="0.25">
      <c r="A24" s="21">
        <v>2013</v>
      </c>
      <c r="B24" s="34">
        <v>41461</v>
      </c>
      <c r="C24" s="35" t="s">
        <v>230</v>
      </c>
      <c r="D24" s="36" t="s">
        <v>25</v>
      </c>
      <c r="E24" s="36" t="s">
        <v>203</v>
      </c>
      <c r="F24" s="36" t="s">
        <v>613</v>
      </c>
      <c r="G24" s="37">
        <v>1</v>
      </c>
      <c r="H24" s="37">
        <v>0</v>
      </c>
      <c r="I24" s="37">
        <v>0</v>
      </c>
      <c r="J24" s="37" t="s">
        <v>230</v>
      </c>
      <c r="K24" s="37" t="s">
        <v>285</v>
      </c>
      <c r="L24" s="22" t="s">
        <v>286</v>
      </c>
      <c r="N24" s="49" t="s">
        <v>232</v>
      </c>
      <c r="O24" s="37" t="s">
        <v>230</v>
      </c>
      <c r="P24" s="37" t="s">
        <v>230</v>
      </c>
      <c r="Q24" s="36" t="s">
        <v>230</v>
      </c>
    </row>
    <row r="25" spans="1:17" x14ac:dyDescent="0.25">
      <c r="A25" s="21">
        <v>2013</v>
      </c>
      <c r="B25" s="34">
        <v>41461</v>
      </c>
      <c r="C25" s="35" t="s">
        <v>230</v>
      </c>
      <c r="D25" s="36" t="s">
        <v>25</v>
      </c>
      <c r="E25" s="36" t="s">
        <v>203</v>
      </c>
      <c r="F25" s="36" t="s">
        <v>613</v>
      </c>
      <c r="G25" s="37">
        <v>1</v>
      </c>
      <c r="H25" s="37">
        <v>0</v>
      </c>
      <c r="I25" s="37">
        <v>0</v>
      </c>
      <c r="J25" s="37" t="s">
        <v>230</v>
      </c>
      <c r="K25" s="37" t="s">
        <v>256</v>
      </c>
      <c r="L25" s="22" t="s">
        <v>257</v>
      </c>
      <c r="N25" s="49" t="s">
        <v>232</v>
      </c>
      <c r="O25" s="37" t="s">
        <v>230</v>
      </c>
      <c r="P25" s="37" t="s">
        <v>230</v>
      </c>
      <c r="Q25" s="36" t="s">
        <v>230</v>
      </c>
    </row>
    <row r="26" spans="1:17" x14ac:dyDescent="0.25">
      <c r="A26" s="21">
        <v>2013</v>
      </c>
      <c r="B26" s="34">
        <v>41461</v>
      </c>
      <c r="C26" s="35" t="s">
        <v>230</v>
      </c>
      <c r="D26" s="36" t="s">
        <v>25</v>
      </c>
      <c r="E26" s="36" t="s">
        <v>203</v>
      </c>
      <c r="F26" s="36" t="s">
        <v>613</v>
      </c>
      <c r="G26" s="37">
        <v>1</v>
      </c>
      <c r="H26" s="37">
        <v>0</v>
      </c>
      <c r="I26" s="37">
        <v>0</v>
      </c>
      <c r="J26" s="37" t="s">
        <v>230</v>
      </c>
      <c r="K26" s="37" t="s">
        <v>278</v>
      </c>
      <c r="L26" s="22" t="s">
        <v>279</v>
      </c>
      <c r="N26" s="49" t="s">
        <v>233</v>
      </c>
      <c r="O26" s="37" t="s">
        <v>230</v>
      </c>
      <c r="P26" s="37" t="s">
        <v>230</v>
      </c>
      <c r="Q26" s="36" t="s">
        <v>230</v>
      </c>
    </row>
    <row r="27" spans="1:17" x14ac:dyDescent="0.25">
      <c r="A27" s="21">
        <v>2013</v>
      </c>
      <c r="B27" s="34">
        <v>41461</v>
      </c>
      <c r="C27" s="35" t="s">
        <v>230</v>
      </c>
      <c r="D27" s="36" t="s">
        <v>25</v>
      </c>
      <c r="E27" s="36" t="s">
        <v>203</v>
      </c>
      <c r="F27" s="36" t="s">
        <v>613</v>
      </c>
      <c r="G27" s="37">
        <v>1</v>
      </c>
      <c r="H27" s="37">
        <v>0</v>
      </c>
      <c r="I27" s="37">
        <v>0</v>
      </c>
      <c r="J27" s="37" t="s">
        <v>230</v>
      </c>
      <c r="K27" s="37" t="s">
        <v>294</v>
      </c>
      <c r="L27" s="22" t="s">
        <v>326</v>
      </c>
      <c r="N27" s="49" t="s">
        <v>233</v>
      </c>
      <c r="O27" s="37" t="s">
        <v>230</v>
      </c>
      <c r="P27" s="37" t="s">
        <v>230</v>
      </c>
      <c r="Q27" s="36" t="s">
        <v>230</v>
      </c>
    </row>
    <row r="28" spans="1:17" x14ac:dyDescent="0.25">
      <c r="A28" s="21">
        <v>2013</v>
      </c>
      <c r="B28" s="34">
        <v>41461</v>
      </c>
      <c r="C28" s="35" t="s">
        <v>230</v>
      </c>
      <c r="D28" s="36" t="s">
        <v>25</v>
      </c>
      <c r="E28" s="36" t="s">
        <v>203</v>
      </c>
      <c r="F28" s="36" t="s">
        <v>613</v>
      </c>
      <c r="G28" s="37">
        <v>1</v>
      </c>
      <c r="H28" s="37">
        <v>0</v>
      </c>
      <c r="I28" s="37">
        <v>0</v>
      </c>
      <c r="J28" s="37" t="s">
        <v>230</v>
      </c>
      <c r="K28" s="37" t="s">
        <v>324</v>
      </c>
      <c r="L28" s="22" t="s">
        <v>325</v>
      </c>
      <c r="N28" s="49" t="s">
        <v>233</v>
      </c>
      <c r="O28" s="37" t="s">
        <v>230</v>
      </c>
      <c r="P28" s="37" t="s">
        <v>230</v>
      </c>
      <c r="Q28" s="36" t="s">
        <v>230</v>
      </c>
    </row>
    <row r="29" spans="1:17" x14ac:dyDescent="0.25">
      <c r="A29" s="21">
        <v>2013</v>
      </c>
      <c r="B29" s="34">
        <v>41461</v>
      </c>
      <c r="C29" s="35" t="s">
        <v>230</v>
      </c>
      <c r="D29" s="36" t="s">
        <v>25</v>
      </c>
      <c r="E29" s="36" t="s">
        <v>203</v>
      </c>
      <c r="F29" s="36" t="s">
        <v>613</v>
      </c>
      <c r="G29" s="37">
        <v>1</v>
      </c>
      <c r="H29" s="37">
        <v>0</v>
      </c>
      <c r="I29" s="37">
        <v>0</v>
      </c>
      <c r="J29" s="37" t="s">
        <v>230</v>
      </c>
      <c r="K29" s="37" t="s">
        <v>276</v>
      </c>
      <c r="L29" s="22" t="s">
        <v>277</v>
      </c>
      <c r="N29" s="49" t="s">
        <v>233</v>
      </c>
      <c r="O29" s="37" t="s">
        <v>230</v>
      </c>
      <c r="P29" s="37" t="s">
        <v>230</v>
      </c>
      <c r="Q29" s="36" t="s">
        <v>230</v>
      </c>
    </row>
    <row r="30" spans="1:17" x14ac:dyDescent="0.25">
      <c r="A30" s="21">
        <v>2013</v>
      </c>
      <c r="B30" s="34">
        <v>41461</v>
      </c>
      <c r="C30" s="35" t="s">
        <v>230</v>
      </c>
      <c r="D30" s="36" t="s">
        <v>25</v>
      </c>
      <c r="E30" s="36" t="s">
        <v>203</v>
      </c>
      <c r="F30" s="36" t="s">
        <v>613</v>
      </c>
      <c r="G30" s="37">
        <v>1</v>
      </c>
      <c r="H30" s="37">
        <v>0</v>
      </c>
      <c r="I30" s="37">
        <v>0</v>
      </c>
      <c r="J30" s="37" t="s">
        <v>230</v>
      </c>
      <c r="K30" s="37" t="s">
        <v>266</v>
      </c>
      <c r="L30" s="22" t="s">
        <v>267</v>
      </c>
      <c r="N30" s="49" t="s">
        <v>233</v>
      </c>
      <c r="O30" s="37" t="s">
        <v>230</v>
      </c>
      <c r="P30" s="37" t="s">
        <v>230</v>
      </c>
      <c r="Q30" s="36" t="s">
        <v>230</v>
      </c>
    </row>
    <row r="31" spans="1:17" x14ac:dyDescent="0.25">
      <c r="A31" s="21">
        <v>2013</v>
      </c>
      <c r="B31" s="34">
        <v>41461</v>
      </c>
      <c r="C31" s="35" t="s">
        <v>230</v>
      </c>
      <c r="D31" s="36" t="s">
        <v>25</v>
      </c>
      <c r="E31" s="36" t="s">
        <v>203</v>
      </c>
      <c r="F31" s="36" t="s">
        <v>613</v>
      </c>
      <c r="G31" s="37">
        <v>1</v>
      </c>
      <c r="H31" s="37">
        <v>0</v>
      </c>
      <c r="I31" s="37">
        <v>0</v>
      </c>
      <c r="J31" s="37" t="s">
        <v>230</v>
      </c>
      <c r="K31" s="37" t="s">
        <v>321</v>
      </c>
      <c r="L31" s="22" t="s">
        <v>322</v>
      </c>
      <c r="N31" s="49" t="s">
        <v>233</v>
      </c>
      <c r="O31" s="37" t="s">
        <v>230</v>
      </c>
      <c r="P31" s="37" t="s">
        <v>230</v>
      </c>
      <c r="Q31" s="36" t="s">
        <v>230</v>
      </c>
    </row>
    <row r="32" spans="1:17" ht="30" x14ac:dyDescent="0.25">
      <c r="A32" s="21">
        <v>2013</v>
      </c>
      <c r="B32" s="34">
        <v>41457</v>
      </c>
      <c r="C32" s="35" t="s">
        <v>230</v>
      </c>
      <c r="D32" s="36" t="s">
        <v>25</v>
      </c>
      <c r="E32" s="36" t="s">
        <v>230</v>
      </c>
      <c r="F32" s="36" t="s">
        <v>334</v>
      </c>
      <c r="G32" s="37">
        <v>2</v>
      </c>
      <c r="H32" s="37">
        <v>0</v>
      </c>
      <c r="I32" s="37">
        <v>0</v>
      </c>
      <c r="J32" s="37" t="s">
        <v>230</v>
      </c>
      <c r="K32" s="37" t="s">
        <v>266</v>
      </c>
      <c r="L32" s="22" t="s">
        <v>267</v>
      </c>
      <c r="N32" s="49" t="s">
        <v>232</v>
      </c>
      <c r="O32" s="37" t="s">
        <v>230</v>
      </c>
      <c r="P32" s="37" t="s">
        <v>230</v>
      </c>
      <c r="Q32" s="36" t="s">
        <v>628</v>
      </c>
    </row>
    <row r="33" spans="1:17" ht="45" x14ac:dyDescent="0.25">
      <c r="A33" s="21">
        <v>2013</v>
      </c>
      <c r="B33" s="34">
        <v>41458</v>
      </c>
      <c r="C33" s="35" t="s">
        <v>230</v>
      </c>
      <c r="D33" s="36" t="s">
        <v>25</v>
      </c>
      <c r="E33" s="36" t="s">
        <v>230</v>
      </c>
      <c r="F33" s="36" t="s">
        <v>334</v>
      </c>
      <c r="G33" s="37">
        <v>1</v>
      </c>
      <c r="H33" s="37">
        <v>0</v>
      </c>
      <c r="I33" s="37">
        <v>0</v>
      </c>
      <c r="J33" s="37" t="s">
        <v>230</v>
      </c>
      <c r="K33" s="37" t="s">
        <v>285</v>
      </c>
      <c r="L33" s="22" t="s">
        <v>286</v>
      </c>
      <c r="N33" s="49" t="s">
        <v>232</v>
      </c>
      <c r="O33" s="37" t="s">
        <v>230</v>
      </c>
      <c r="P33" s="37" t="s">
        <v>230</v>
      </c>
      <c r="Q33" s="36" t="s">
        <v>629</v>
      </c>
    </row>
    <row r="34" spans="1:17" ht="30" x14ac:dyDescent="0.25">
      <c r="A34" s="21">
        <v>2013</v>
      </c>
      <c r="B34" s="34">
        <v>41459</v>
      </c>
      <c r="C34" s="35" t="s">
        <v>230</v>
      </c>
      <c r="D34" s="36" t="s">
        <v>25</v>
      </c>
      <c r="E34" s="36" t="s">
        <v>201</v>
      </c>
      <c r="F34" s="36" t="s">
        <v>334</v>
      </c>
      <c r="G34" s="37">
        <v>4</v>
      </c>
      <c r="H34" s="37">
        <v>0</v>
      </c>
      <c r="I34" s="37">
        <v>0</v>
      </c>
      <c r="J34" s="37" t="s">
        <v>230</v>
      </c>
      <c r="K34" s="37" t="s">
        <v>321</v>
      </c>
      <c r="L34" s="22" t="s">
        <v>322</v>
      </c>
      <c r="N34" s="49" t="s">
        <v>233</v>
      </c>
      <c r="O34" s="37" t="s">
        <v>230</v>
      </c>
      <c r="P34" s="37" t="s">
        <v>230</v>
      </c>
      <c r="Q34" s="36" t="s">
        <v>230</v>
      </c>
    </row>
    <row r="35" spans="1:17" ht="30" x14ac:dyDescent="0.25">
      <c r="A35" s="21">
        <v>2013</v>
      </c>
      <c r="B35" s="34">
        <v>41459</v>
      </c>
      <c r="C35" s="35" t="s">
        <v>230</v>
      </c>
      <c r="D35" s="36" t="s">
        <v>25</v>
      </c>
      <c r="E35" s="36" t="s">
        <v>201</v>
      </c>
      <c r="F35" s="36" t="s">
        <v>334</v>
      </c>
      <c r="G35" s="37">
        <v>4</v>
      </c>
      <c r="H35" s="37">
        <v>0</v>
      </c>
      <c r="I35" s="37">
        <v>0</v>
      </c>
      <c r="J35" s="37" t="s">
        <v>230</v>
      </c>
      <c r="K35" s="37" t="s">
        <v>262</v>
      </c>
      <c r="L35" s="22" t="s">
        <v>263</v>
      </c>
      <c r="N35" s="49" t="s">
        <v>233</v>
      </c>
      <c r="O35" s="37" t="s">
        <v>230</v>
      </c>
      <c r="P35" s="37" t="s">
        <v>230</v>
      </c>
      <c r="Q35" s="36" t="s">
        <v>230</v>
      </c>
    </row>
    <row r="36" spans="1:17" ht="30" x14ac:dyDescent="0.25">
      <c r="A36" s="21">
        <v>2013</v>
      </c>
      <c r="B36" s="34">
        <v>41459</v>
      </c>
      <c r="C36" s="35" t="s">
        <v>230</v>
      </c>
      <c r="D36" s="36" t="s">
        <v>25</v>
      </c>
      <c r="E36" s="36" t="s">
        <v>201</v>
      </c>
      <c r="F36" s="36" t="s">
        <v>334</v>
      </c>
      <c r="G36" s="37">
        <v>4</v>
      </c>
      <c r="H36" s="37">
        <v>0</v>
      </c>
      <c r="I36" s="37">
        <v>0</v>
      </c>
      <c r="J36" s="37" t="s">
        <v>230</v>
      </c>
      <c r="K36" s="37" t="s">
        <v>272</v>
      </c>
      <c r="L36" s="22" t="s">
        <v>273</v>
      </c>
      <c r="N36" s="49" t="s">
        <v>233</v>
      </c>
      <c r="O36" s="37" t="s">
        <v>230</v>
      </c>
      <c r="P36" s="37" t="s">
        <v>230</v>
      </c>
      <c r="Q36" s="36" t="s">
        <v>230</v>
      </c>
    </row>
    <row r="37" spans="1:17" ht="30" x14ac:dyDescent="0.25">
      <c r="A37" s="21">
        <v>2013</v>
      </c>
      <c r="B37" s="34">
        <v>41459</v>
      </c>
      <c r="C37" s="35" t="s">
        <v>230</v>
      </c>
      <c r="D37" s="36" t="s">
        <v>25</v>
      </c>
      <c r="E37" s="36" t="s">
        <v>201</v>
      </c>
      <c r="F37" s="36" t="s">
        <v>334</v>
      </c>
      <c r="G37" s="37">
        <v>4</v>
      </c>
      <c r="H37" s="37">
        <v>0</v>
      </c>
      <c r="I37" s="37">
        <v>0</v>
      </c>
      <c r="J37" s="37" t="s">
        <v>230</v>
      </c>
      <c r="K37" s="37" t="s">
        <v>278</v>
      </c>
      <c r="L37" s="22" t="s">
        <v>279</v>
      </c>
      <c r="N37" s="49" t="s">
        <v>233</v>
      </c>
      <c r="O37" s="37" t="s">
        <v>230</v>
      </c>
      <c r="P37" s="37" t="s">
        <v>230</v>
      </c>
      <c r="Q37" s="36" t="s">
        <v>230</v>
      </c>
    </row>
    <row r="38" spans="1:17" ht="30" x14ac:dyDescent="0.25">
      <c r="A38" s="21">
        <v>2013</v>
      </c>
      <c r="B38" s="34">
        <v>41459</v>
      </c>
      <c r="C38" s="35" t="s">
        <v>230</v>
      </c>
      <c r="D38" s="36" t="s">
        <v>25</v>
      </c>
      <c r="E38" s="36" t="s">
        <v>201</v>
      </c>
      <c r="F38" s="36" t="s">
        <v>334</v>
      </c>
      <c r="G38" s="37">
        <v>4</v>
      </c>
      <c r="H38" s="37">
        <v>0</v>
      </c>
      <c r="I38" s="37">
        <v>0</v>
      </c>
      <c r="J38" s="37" t="s">
        <v>230</v>
      </c>
      <c r="K38" s="37" t="s">
        <v>252</v>
      </c>
      <c r="L38" s="22" t="s">
        <v>253</v>
      </c>
      <c r="N38" s="49" t="s">
        <v>233</v>
      </c>
      <c r="O38" s="37" t="s">
        <v>230</v>
      </c>
      <c r="P38" s="37" t="s">
        <v>230</v>
      </c>
      <c r="Q38" s="36" t="s">
        <v>230</v>
      </c>
    </row>
    <row r="39" spans="1:17" ht="30" x14ac:dyDescent="0.25">
      <c r="A39" s="21">
        <v>2013</v>
      </c>
      <c r="B39" s="34">
        <v>41459</v>
      </c>
      <c r="C39" s="35" t="s">
        <v>230</v>
      </c>
      <c r="D39" s="36" t="s">
        <v>25</v>
      </c>
      <c r="E39" s="36" t="s">
        <v>201</v>
      </c>
      <c r="F39" s="36" t="s">
        <v>334</v>
      </c>
      <c r="G39" s="37">
        <v>4</v>
      </c>
      <c r="H39" s="37">
        <v>0</v>
      </c>
      <c r="I39" s="37">
        <v>0</v>
      </c>
      <c r="J39" s="37" t="s">
        <v>230</v>
      </c>
      <c r="K39" s="37" t="s">
        <v>260</v>
      </c>
      <c r="L39" s="22" t="s">
        <v>261</v>
      </c>
      <c r="N39" s="49" t="s">
        <v>233</v>
      </c>
      <c r="O39" s="37" t="s">
        <v>230</v>
      </c>
      <c r="P39" s="37" t="s">
        <v>230</v>
      </c>
      <c r="Q39" s="36" t="s">
        <v>230</v>
      </c>
    </row>
    <row r="40" spans="1:17" ht="30" x14ac:dyDescent="0.25">
      <c r="A40" s="21">
        <v>2013</v>
      </c>
      <c r="B40" s="34">
        <v>41459</v>
      </c>
      <c r="C40" s="35" t="s">
        <v>230</v>
      </c>
      <c r="D40" s="36" t="s">
        <v>25</v>
      </c>
      <c r="E40" s="36" t="s">
        <v>201</v>
      </c>
      <c r="F40" s="36" t="s">
        <v>334</v>
      </c>
      <c r="G40" s="37">
        <v>4</v>
      </c>
      <c r="H40" s="37">
        <v>0</v>
      </c>
      <c r="I40" s="37">
        <v>0</v>
      </c>
      <c r="J40" s="37" t="s">
        <v>230</v>
      </c>
      <c r="K40" s="37" t="s">
        <v>281</v>
      </c>
      <c r="L40" s="22" t="s">
        <v>282</v>
      </c>
      <c r="N40" s="49" t="s">
        <v>233</v>
      </c>
      <c r="O40" s="37" t="s">
        <v>230</v>
      </c>
      <c r="P40" s="37" t="s">
        <v>230</v>
      </c>
      <c r="Q40" s="36" t="s">
        <v>230</v>
      </c>
    </row>
    <row r="41" spans="1:17" ht="30" x14ac:dyDescent="0.25">
      <c r="A41" s="21">
        <v>2013</v>
      </c>
      <c r="B41" s="34">
        <v>41459</v>
      </c>
      <c r="C41" s="35" t="s">
        <v>230</v>
      </c>
      <c r="D41" s="36" t="s">
        <v>25</v>
      </c>
      <c r="E41" s="36" t="s">
        <v>201</v>
      </c>
      <c r="F41" s="36" t="s">
        <v>334</v>
      </c>
      <c r="G41" s="37">
        <v>4</v>
      </c>
      <c r="H41" s="37">
        <v>0</v>
      </c>
      <c r="I41" s="37">
        <v>0</v>
      </c>
      <c r="J41" s="37" t="s">
        <v>230</v>
      </c>
      <c r="K41" s="37" t="s">
        <v>274</v>
      </c>
      <c r="L41" s="22" t="s">
        <v>275</v>
      </c>
      <c r="N41" s="49" t="s">
        <v>233</v>
      </c>
      <c r="O41" s="37" t="s">
        <v>230</v>
      </c>
      <c r="P41" s="37" t="s">
        <v>230</v>
      </c>
      <c r="Q41" s="36" t="s">
        <v>230</v>
      </c>
    </row>
    <row r="42" spans="1:17" ht="30" x14ac:dyDescent="0.25">
      <c r="A42" s="21">
        <v>2013</v>
      </c>
      <c r="B42" s="34">
        <v>41459</v>
      </c>
      <c r="C42" s="35" t="s">
        <v>230</v>
      </c>
      <c r="D42" s="36" t="s">
        <v>25</v>
      </c>
      <c r="E42" s="36" t="s">
        <v>201</v>
      </c>
      <c r="F42" s="36" t="s">
        <v>334</v>
      </c>
      <c r="G42" s="37">
        <v>4</v>
      </c>
      <c r="H42" s="37">
        <v>0</v>
      </c>
      <c r="I42" s="37">
        <v>0</v>
      </c>
      <c r="J42" s="37" t="s">
        <v>230</v>
      </c>
      <c r="K42" s="37" t="s">
        <v>254</v>
      </c>
      <c r="L42" s="22" t="s">
        <v>255</v>
      </c>
      <c r="N42" s="49" t="s">
        <v>233</v>
      </c>
      <c r="O42" s="37" t="s">
        <v>230</v>
      </c>
      <c r="P42" s="37" t="s">
        <v>230</v>
      </c>
      <c r="Q42" s="36" t="s">
        <v>230</v>
      </c>
    </row>
    <row r="43" spans="1:17" ht="30" x14ac:dyDescent="0.25">
      <c r="A43" s="21">
        <v>2013</v>
      </c>
      <c r="B43" s="34">
        <v>41459</v>
      </c>
      <c r="C43" s="35" t="s">
        <v>230</v>
      </c>
      <c r="D43" s="36" t="s">
        <v>25</v>
      </c>
      <c r="E43" s="36" t="s">
        <v>201</v>
      </c>
      <c r="F43" s="36" t="s">
        <v>334</v>
      </c>
      <c r="G43" s="37">
        <v>4</v>
      </c>
      <c r="H43" s="37">
        <v>0</v>
      </c>
      <c r="I43" s="37">
        <v>0</v>
      </c>
      <c r="J43" s="37" t="s">
        <v>230</v>
      </c>
      <c r="K43" s="37" t="s">
        <v>642</v>
      </c>
      <c r="L43" s="22" t="s">
        <v>643</v>
      </c>
      <c r="N43" s="49" t="s">
        <v>233</v>
      </c>
      <c r="O43" s="37" t="s">
        <v>230</v>
      </c>
      <c r="P43" s="37" t="s">
        <v>230</v>
      </c>
      <c r="Q43" s="36" t="s">
        <v>230</v>
      </c>
    </row>
    <row r="44" spans="1:17" ht="30" x14ac:dyDescent="0.25">
      <c r="A44" s="21">
        <v>2013</v>
      </c>
      <c r="B44" s="34">
        <v>41459</v>
      </c>
      <c r="C44" s="35" t="s">
        <v>230</v>
      </c>
      <c r="D44" s="36" t="s">
        <v>25</v>
      </c>
      <c r="E44" s="36" t="s">
        <v>201</v>
      </c>
      <c r="F44" s="36" t="s">
        <v>334</v>
      </c>
      <c r="G44" s="37">
        <v>4</v>
      </c>
      <c r="H44" s="37">
        <v>0</v>
      </c>
      <c r="I44" s="37">
        <v>0</v>
      </c>
      <c r="J44" s="37" t="s">
        <v>230</v>
      </c>
      <c r="K44" s="37" t="s">
        <v>264</v>
      </c>
      <c r="L44" s="22" t="s">
        <v>265</v>
      </c>
      <c r="N44" s="49" t="s">
        <v>233</v>
      </c>
      <c r="O44" s="37" t="s">
        <v>230</v>
      </c>
      <c r="P44" s="37" t="s">
        <v>230</v>
      </c>
      <c r="Q44" s="36" t="s">
        <v>230</v>
      </c>
    </row>
    <row r="45" spans="1:17" ht="30" x14ac:dyDescent="0.25">
      <c r="A45" s="21">
        <v>2013</v>
      </c>
      <c r="B45" s="34">
        <v>41459</v>
      </c>
      <c r="C45" s="35" t="s">
        <v>230</v>
      </c>
      <c r="D45" s="36" t="s">
        <v>25</v>
      </c>
      <c r="E45" s="36" t="s">
        <v>201</v>
      </c>
      <c r="F45" s="36" t="s">
        <v>334</v>
      </c>
      <c r="G45" s="37">
        <v>4</v>
      </c>
      <c r="H45" s="37">
        <v>0</v>
      </c>
      <c r="I45" s="37">
        <v>0</v>
      </c>
      <c r="J45" s="37" t="s">
        <v>230</v>
      </c>
      <c r="K45" s="37" t="s">
        <v>324</v>
      </c>
      <c r="L45" s="22" t="s">
        <v>325</v>
      </c>
      <c r="N45" s="49" t="s">
        <v>233</v>
      </c>
      <c r="O45" s="37" t="s">
        <v>230</v>
      </c>
      <c r="P45" s="37" t="s">
        <v>230</v>
      </c>
      <c r="Q45" s="36" t="s">
        <v>230</v>
      </c>
    </row>
    <row r="46" spans="1:17" ht="30" x14ac:dyDescent="0.25">
      <c r="A46" s="21">
        <v>2013</v>
      </c>
      <c r="B46" s="34">
        <v>41459</v>
      </c>
      <c r="C46" s="35" t="s">
        <v>230</v>
      </c>
      <c r="D46" s="36" t="s">
        <v>25</v>
      </c>
      <c r="E46" s="36" t="s">
        <v>201</v>
      </c>
      <c r="F46" s="36" t="s">
        <v>334</v>
      </c>
      <c r="G46" s="37">
        <v>4</v>
      </c>
      <c r="H46" s="37">
        <v>0</v>
      </c>
      <c r="I46" s="37">
        <v>0</v>
      </c>
      <c r="J46" s="37" t="s">
        <v>230</v>
      </c>
      <c r="K46" s="37" t="s">
        <v>268</v>
      </c>
      <c r="L46" s="22" t="s">
        <v>269</v>
      </c>
      <c r="N46" s="49" t="s">
        <v>233</v>
      </c>
      <c r="O46" s="37" t="s">
        <v>230</v>
      </c>
      <c r="P46" s="37" t="s">
        <v>230</v>
      </c>
      <c r="Q46" s="36" t="s">
        <v>230</v>
      </c>
    </row>
    <row r="47" spans="1:17" ht="30" x14ac:dyDescent="0.25">
      <c r="A47" s="21">
        <v>2013</v>
      </c>
      <c r="B47" s="34">
        <v>41459</v>
      </c>
      <c r="C47" s="35" t="s">
        <v>230</v>
      </c>
      <c r="D47" s="36" t="s">
        <v>25</v>
      </c>
      <c r="E47" s="36" t="s">
        <v>201</v>
      </c>
      <c r="F47" s="36" t="s">
        <v>334</v>
      </c>
      <c r="G47" s="37">
        <v>4</v>
      </c>
      <c r="H47" s="37">
        <v>0</v>
      </c>
      <c r="I47" s="37">
        <v>0</v>
      </c>
      <c r="J47" s="37" t="s">
        <v>230</v>
      </c>
      <c r="K47" s="37" t="s">
        <v>304</v>
      </c>
      <c r="L47" s="22" t="s">
        <v>305</v>
      </c>
      <c r="N47" s="49" t="s">
        <v>233</v>
      </c>
      <c r="O47" s="37" t="s">
        <v>230</v>
      </c>
      <c r="P47" s="37" t="s">
        <v>230</v>
      </c>
      <c r="Q47" s="36" t="s">
        <v>230</v>
      </c>
    </row>
    <row r="48" spans="1:17" ht="30" x14ac:dyDescent="0.25">
      <c r="A48" s="21">
        <v>2013</v>
      </c>
      <c r="B48" s="34">
        <v>41459</v>
      </c>
      <c r="C48" s="35" t="s">
        <v>230</v>
      </c>
      <c r="D48" s="36" t="s">
        <v>25</v>
      </c>
      <c r="E48" s="36" t="s">
        <v>201</v>
      </c>
      <c r="F48" s="36" t="s">
        <v>334</v>
      </c>
      <c r="G48" s="37">
        <v>4</v>
      </c>
      <c r="H48" s="37">
        <v>0</v>
      </c>
      <c r="I48" s="37">
        <v>0</v>
      </c>
      <c r="J48" s="37" t="s">
        <v>230</v>
      </c>
      <c r="K48" s="37" t="s">
        <v>256</v>
      </c>
      <c r="L48" s="22" t="s">
        <v>257</v>
      </c>
      <c r="N48" s="49" t="s">
        <v>233</v>
      </c>
      <c r="O48" s="37" t="s">
        <v>230</v>
      </c>
      <c r="P48" s="37" t="s">
        <v>230</v>
      </c>
      <c r="Q48" s="36" t="s">
        <v>230</v>
      </c>
    </row>
    <row r="49" spans="1:17" ht="30" x14ac:dyDescent="0.25">
      <c r="A49" s="21">
        <v>2013</v>
      </c>
      <c r="B49" s="34">
        <v>41459</v>
      </c>
      <c r="C49" s="35" t="s">
        <v>230</v>
      </c>
      <c r="D49" s="36" t="s">
        <v>25</v>
      </c>
      <c r="E49" s="36" t="s">
        <v>201</v>
      </c>
      <c r="F49" s="36" t="s">
        <v>334</v>
      </c>
      <c r="G49" s="37">
        <v>4</v>
      </c>
      <c r="H49" s="37">
        <v>0</v>
      </c>
      <c r="I49" s="37">
        <v>0</v>
      </c>
      <c r="J49" s="37" t="s">
        <v>230</v>
      </c>
      <c r="K49" s="37" t="s">
        <v>258</v>
      </c>
      <c r="L49" s="22" t="s">
        <v>327</v>
      </c>
      <c r="N49" s="49" t="s">
        <v>233</v>
      </c>
      <c r="O49" s="37" t="s">
        <v>230</v>
      </c>
      <c r="P49" s="37" t="s">
        <v>230</v>
      </c>
      <c r="Q49" s="36" t="s">
        <v>230</v>
      </c>
    </row>
    <row r="50" spans="1:17" ht="30" x14ac:dyDescent="0.25">
      <c r="A50" s="21">
        <v>2013</v>
      </c>
      <c r="B50" s="34">
        <v>41459</v>
      </c>
      <c r="C50" s="35" t="s">
        <v>230</v>
      </c>
      <c r="D50" s="36" t="s">
        <v>25</v>
      </c>
      <c r="E50" s="36" t="s">
        <v>201</v>
      </c>
      <c r="F50" s="36" t="s">
        <v>334</v>
      </c>
      <c r="G50" s="37">
        <v>4</v>
      </c>
      <c r="H50" s="37">
        <v>0</v>
      </c>
      <c r="I50" s="37">
        <v>0</v>
      </c>
      <c r="J50" s="37" t="s">
        <v>230</v>
      </c>
      <c r="K50" s="37" t="s">
        <v>292</v>
      </c>
      <c r="L50" s="22" t="s">
        <v>293</v>
      </c>
      <c r="N50" s="49" t="s">
        <v>233</v>
      </c>
      <c r="O50" s="37" t="s">
        <v>230</v>
      </c>
      <c r="P50" s="37" t="s">
        <v>230</v>
      </c>
      <c r="Q50" s="36" t="s">
        <v>230</v>
      </c>
    </row>
    <row r="51" spans="1:17" ht="30" x14ac:dyDescent="0.25">
      <c r="A51" s="21">
        <v>2013</v>
      </c>
      <c r="B51" s="34">
        <v>41460</v>
      </c>
      <c r="C51" s="35" t="s">
        <v>230</v>
      </c>
      <c r="D51" s="36" t="s">
        <v>25</v>
      </c>
      <c r="E51" s="36" t="s">
        <v>200</v>
      </c>
      <c r="F51" s="36" t="s">
        <v>334</v>
      </c>
      <c r="G51" s="37">
        <v>2</v>
      </c>
      <c r="H51" s="37">
        <v>0</v>
      </c>
      <c r="I51" s="37">
        <v>0</v>
      </c>
      <c r="J51" s="37" t="s">
        <v>230</v>
      </c>
      <c r="K51" s="37" t="s">
        <v>328</v>
      </c>
      <c r="L51" s="22" t="s">
        <v>329</v>
      </c>
      <c r="N51" s="49" t="s">
        <v>232</v>
      </c>
      <c r="O51" s="37" t="s">
        <v>230</v>
      </c>
      <c r="P51" s="37" t="s">
        <v>230</v>
      </c>
      <c r="Q51" s="36" t="s">
        <v>230</v>
      </c>
    </row>
    <row r="52" spans="1:17" ht="30" x14ac:dyDescent="0.25">
      <c r="A52" s="21">
        <v>2013</v>
      </c>
      <c r="B52" s="34">
        <v>41460</v>
      </c>
      <c r="C52" s="35" t="s">
        <v>230</v>
      </c>
      <c r="D52" s="36" t="s">
        <v>25</v>
      </c>
      <c r="E52" s="36" t="s">
        <v>200</v>
      </c>
      <c r="F52" s="36" t="s">
        <v>334</v>
      </c>
      <c r="G52" s="37">
        <v>2</v>
      </c>
      <c r="H52" s="37">
        <v>0</v>
      </c>
      <c r="I52" s="37">
        <v>0</v>
      </c>
      <c r="J52" s="37" t="s">
        <v>230</v>
      </c>
      <c r="K52" s="37" t="s">
        <v>270</v>
      </c>
      <c r="L52" s="22" t="s">
        <v>271</v>
      </c>
      <c r="N52" s="49" t="s">
        <v>232</v>
      </c>
      <c r="O52" s="37" t="s">
        <v>230</v>
      </c>
      <c r="P52" s="37" t="s">
        <v>230</v>
      </c>
      <c r="Q52" s="36" t="s">
        <v>230</v>
      </c>
    </row>
    <row r="53" spans="1:17" x14ac:dyDescent="0.25">
      <c r="A53" s="21">
        <v>2013</v>
      </c>
      <c r="B53" s="34">
        <v>41462</v>
      </c>
      <c r="C53" s="35" t="s">
        <v>230</v>
      </c>
      <c r="D53" s="36" t="s">
        <v>25</v>
      </c>
      <c r="E53" s="36" t="s">
        <v>200</v>
      </c>
      <c r="F53" s="36" t="s">
        <v>333</v>
      </c>
      <c r="G53" s="37">
        <v>1</v>
      </c>
      <c r="H53" s="37">
        <v>0</v>
      </c>
      <c r="I53" s="37">
        <v>0</v>
      </c>
      <c r="J53" s="37" t="s">
        <v>230</v>
      </c>
      <c r="K53" s="37" t="s">
        <v>644</v>
      </c>
      <c r="L53" s="22" t="s">
        <v>645</v>
      </c>
      <c r="N53" s="49" t="s">
        <v>232</v>
      </c>
      <c r="O53" s="37" t="s">
        <v>230</v>
      </c>
      <c r="P53" s="37" t="s">
        <v>230</v>
      </c>
      <c r="Q53" s="36" t="s">
        <v>230</v>
      </c>
    </row>
    <row r="54" spans="1:17" x14ac:dyDescent="0.25">
      <c r="A54" s="21">
        <v>2013</v>
      </c>
      <c r="B54" s="34">
        <v>41462</v>
      </c>
      <c r="C54" s="35" t="s">
        <v>230</v>
      </c>
      <c r="D54" s="36" t="s">
        <v>25</v>
      </c>
      <c r="E54" s="36" t="s">
        <v>200</v>
      </c>
      <c r="F54" s="36" t="s">
        <v>333</v>
      </c>
      <c r="G54" s="37">
        <v>1</v>
      </c>
      <c r="H54" s="37">
        <v>0</v>
      </c>
      <c r="I54" s="37">
        <v>0</v>
      </c>
      <c r="J54" s="37" t="s">
        <v>230</v>
      </c>
      <c r="K54" s="37" t="s">
        <v>319</v>
      </c>
      <c r="L54" s="22" t="s">
        <v>320</v>
      </c>
      <c r="N54" s="49" t="s">
        <v>232</v>
      </c>
      <c r="O54" s="37" t="s">
        <v>230</v>
      </c>
      <c r="P54" s="37" t="s">
        <v>230</v>
      </c>
      <c r="Q54" s="36" t="s">
        <v>230</v>
      </c>
    </row>
    <row r="55" spans="1:17" x14ac:dyDescent="0.25">
      <c r="A55" s="21">
        <v>2013</v>
      </c>
      <c r="B55" s="34">
        <v>41451</v>
      </c>
      <c r="C55" s="35" t="s">
        <v>230</v>
      </c>
      <c r="D55" s="36" t="s">
        <v>23</v>
      </c>
      <c r="E55" s="36" t="s">
        <v>213</v>
      </c>
      <c r="F55" s="36" t="s">
        <v>333</v>
      </c>
      <c r="G55" s="37">
        <v>1</v>
      </c>
      <c r="H55" s="37">
        <v>0</v>
      </c>
      <c r="I55" s="37">
        <v>0</v>
      </c>
      <c r="J55" s="37" t="s">
        <v>230</v>
      </c>
      <c r="K55" s="37" t="s">
        <v>646</v>
      </c>
      <c r="L55" s="22" t="s">
        <v>647</v>
      </c>
      <c r="N55" s="49" t="s">
        <v>232</v>
      </c>
      <c r="O55" s="37" t="s">
        <v>230</v>
      </c>
      <c r="P55" s="37" t="s">
        <v>230</v>
      </c>
      <c r="Q55" s="36" t="s">
        <v>630</v>
      </c>
    </row>
    <row r="56" spans="1:17" x14ac:dyDescent="0.25">
      <c r="A56" s="21">
        <v>2013</v>
      </c>
      <c r="B56" s="34">
        <v>41450</v>
      </c>
      <c r="C56" s="35" t="s">
        <v>230</v>
      </c>
      <c r="D56" s="36" t="s">
        <v>23</v>
      </c>
      <c r="E56" s="36" t="s">
        <v>230</v>
      </c>
      <c r="F56" s="36" t="s">
        <v>614</v>
      </c>
      <c r="G56" s="37">
        <v>1</v>
      </c>
      <c r="H56" s="37">
        <v>0</v>
      </c>
      <c r="I56" s="37">
        <v>0</v>
      </c>
      <c r="J56" s="37" t="s">
        <v>230</v>
      </c>
      <c r="K56" s="37" t="s">
        <v>315</v>
      </c>
      <c r="L56" s="22" t="s">
        <v>316</v>
      </c>
      <c r="N56" s="49" t="s">
        <v>232</v>
      </c>
      <c r="O56" s="37" t="s">
        <v>230</v>
      </c>
      <c r="P56" s="37" t="s">
        <v>230</v>
      </c>
      <c r="Q56" s="36" t="s">
        <v>230</v>
      </c>
    </row>
    <row r="57" spans="1:17" ht="30" x14ac:dyDescent="0.25">
      <c r="A57" s="21">
        <v>2013</v>
      </c>
      <c r="B57" s="34">
        <v>41452</v>
      </c>
      <c r="C57" s="35" t="s">
        <v>230</v>
      </c>
      <c r="D57" s="36" t="s">
        <v>23</v>
      </c>
      <c r="E57" s="36" t="s">
        <v>230</v>
      </c>
      <c r="F57" s="36" t="s">
        <v>334</v>
      </c>
      <c r="G57" s="37">
        <v>2</v>
      </c>
      <c r="H57" s="37">
        <v>0</v>
      </c>
      <c r="I57" s="37">
        <v>0</v>
      </c>
      <c r="J57" s="37" t="s">
        <v>230</v>
      </c>
      <c r="K57" s="37" t="s">
        <v>648</v>
      </c>
      <c r="L57" s="22" t="s">
        <v>649</v>
      </c>
      <c r="N57" s="49" t="s">
        <v>233</v>
      </c>
      <c r="O57" s="37" t="s">
        <v>230</v>
      </c>
      <c r="P57" s="37" t="s">
        <v>230</v>
      </c>
      <c r="Q57" s="36" t="s">
        <v>230</v>
      </c>
    </row>
    <row r="58" spans="1:17" x14ac:dyDescent="0.25">
      <c r="A58" s="21">
        <v>2013</v>
      </c>
      <c r="B58" s="34">
        <v>41453</v>
      </c>
      <c r="C58" s="35" t="s">
        <v>230</v>
      </c>
      <c r="D58" s="36" t="s">
        <v>23</v>
      </c>
      <c r="E58" s="36" t="s">
        <v>213</v>
      </c>
      <c r="F58" s="36" t="s">
        <v>615</v>
      </c>
      <c r="G58" s="37">
        <v>1</v>
      </c>
      <c r="H58" s="37">
        <v>0</v>
      </c>
      <c r="I58" s="37">
        <v>0</v>
      </c>
      <c r="J58" s="37" t="s">
        <v>230</v>
      </c>
      <c r="K58" s="37" t="s">
        <v>310</v>
      </c>
      <c r="L58" s="22" t="s">
        <v>311</v>
      </c>
      <c r="N58" s="49" t="s">
        <v>232</v>
      </c>
      <c r="O58" s="37" t="s">
        <v>230</v>
      </c>
      <c r="P58" s="37" t="s">
        <v>230</v>
      </c>
      <c r="Q58" s="36" t="s">
        <v>630</v>
      </c>
    </row>
    <row r="59" spans="1:17" x14ac:dyDescent="0.25">
      <c r="A59" s="21">
        <v>2013</v>
      </c>
      <c r="B59" s="34">
        <v>41454</v>
      </c>
      <c r="C59" s="35" t="s">
        <v>230</v>
      </c>
      <c r="D59" s="36" t="s">
        <v>23</v>
      </c>
      <c r="E59" s="36" t="s">
        <v>216</v>
      </c>
      <c r="F59" s="36" t="s">
        <v>614</v>
      </c>
      <c r="G59" s="37">
        <v>1</v>
      </c>
      <c r="H59" s="37">
        <v>0</v>
      </c>
      <c r="I59" s="37">
        <v>0</v>
      </c>
      <c r="J59" s="37" t="s">
        <v>230</v>
      </c>
      <c r="K59" s="37" t="s">
        <v>278</v>
      </c>
      <c r="L59" s="22" t="s">
        <v>279</v>
      </c>
      <c r="N59" s="49" t="s">
        <v>233</v>
      </c>
      <c r="O59" s="37" t="s">
        <v>230</v>
      </c>
      <c r="P59" s="37" t="s">
        <v>230</v>
      </c>
      <c r="Q59" s="36" t="s">
        <v>230</v>
      </c>
    </row>
    <row r="60" spans="1:17" x14ac:dyDescent="0.25">
      <c r="A60" s="21">
        <v>2013</v>
      </c>
      <c r="B60" s="34">
        <v>41474</v>
      </c>
      <c r="C60" s="35" t="s">
        <v>230</v>
      </c>
      <c r="D60" s="36" t="s">
        <v>23</v>
      </c>
      <c r="E60" s="36" t="s">
        <v>230</v>
      </c>
      <c r="F60" s="36" t="s">
        <v>333</v>
      </c>
      <c r="G60" s="37">
        <v>1</v>
      </c>
      <c r="H60" s="37">
        <v>0</v>
      </c>
      <c r="I60" s="37">
        <v>0</v>
      </c>
      <c r="J60" s="37" t="s">
        <v>230</v>
      </c>
      <c r="K60" s="37" t="s">
        <v>313</v>
      </c>
      <c r="L60" s="22" t="s">
        <v>314</v>
      </c>
      <c r="N60" s="49" t="s">
        <v>232</v>
      </c>
      <c r="O60" s="37" t="s">
        <v>230</v>
      </c>
      <c r="P60" s="37" t="s">
        <v>230</v>
      </c>
      <c r="Q60" s="36" t="s">
        <v>230</v>
      </c>
    </row>
    <row r="61" spans="1:17" x14ac:dyDescent="0.25">
      <c r="A61" s="21">
        <v>2013</v>
      </c>
      <c r="B61" s="34">
        <v>41476</v>
      </c>
      <c r="C61" s="35" t="s">
        <v>230</v>
      </c>
      <c r="D61" s="36" t="s">
        <v>23</v>
      </c>
      <c r="E61" s="36" t="s">
        <v>230</v>
      </c>
      <c r="F61" s="36" t="s">
        <v>333</v>
      </c>
      <c r="G61" s="37">
        <v>1</v>
      </c>
      <c r="H61" s="37">
        <v>0</v>
      </c>
      <c r="I61" s="37">
        <v>0</v>
      </c>
      <c r="J61" s="37" t="s">
        <v>230</v>
      </c>
      <c r="K61" s="37" t="s">
        <v>633</v>
      </c>
      <c r="L61" s="22" t="s">
        <v>634</v>
      </c>
      <c r="N61" s="49" t="s">
        <v>233</v>
      </c>
      <c r="O61" s="37" t="s">
        <v>230</v>
      </c>
      <c r="P61" s="37" t="s">
        <v>230</v>
      </c>
      <c r="Q61" s="36" t="s">
        <v>230</v>
      </c>
    </row>
    <row r="62" spans="1:17" x14ac:dyDescent="0.25">
      <c r="A62" s="21">
        <v>2013</v>
      </c>
      <c r="B62" s="34">
        <v>41476</v>
      </c>
      <c r="C62" s="35" t="s">
        <v>230</v>
      </c>
      <c r="D62" s="36" t="s">
        <v>23</v>
      </c>
      <c r="E62" s="36" t="s">
        <v>230</v>
      </c>
      <c r="F62" s="36" t="s">
        <v>616</v>
      </c>
      <c r="G62" s="37">
        <v>1</v>
      </c>
      <c r="H62" s="37">
        <v>0</v>
      </c>
      <c r="I62" s="37">
        <v>0</v>
      </c>
      <c r="J62" s="37" t="s">
        <v>230</v>
      </c>
      <c r="K62" s="37" t="s">
        <v>650</v>
      </c>
      <c r="L62" s="22" t="s">
        <v>651</v>
      </c>
      <c r="N62" s="49" t="s">
        <v>232</v>
      </c>
      <c r="O62" s="37" t="s">
        <v>230</v>
      </c>
      <c r="P62" s="37" t="s">
        <v>230</v>
      </c>
      <c r="Q62" s="36" t="s">
        <v>230</v>
      </c>
    </row>
    <row r="63" spans="1:17" ht="30" x14ac:dyDescent="0.25">
      <c r="A63" s="21">
        <v>2013</v>
      </c>
      <c r="B63" s="34">
        <v>41454</v>
      </c>
      <c r="C63" s="35" t="s">
        <v>230</v>
      </c>
      <c r="D63" s="36" t="s">
        <v>23</v>
      </c>
      <c r="E63" s="36" t="s">
        <v>617</v>
      </c>
      <c r="F63" s="36" t="s">
        <v>334</v>
      </c>
      <c r="G63" s="37">
        <v>7</v>
      </c>
      <c r="H63" s="37">
        <v>0</v>
      </c>
      <c r="I63" s="37">
        <v>0</v>
      </c>
      <c r="J63" s="37" t="s">
        <v>230</v>
      </c>
      <c r="K63" s="37" t="s">
        <v>280</v>
      </c>
      <c r="L63" s="22" t="s">
        <v>317</v>
      </c>
      <c r="N63" s="49" t="s">
        <v>233</v>
      </c>
      <c r="O63" s="37" t="s">
        <v>230</v>
      </c>
      <c r="P63" s="37" t="s">
        <v>230</v>
      </c>
      <c r="Q63" s="36" t="s">
        <v>230</v>
      </c>
    </row>
    <row r="64" spans="1:17" ht="30" x14ac:dyDescent="0.25">
      <c r="A64" s="21">
        <v>2013</v>
      </c>
      <c r="B64" s="34">
        <v>41454</v>
      </c>
      <c r="C64" s="35" t="s">
        <v>230</v>
      </c>
      <c r="D64" s="36" t="s">
        <v>23</v>
      </c>
      <c r="E64" s="36" t="s">
        <v>617</v>
      </c>
      <c r="F64" s="36" t="s">
        <v>334</v>
      </c>
      <c r="G64" s="37">
        <v>7</v>
      </c>
      <c r="H64" s="37">
        <v>0</v>
      </c>
      <c r="I64" s="37">
        <v>0</v>
      </c>
      <c r="J64" s="37" t="s">
        <v>230</v>
      </c>
      <c r="K64" s="37" t="s">
        <v>287</v>
      </c>
      <c r="L64" s="22" t="s">
        <v>288</v>
      </c>
      <c r="N64" s="49" t="s">
        <v>233</v>
      </c>
      <c r="O64" s="37" t="s">
        <v>230</v>
      </c>
      <c r="P64" s="37" t="s">
        <v>230</v>
      </c>
      <c r="Q64" s="36" t="s">
        <v>230</v>
      </c>
    </row>
    <row r="65" spans="1:17" ht="30" x14ac:dyDescent="0.25">
      <c r="A65" s="21">
        <v>2013</v>
      </c>
      <c r="B65" s="34">
        <v>41454</v>
      </c>
      <c r="C65" s="35" t="s">
        <v>230</v>
      </c>
      <c r="D65" s="36" t="s">
        <v>23</v>
      </c>
      <c r="E65" s="36" t="s">
        <v>617</v>
      </c>
      <c r="F65" s="36" t="s">
        <v>334</v>
      </c>
      <c r="G65" s="37">
        <v>7</v>
      </c>
      <c r="H65" s="37">
        <v>0</v>
      </c>
      <c r="I65" s="37">
        <v>0</v>
      </c>
      <c r="J65" s="37" t="s">
        <v>230</v>
      </c>
      <c r="K65" s="37" t="s">
        <v>652</v>
      </c>
      <c r="L65" s="22" t="s">
        <v>653</v>
      </c>
      <c r="N65" s="49" t="s">
        <v>232</v>
      </c>
      <c r="O65" s="37" t="s">
        <v>230</v>
      </c>
      <c r="P65" s="37" t="s">
        <v>230</v>
      </c>
      <c r="Q65" s="36" t="s">
        <v>230</v>
      </c>
    </row>
    <row r="66" spans="1:17" ht="30" x14ac:dyDescent="0.25">
      <c r="A66" s="21">
        <v>2013</v>
      </c>
      <c r="B66" s="34">
        <v>41454</v>
      </c>
      <c r="C66" s="35" t="s">
        <v>230</v>
      </c>
      <c r="D66" s="36" t="s">
        <v>23</v>
      </c>
      <c r="E66" s="36" t="s">
        <v>617</v>
      </c>
      <c r="F66" s="36" t="s">
        <v>334</v>
      </c>
      <c r="G66" s="37">
        <v>6</v>
      </c>
      <c r="H66" s="37">
        <v>0</v>
      </c>
      <c r="I66" s="37">
        <v>0</v>
      </c>
      <c r="J66" s="37" t="s">
        <v>230</v>
      </c>
      <c r="K66" s="37" t="s">
        <v>306</v>
      </c>
      <c r="L66" s="22" t="s">
        <v>307</v>
      </c>
      <c r="N66" s="49" t="s">
        <v>232</v>
      </c>
      <c r="O66" s="37" t="s">
        <v>230</v>
      </c>
      <c r="P66" s="37" t="s">
        <v>230</v>
      </c>
      <c r="Q66" s="36" t="s">
        <v>230</v>
      </c>
    </row>
    <row r="67" spans="1:17" ht="30" x14ac:dyDescent="0.25">
      <c r="A67" s="21">
        <v>2013</v>
      </c>
      <c r="B67" s="34">
        <v>41454</v>
      </c>
      <c r="C67" s="35" t="s">
        <v>230</v>
      </c>
      <c r="D67" s="36" t="s">
        <v>23</v>
      </c>
      <c r="E67" s="36" t="s">
        <v>617</v>
      </c>
      <c r="F67" s="36" t="s">
        <v>334</v>
      </c>
      <c r="G67" s="37">
        <v>6</v>
      </c>
      <c r="H67" s="37">
        <v>0</v>
      </c>
      <c r="I67" s="37">
        <v>0</v>
      </c>
      <c r="J67" s="37" t="s">
        <v>230</v>
      </c>
      <c r="K67" s="37" t="s">
        <v>308</v>
      </c>
      <c r="L67" s="22" t="s">
        <v>309</v>
      </c>
      <c r="N67" s="49" t="s">
        <v>232</v>
      </c>
      <c r="O67" s="37" t="s">
        <v>230</v>
      </c>
      <c r="P67" s="37" t="s">
        <v>230</v>
      </c>
      <c r="Q67" s="36" t="s">
        <v>230</v>
      </c>
    </row>
    <row r="68" spans="1:17" ht="30" x14ac:dyDescent="0.25">
      <c r="A68" s="21">
        <v>2013</v>
      </c>
      <c r="B68" s="34">
        <v>41451</v>
      </c>
      <c r="C68" s="35" t="s">
        <v>230</v>
      </c>
      <c r="D68" s="36" t="s">
        <v>23</v>
      </c>
      <c r="E68" s="36" t="s">
        <v>617</v>
      </c>
      <c r="F68" s="36" t="s">
        <v>334</v>
      </c>
      <c r="G68" s="37">
        <v>5</v>
      </c>
      <c r="H68" s="37">
        <v>0</v>
      </c>
      <c r="I68" s="37">
        <v>0</v>
      </c>
      <c r="J68" s="37" t="s">
        <v>230</v>
      </c>
      <c r="K68" s="37" t="s">
        <v>654</v>
      </c>
      <c r="L68" s="22" t="s">
        <v>655</v>
      </c>
      <c r="N68" s="49" t="s">
        <v>233</v>
      </c>
      <c r="O68" s="37" t="s">
        <v>230</v>
      </c>
      <c r="P68" s="37" t="s">
        <v>230</v>
      </c>
      <c r="Q68" s="36" t="s">
        <v>230</v>
      </c>
    </row>
    <row r="69" spans="1:17" ht="30" x14ac:dyDescent="0.25">
      <c r="A69" s="21">
        <v>2013</v>
      </c>
      <c r="B69" s="34">
        <v>41451</v>
      </c>
      <c r="C69" s="35" t="s">
        <v>230</v>
      </c>
      <c r="D69" s="36" t="s">
        <v>23</v>
      </c>
      <c r="E69" s="36" t="s">
        <v>617</v>
      </c>
      <c r="F69" s="36" t="s">
        <v>334</v>
      </c>
      <c r="G69" s="37">
        <v>5</v>
      </c>
      <c r="H69" s="37">
        <v>0</v>
      </c>
      <c r="I69" s="37">
        <v>0</v>
      </c>
      <c r="J69" s="37" t="s">
        <v>230</v>
      </c>
      <c r="K69" s="37" t="s">
        <v>299</v>
      </c>
      <c r="L69" s="22" t="s">
        <v>300</v>
      </c>
      <c r="N69" s="49" t="s">
        <v>233</v>
      </c>
      <c r="O69" s="37" t="s">
        <v>230</v>
      </c>
      <c r="P69" s="37" t="s">
        <v>230</v>
      </c>
      <c r="Q69" s="36" t="s">
        <v>230</v>
      </c>
    </row>
    <row r="70" spans="1:17" x14ac:dyDescent="0.25">
      <c r="A70" s="21">
        <v>2013</v>
      </c>
      <c r="B70" s="34">
        <v>41440</v>
      </c>
      <c r="C70" s="35" t="s">
        <v>230</v>
      </c>
      <c r="D70" s="36" t="s">
        <v>618</v>
      </c>
      <c r="E70" s="36" t="s">
        <v>230</v>
      </c>
      <c r="F70" s="36" t="s">
        <v>619</v>
      </c>
      <c r="G70" s="37">
        <v>1</v>
      </c>
      <c r="H70" s="37">
        <v>0</v>
      </c>
      <c r="I70" s="37">
        <v>0</v>
      </c>
      <c r="J70" s="37" t="s">
        <v>230</v>
      </c>
      <c r="K70" s="37" t="s">
        <v>298</v>
      </c>
      <c r="L70" s="22" t="s">
        <v>656</v>
      </c>
      <c r="N70" s="49" t="s">
        <v>232</v>
      </c>
      <c r="O70" s="37" t="s">
        <v>230</v>
      </c>
      <c r="P70" s="37" t="s">
        <v>230</v>
      </c>
      <c r="Q70" s="36" t="s">
        <v>13</v>
      </c>
    </row>
    <row r="71" spans="1:17" x14ac:dyDescent="0.25">
      <c r="A71" s="21">
        <v>2013</v>
      </c>
      <c r="B71" s="34">
        <v>41440</v>
      </c>
      <c r="C71" s="35" t="s">
        <v>230</v>
      </c>
      <c r="D71" s="36" t="s">
        <v>618</v>
      </c>
      <c r="E71" s="36" t="s">
        <v>230</v>
      </c>
      <c r="F71" s="36" t="s">
        <v>621</v>
      </c>
      <c r="G71" s="37">
        <v>1</v>
      </c>
      <c r="H71" s="37">
        <v>0</v>
      </c>
      <c r="I71" s="37">
        <v>0</v>
      </c>
      <c r="J71" s="37" t="s">
        <v>230</v>
      </c>
      <c r="K71" s="37" t="s">
        <v>657</v>
      </c>
      <c r="L71" s="22" t="s">
        <v>291</v>
      </c>
      <c r="N71" s="49" t="s">
        <v>232</v>
      </c>
      <c r="O71" s="37" t="s">
        <v>230</v>
      </c>
      <c r="P71" s="37" t="s">
        <v>230</v>
      </c>
      <c r="Q71" s="36" t="s">
        <v>13</v>
      </c>
    </row>
    <row r="72" spans="1:17" x14ac:dyDescent="0.25">
      <c r="A72" s="21">
        <v>2013</v>
      </c>
      <c r="B72" s="34">
        <v>41441</v>
      </c>
      <c r="C72" s="35" t="s">
        <v>230</v>
      </c>
      <c r="D72" s="36" t="s">
        <v>618</v>
      </c>
      <c r="E72" s="36" t="s">
        <v>230</v>
      </c>
      <c r="F72" s="36" t="s">
        <v>621</v>
      </c>
      <c r="G72" s="37">
        <v>2</v>
      </c>
      <c r="H72" s="37">
        <v>0</v>
      </c>
      <c r="I72" s="37">
        <v>0</v>
      </c>
      <c r="J72" s="37" t="s">
        <v>230</v>
      </c>
      <c r="K72" s="37" t="s">
        <v>262</v>
      </c>
      <c r="L72" s="22" t="s">
        <v>263</v>
      </c>
      <c r="N72" s="49" t="s">
        <v>232</v>
      </c>
      <c r="O72" s="37" t="s">
        <v>230</v>
      </c>
      <c r="P72" s="37" t="s">
        <v>230</v>
      </c>
      <c r="Q72" s="36" t="s">
        <v>13</v>
      </c>
    </row>
    <row r="73" spans="1:17" x14ac:dyDescent="0.25">
      <c r="A73" s="21">
        <v>2013</v>
      </c>
      <c r="B73" s="34">
        <v>41442</v>
      </c>
      <c r="C73" s="35" t="s">
        <v>230</v>
      </c>
      <c r="D73" s="36" t="s">
        <v>618</v>
      </c>
      <c r="E73" s="36" t="s">
        <v>230</v>
      </c>
      <c r="F73" s="36" t="s">
        <v>613</v>
      </c>
      <c r="G73" s="37">
        <v>1</v>
      </c>
      <c r="H73" s="37">
        <v>0</v>
      </c>
      <c r="I73" s="37">
        <v>0</v>
      </c>
      <c r="J73" s="37" t="s">
        <v>230</v>
      </c>
      <c r="K73" s="37" t="s">
        <v>258</v>
      </c>
      <c r="L73" s="22" t="s">
        <v>259</v>
      </c>
      <c r="N73" s="49" t="s">
        <v>232</v>
      </c>
      <c r="O73" s="37" t="s">
        <v>230</v>
      </c>
      <c r="P73" s="37" t="s">
        <v>230</v>
      </c>
      <c r="Q73" s="36" t="s">
        <v>13</v>
      </c>
    </row>
    <row r="74" spans="1:17" x14ac:dyDescent="0.25">
      <c r="A74" s="21">
        <v>2013</v>
      </c>
      <c r="B74" s="34">
        <v>41446</v>
      </c>
      <c r="C74" s="35" t="s">
        <v>230</v>
      </c>
      <c r="D74" s="36" t="s">
        <v>618</v>
      </c>
      <c r="E74" s="36" t="s">
        <v>230</v>
      </c>
      <c r="F74" s="36" t="s">
        <v>230</v>
      </c>
      <c r="G74" s="37">
        <v>1</v>
      </c>
      <c r="H74" s="37">
        <v>0</v>
      </c>
      <c r="I74" s="37">
        <v>0</v>
      </c>
      <c r="J74" s="37" t="s">
        <v>230</v>
      </c>
      <c r="K74" s="37" t="s">
        <v>289</v>
      </c>
      <c r="L74" s="22" t="s">
        <v>290</v>
      </c>
      <c r="N74" s="49" t="s">
        <v>232</v>
      </c>
      <c r="O74" s="37" t="s">
        <v>230</v>
      </c>
      <c r="P74" s="37" t="s">
        <v>230</v>
      </c>
      <c r="Q74" s="36" t="s">
        <v>13</v>
      </c>
    </row>
    <row r="75" spans="1:17" x14ac:dyDescent="0.25">
      <c r="A75" s="21">
        <v>2013</v>
      </c>
      <c r="B75" s="34">
        <v>41454</v>
      </c>
      <c r="C75" s="35" t="s">
        <v>230</v>
      </c>
      <c r="D75" s="36" t="s">
        <v>618</v>
      </c>
      <c r="E75" s="36" t="s">
        <v>230</v>
      </c>
      <c r="F75" s="36" t="s">
        <v>335</v>
      </c>
      <c r="G75" s="37">
        <v>1</v>
      </c>
      <c r="H75" s="37">
        <v>0</v>
      </c>
      <c r="I75" s="37">
        <v>0</v>
      </c>
      <c r="J75" s="37" t="s">
        <v>230</v>
      </c>
      <c r="K75" s="37" t="s">
        <v>278</v>
      </c>
      <c r="L75" s="22" t="s">
        <v>279</v>
      </c>
      <c r="N75" s="49" t="s">
        <v>232</v>
      </c>
      <c r="O75" s="37" t="s">
        <v>230</v>
      </c>
      <c r="P75" s="37" t="s">
        <v>230</v>
      </c>
      <c r="Q75" s="36" t="s">
        <v>13</v>
      </c>
    </row>
    <row r="76" spans="1:17" x14ac:dyDescent="0.25">
      <c r="A76" s="21">
        <v>2013</v>
      </c>
      <c r="B76" s="34">
        <v>41459</v>
      </c>
      <c r="C76" s="35" t="s">
        <v>230</v>
      </c>
      <c r="D76" s="36" t="s">
        <v>618</v>
      </c>
      <c r="E76" s="36" t="s">
        <v>230</v>
      </c>
      <c r="F76" s="36" t="s">
        <v>623</v>
      </c>
      <c r="G76" s="37">
        <v>1</v>
      </c>
      <c r="H76" s="37">
        <v>0</v>
      </c>
      <c r="I76" s="37">
        <v>0</v>
      </c>
      <c r="J76" s="37" t="s">
        <v>230</v>
      </c>
      <c r="K76" s="37" t="s">
        <v>285</v>
      </c>
      <c r="L76" s="22" t="s">
        <v>286</v>
      </c>
      <c r="N76" s="49" t="s">
        <v>232</v>
      </c>
      <c r="O76" s="37" t="s">
        <v>230</v>
      </c>
      <c r="P76" s="37" t="s">
        <v>230</v>
      </c>
      <c r="Q76" s="36" t="s">
        <v>631</v>
      </c>
    </row>
    <row r="77" spans="1:17" x14ac:dyDescent="0.25">
      <c r="A77" s="21">
        <v>2013</v>
      </c>
      <c r="B77" s="34">
        <v>41459</v>
      </c>
      <c r="C77" s="35" t="s">
        <v>230</v>
      </c>
      <c r="D77" s="36" t="s">
        <v>618</v>
      </c>
      <c r="E77" s="36" t="s">
        <v>230</v>
      </c>
      <c r="F77" s="36" t="s">
        <v>623</v>
      </c>
      <c r="G77" s="37">
        <v>1</v>
      </c>
      <c r="H77" s="37">
        <v>0</v>
      </c>
      <c r="I77" s="37">
        <v>0</v>
      </c>
      <c r="J77" s="37" t="s">
        <v>230</v>
      </c>
      <c r="K77" s="37" t="s">
        <v>268</v>
      </c>
      <c r="L77" s="22" t="s">
        <v>269</v>
      </c>
      <c r="N77" s="49" t="s">
        <v>232</v>
      </c>
      <c r="O77" s="37" t="s">
        <v>230</v>
      </c>
      <c r="P77" s="37" t="s">
        <v>230</v>
      </c>
      <c r="Q77" s="36" t="s">
        <v>631</v>
      </c>
    </row>
    <row r="78" spans="1:17" ht="45" x14ac:dyDescent="0.25">
      <c r="A78" s="21">
        <v>2013</v>
      </c>
      <c r="B78" s="34">
        <v>41466</v>
      </c>
      <c r="C78" s="35" t="s">
        <v>230</v>
      </c>
      <c r="D78" s="36" t="s">
        <v>618</v>
      </c>
      <c r="E78" s="36" t="s">
        <v>230</v>
      </c>
      <c r="F78" s="36" t="s">
        <v>337</v>
      </c>
      <c r="G78" s="37">
        <v>1</v>
      </c>
      <c r="H78" s="37">
        <v>0</v>
      </c>
      <c r="I78" s="37">
        <v>0</v>
      </c>
      <c r="J78" s="37" t="s">
        <v>230</v>
      </c>
      <c r="K78" s="37" t="s">
        <v>262</v>
      </c>
      <c r="L78" s="22" t="s">
        <v>263</v>
      </c>
      <c r="N78" s="49" t="s">
        <v>232</v>
      </c>
      <c r="O78" s="37" t="s">
        <v>230</v>
      </c>
      <c r="P78" s="37" t="s">
        <v>230</v>
      </c>
      <c r="Q78" s="36" t="s">
        <v>632</v>
      </c>
    </row>
    <row r="79" spans="1:17" ht="45" x14ac:dyDescent="0.25">
      <c r="A79" s="21">
        <v>2013</v>
      </c>
      <c r="B79" s="34">
        <v>41466</v>
      </c>
      <c r="C79" s="35" t="s">
        <v>230</v>
      </c>
      <c r="D79" s="36" t="s">
        <v>618</v>
      </c>
      <c r="E79" s="36" t="s">
        <v>230</v>
      </c>
      <c r="F79" s="36" t="s">
        <v>337</v>
      </c>
      <c r="G79" s="37">
        <v>1</v>
      </c>
      <c r="H79" s="37">
        <v>0</v>
      </c>
      <c r="I79" s="37">
        <v>0</v>
      </c>
      <c r="J79" s="37" t="s">
        <v>230</v>
      </c>
      <c r="K79" s="37" t="s">
        <v>268</v>
      </c>
      <c r="L79" s="22" t="s">
        <v>269</v>
      </c>
      <c r="N79" s="49" t="s">
        <v>232</v>
      </c>
      <c r="O79" s="37" t="s">
        <v>230</v>
      </c>
      <c r="P79" s="37" t="s">
        <v>230</v>
      </c>
      <c r="Q79" s="36" t="s">
        <v>632</v>
      </c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30" x14ac:dyDescent="0.25">
      <c r="A2" s="1" t="s">
        <v>20</v>
      </c>
      <c r="B2" s="1" t="s">
        <v>18</v>
      </c>
      <c r="C2" s="1" t="s">
        <v>13</v>
      </c>
      <c r="D2" s="1" t="s">
        <v>1</v>
      </c>
      <c r="E2" s="1" t="s">
        <v>187</v>
      </c>
      <c r="F2" s="1" t="s">
        <v>2</v>
      </c>
      <c r="G2" s="1" t="s">
        <v>19</v>
      </c>
      <c r="H2" s="1" t="s">
        <v>4</v>
      </c>
      <c r="I2" s="1" t="s">
        <v>5</v>
      </c>
      <c r="J2" s="1" t="s">
        <v>231</v>
      </c>
      <c r="L2" s="6" t="s">
        <v>31</v>
      </c>
      <c r="M2" s="7" t="s">
        <v>38</v>
      </c>
      <c r="N2" s="8" t="s">
        <v>32</v>
      </c>
      <c r="O2" s="7" t="s">
        <v>39</v>
      </c>
      <c r="P2" s="8" t="s">
        <v>33</v>
      </c>
      <c r="Q2" s="7" t="s">
        <v>40</v>
      </c>
      <c r="R2" s="8" t="s">
        <v>34</v>
      </c>
      <c r="S2" s="7" t="s">
        <v>41</v>
      </c>
      <c r="T2" s="8" t="s">
        <v>35</v>
      </c>
      <c r="U2" s="7" t="s">
        <v>42</v>
      </c>
      <c r="V2" s="8" t="s">
        <v>36</v>
      </c>
      <c r="W2" s="7" t="s">
        <v>43</v>
      </c>
      <c r="X2" s="9" t="s">
        <v>37</v>
      </c>
      <c r="Y2" s="3" t="s">
        <v>44</v>
      </c>
    </row>
    <row r="3" spans="1:25" x14ac:dyDescent="0.25">
      <c r="A3">
        <v>159</v>
      </c>
      <c r="B3" s="2">
        <v>41433</v>
      </c>
      <c r="C3" t="s">
        <v>27</v>
      </c>
      <c r="D3" t="s">
        <v>188</v>
      </c>
      <c r="E3" t="s">
        <v>45</v>
      </c>
      <c r="F3" s="19" t="s">
        <v>332</v>
      </c>
      <c r="G3">
        <v>0</v>
      </c>
      <c r="H3" t="s">
        <v>30</v>
      </c>
      <c r="I3" t="s">
        <v>29</v>
      </c>
      <c r="J3" s="43" t="s">
        <v>233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x14ac:dyDescent="0.25">
      <c r="A4">
        <v>160</v>
      </c>
      <c r="B4" s="2">
        <v>41434</v>
      </c>
      <c r="C4" t="s">
        <v>21</v>
      </c>
      <c r="D4" t="s">
        <v>189</v>
      </c>
      <c r="E4" t="s">
        <v>46</v>
      </c>
      <c r="F4" s="20" t="s">
        <v>333</v>
      </c>
      <c r="G4">
        <v>1</v>
      </c>
      <c r="H4" t="s">
        <v>339</v>
      </c>
      <c r="I4" t="s">
        <v>28</v>
      </c>
      <c r="J4" s="43" t="s">
        <v>232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x14ac:dyDescent="0.25">
      <c r="A5">
        <v>161</v>
      </c>
      <c r="B5" s="2">
        <v>41435</v>
      </c>
      <c r="C5" t="s">
        <v>26</v>
      </c>
      <c r="D5" t="s">
        <v>190</v>
      </c>
      <c r="E5" t="s">
        <v>47</v>
      </c>
      <c r="F5" s="19" t="s">
        <v>334</v>
      </c>
      <c r="H5" t="s">
        <v>340</v>
      </c>
      <c r="I5" t="s">
        <v>30</v>
      </c>
      <c r="J5" s="43" t="s">
        <v>234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x14ac:dyDescent="0.25">
      <c r="A6">
        <v>162</v>
      </c>
      <c r="B6" s="2">
        <v>41436</v>
      </c>
      <c r="C6" t="s">
        <v>25</v>
      </c>
      <c r="D6" t="s">
        <v>191</v>
      </c>
      <c r="E6" t="s">
        <v>48</v>
      </c>
      <c r="F6" s="18" t="s">
        <v>335</v>
      </c>
      <c r="H6" t="s">
        <v>341</v>
      </c>
      <c r="J6" s="43"/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x14ac:dyDescent="0.25">
      <c r="A7">
        <v>163</v>
      </c>
      <c r="B7" s="2">
        <v>41437</v>
      </c>
      <c r="C7" t="s">
        <v>24</v>
      </c>
      <c r="D7" t="s">
        <v>192</v>
      </c>
      <c r="E7" t="s">
        <v>49</v>
      </c>
      <c r="F7" s="18" t="s">
        <v>336</v>
      </c>
      <c r="H7" t="s">
        <v>342</v>
      </c>
      <c r="J7" s="43"/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x14ac:dyDescent="0.25">
      <c r="A8">
        <v>164</v>
      </c>
      <c r="B8" s="2">
        <v>41438</v>
      </c>
      <c r="C8" t="s">
        <v>22</v>
      </c>
      <c r="D8" t="s">
        <v>193</v>
      </c>
      <c r="E8" t="s">
        <v>50</v>
      </c>
      <c r="F8" s="19" t="s">
        <v>337</v>
      </c>
      <c r="H8" t="s">
        <v>343</v>
      </c>
      <c r="J8" s="43"/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x14ac:dyDescent="0.25">
      <c r="A9">
        <v>165</v>
      </c>
      <c r="B9" s="2">
        <v>41439</v>
      </c>
      <c r="C9" t="s">
        <v>23</v>
      </c>
      <c r="D9" t="s">
        <v>194</v>
      </c>
      <c r="E9" t="s">
        <v>51</v>
      </c>
      <c r="F9" s="19" t="s">
        <v>338</v>
      </c>
      <c r="H9" t="s">
        <v>344</v>
      </c>
      <c r="J9" s="43"/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x14ac:dyDescent="0.25">
      <c r="A10">
        <v>166</v>
      </c>
      <c r="B10" s="2">
        <v>41440</v>
      </c>
      <c r="D10" t="s">
        <v>195</v>
      </c>
      <c r="E10" t="s">
        <v>52</v>
      </c>
      <c r="F10" s="19" t="s">
        <v>218</v>
      </c>
      <c r="H10" t="s">
        <v>345</v>
      </c>
      <c r="J10" s="43"/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x14ac:dyDescent="0.25">
      <c r="A11">
        <v>167</v>
      </c>
      <c r="B11" s="2">
        <v>41441</v>
      </c>
      <c r="D11" t="s">
        <v>196</v>
      </c>
      <c r="E11" t="s">
        <v>53</v>
      </c>
      <c r="H11" t="s">
        <v>346</v>
      </c>
      <c r="J11" s="43"/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x14ac:dyDescent="0.25">
      <c r="A12">
        <v>168</v>
      </c>
      <c r="B12" s="2">
        <v>41442</v>
      </c>
      <c r="D12" t="s">
        <v>197</v>
      </c>
      <c r="E12" t="s">
        <v>54</v>
      </c>
      <c r="H12" t="s">
        <v>347</v>
      </c>
      <c r="J12" s="43"/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x14ac:dyDescent="0.25">
      <c r="A13">
        <v>169</v>
      </c>
      <c r="B13" s="2">
        <v>41443</v>
      </c>
      <c r="D13" t="s">
        <v>198</v>
      </c>
      <c r="E13" t="s">
        <v>55</v>
      </c>
      <c r="H13" t="s">
        <v>348</v>
      </c>
      <c r="J13" s="43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x14ac:dyDescent="0.25">
      <c r="A14">
        <v>170</v>
      </c>
      <c r="B14" s="2">
        <v>41444</v>
      </c>
      <c r="D14" t="s">
        <v>199</v>
      </c>
      <c r="E14" t="s">
        <v>56</v>
      </c>
      <c r="H14" t="s">
        <v>349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x14ac:dyDescent="0.25">
      <c r="A15">
        <v>171</v>
      </c>
      <c r="B15" s="2">
        <v>41445</v>
      </c>
      <c r="D15" t="s">
        <v>200</v>
      </c>
      <c r="E15" t="s">
        <v>57</v>
      </c>
      <c r="H15" t="s">
        <v>350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x14ac:dyDescent="0.25">
      <c r="A16">
        <v>172</v>
      </c>
      <c r="B16" s="2">
        <v>41446</v>
      </c>
      <c r="D16" t="s">
        <v>201</v>
      </c>
      <c r="E16" t="s">
        <v>58</v>
      </c>
      <c r="H16" t="s">
        <v>351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x14ac:dyDescent="0.25">
      <c r="A17">
        <v>173</v>
      </c>
      <c r="B17" s="2">
        <v>41447</v>
      </c>
      <c r="D17" t="s">
        <v>202</v>
      </c>
      <c r="E17" t="s">
        <v>59</v>
      </c>
      <c r="H17" t="s">
        <v>352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x14ac:dyDescent="0.25">
      <c r="A18">
        <v>174</v>
      </c>
      <c r="B18" s="2">
        <v>41448</v>
      </c>
      <c r="D18" t="s">
        <v>203</v>
      </c>
      <c r="E18" t="s">
        <v>60</v>
      </c>
      <c r="H18" t="s">
        <v>353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x14ac:dyDescent="0.25">
      <c r="A19">
        <v>175</v>
      </c>
      <c r="B19" s="2">
        <v>41449</v>
      </c>
      <c r="D19" t="s">
        <v>204</v>
      </c>
      <c r="E19" t="s">
        <v>61</v>
      </c>
      <c r="H19" t="s">
        <v>354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x14ac:dyDescent="0.25">
      <c r="A20">
        <v>176</v>
      </c>
      <c r="B20" s="2">
        <v>41450</v>
      </c>
      <c r="D20" t="s">
        <v>205</v>
      </c>
      <c r="E20" t="s">
        <v>62</v>
      </c>
      <c r="H20" t="s">
        <v>355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x14ac:dyDescent="0.25">
      <c r="A21">
        <v>177</v>
      </c>
      <c r="B21" s="2">
        <v>41451</v>
      </c>
      <c r="D21" t="s">
        <v>206</v>
      </c>
      <c r="E21" t="s">
        <v>63</v>
      </c>
      <c r="H21" t="s">
        <v>356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x14ac:dyDescent="0.25">
      <c r="A22">
        <v>178</v>
      </c>
      <c r="B22" s="2">
        <v>41452</v>
      </c>
      <c r="D22" t="s">
        <v>207</v>
      </c>
      <c r="E22" t="s">
        <v>64</v>
      </c>
      <c r="H22" t="s">
        <v>357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x14ac:dyDescent="0.25">
      <c r="A23">
        <v>179</v>
      </c>
      <c r="B23" s="2">
        <v>41453</v>
      </c>
      <c r="D23" t="s">
        <v>208</v>
      </c>
      <c r="E23" t="s">
        <v>65</v>
      </c>
      <c r="H23" t="s">
        <v>358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x14ac:dyDescent="0.25">
      <c r="A24">
        <v>180</v>
      </c>
      <c r="B24" s="2">
        <v>41454</v>
      </c>
      <c r="D24" t="s">
        <v>209</v>
      </c>
      <c r="E24" t="s">
        <v>66</v>
      </c>
      <c r="H24" t="s">
        <v>359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x14ac:dyDescent="0.25">
      <c r="A25">
        <v>181</v>
      </c>
      <c r="B25" s="2">
        <v>41455</v>
      </c>
      <c r="D25" t="s">
        <v>210</v>
      </c>
      <c r="E25" t="s">
        <v>67</v>
      </c>
      <c r="H25" t="s">
        <v>360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x14ac:dyDescent="0.25">
      <c r="A26">
        <v>182</v>
      </c>
      <c r="B26" s="2">
        <v>41456</v>
      </c>
      <c r="D26" t="s">
        <v>211</v>
      </c>
      <c r="E26" t="s">
        <v>68</v>
      </c>
      <c r="H26" t="s">
        <v>361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x14ac:dyDescent="0.25">
      <c r="A27">
        <v>183</v>
      </c>
      <c r="B27" s="2">
        <v>41457</v>
      </c>
      <c r="D27" t="s">
        <v>212</v>
      </c>
      <c r="E27" t="s">
        <v>69</v>
      </c>
      <c r="H27" t="s">
        <v>362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x14ac:dyDescent="0.25">
      <c r="A28">
        <v>184</v>
      </c>
      <c r="B28" s="2">
        <v>41458</v>
      </c>
      <c r="D28" t="s">
        <v>213</v>
      </c>
      <c r="E28" t="s">
        <v>70</v>
      </c>
      <c r="H28" t="s">
        <v>363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x14ac:dyDescent="0.25">
      <c r="A29">
        <v>185</v>
      </c>
      <c r="B29" s="2">
        <v>41459</v>
      </c>
      <c r="D29" t="s">
        <v>214</v>
      </c>
      <c r="E29" t="s">
        <v>71</v>
      </c>
      <c r="H29" t="s">
        <v>364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x14ac:dyDescent="0.25">
      <c r="A30">
        <v>186</v>
      </c>
      <c r="B30" s="2">
        <v>41460</v>
      </c>
      <c r="D30" t="s">
        <v>215</v>
      </c>
      <c r="E30" t="s">
        <v>72</v>
      </c>
      <c r="H30" t="s">
        <v>365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x14ac:dyDescent="0.25">
      <c r="A31">
        <v>187</v>
      </c>
      <c r="B31" s="2">
        <v>41461</v>
      </c>
      <c r="D31" t="s">
        <v>216</v>
      </c>
      <c r="E31" t="s">
        <v>73</v>
      </c>
      <c r="H31" t="s">
        <v>366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x14ac:dyDescent="0.25">
      <c r="A32">
        <v>188</v>
      </c>
      <c r="B32" s="2">
        <v>41462</v>
      </c>
      <c r="E32" t="s">
        <v>74</v>
      </c>
      <c r="H32" t="s">
        <v>367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x14ac:dyDescent="0.25">
      <c r="A33">
        <v>189</v>
      </c>
      <c r="B33" s="2">
        <v>41463</v>
      </c>
      <c r="E33" t="s">
        <v>75</v>
      </c>
      <c r="H33" t="s">
        <v>368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x14ac:dyDescent="0.25">
      <c r="A34">
        <v>190</v>
      </c>
      <c r="B34" s="2">
        <v>41464</v>
      </c>
      <c r="E34" t="s">
        <v>76</v>
      </c>
      <c r="H34" t="s">
        <v>369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x14ac:dyDescent="0.25">
      <c r="A35">
        <v>191</v>
      </c>
      <c r="B35" s="2">
        <v>41465</v>
      </c>
      <c r="E35" t="s">
        <v>77</v>
      </c>
      <c r="H35" t="s">
        <v>370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x14ac:dyDescent="0.25">
      <c r="A36">
        <v>192</v>
      </c>
      <c r="B36" s="2">
        <v>41466</v>
      </c>
      <c r="E36" t="s">
        <v>78</v>
      </c>
      <c r="H36" t="s">
        <v>371</v>
      </c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x14ac:dyDescent="0.25">
      <c r="A37">
        <v>193</v>
      </c>
      <c r="B37" s="2">
        <v>41467</v>
      </c>
      <c r="E37" t="s">
        <v>79</v>
      </c>
      <c r="H37" t="s">
        <v>372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x14ac:dyDescent="0.25">
      <c r="A38">
        <v>194</v>
      </c>
      <c r="B38" s="2">
        <v>41468</v>
      </c>
      <c r="E38" t="s">
        <v>80</v>
      </c>
      <c r="H38" t="s">
        <v>373</v>
      </c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x14ac:dyDescent="0.25">
      <c r="A39">
        <v>195</v>
      </c>
      <c r="B39" s="2">
        <v>41469</v>
      </c>
      <c r="E39" t="s">
        <v>81</v>
      </c>
      <c r="H39" t="s">
        <v>374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x14ac:dyDescent="0.25">
      <c r="A40">
        <v>196</v>
      </c>
      <c r="B40" s="2">
        <v>41470</v>
      </c>
      <c r="E40" t="s">
        <v>82</v>
      </c>
      <c r="H40" t="s">
        <v>375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x14ac:dyDescent="0.25">
      <c r="A41">
        <v>197</v>
      </c>
      <c r="B41" s="2">
        <v>41471</v>
      </c>
      <c r="E41" t="s">
        <v>83</v>
      </c>
      <c r="H41" t="s">
        <v>376</v>
      </c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x14ac:dyDescent="0.25">
      <c r="A42">
        <v>198</v>
      </c>
      <c r="B42" s="2">
        <v>41472</v>
      </c>
      <c r="E42" t="s">
        <v>84</v>
      </c>
      <c r="H42" t="s">
        <v>377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x14ac:dyDescent="0.25">
      <c r="A43">
        <v>199</v>
      </c>
      <c r="B43" s="2">
        <v>41473</v>
      </c>
      <c r="E43" t="s">
        <v>85</v>
      </c>
      <c r="H43" t="s">
        <v>378</v>
      </c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x14ac:dyDescent="0.25">
      <c r="A44">
        <v>200</v>
      </c>
      <c r="B44" s="2">
        <v>41474</v>
      </c>
      <c r="E44" t="s">
        <v>86</v>
      </c>
      <c r="H44" t="s">
        <v>379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x14ac:dyDescent="0.25">
      <c r="A45">
        <v>201</v>
      </c>
      <c r="B45" s="2">
        <v>41475</v>
      </c>
      <c r="E45" t="s">
        <v>87</v>
      </c>
      <c r="H45" t="s">
        <v>380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x14ac:dyDescent="0.25">
      <c r="A46">
        <v>202</v>
      </c>
      <c r="B46" s="2">
        <v>41476</v>
      </c>
      <c r="E46" t="s">
        <v>88</v>
      </c>
      <c r="H46" t="s">
        <v>381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x14ac:dyDescent="0.25">
      <c r="A47">
        <v>203</v>
      </c>
      <c r="B47" s="2">
        <v>41477</v>
      </c>
      <c r="E47" t="s">
        <v>89</v>
      </c>
      <c r="H47" t="s">
        <v>382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x14ac:dyDescent="0.25">
      <c r="A48">
        <v>204</v>
      </c>
      <c r="B48" s="2">
        <v>41478</v>
      </c>
      <c r="E48" t="s">
        <v>90</v>
      </c>
      <c r="H48" t="s">
        <v>383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x14ac:dyDescent="0.25">
      <c r="A49">
        <v>205</v>
      </c>
      <c r="B49" s="2">
        <v>41479</v>
      </c>
      <c r="E49" t="s">
        <v>91</v>
      </c>
      <c r="H49" t="s">
        <v>384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x14ac:dyDescent="0.25">
      <c r="A50">
        <v>206</v>
      </c>
      <c r="B50" s="2">
        <v>41480</v>
      </c>
      <c r="E50" t="s">
        <v>92</v>
      </c>
      <c r="H50" t="s">
        <v>385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x14ac:dyDescent="0.25">
      <c r="A51">
        <v>207</v>
      </c>
      <c r="B51" s="2">
        <v>41481</v>
      </c>
      <c r="E51" t="s">
        <v>93</v>
      </c>
      <c r="H51" t="s">
        <v>386</v>
      </c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x14ac:dyDescent="0.25">
      <c r="A52">
        <v>208</v>
      </c>
      <c r="B52" s="2">
        <v>41482</v>
      </c>
      <c r="E52" t="s">
        <v>94</v>
      </c>
      <c r="H52" t="s">
        <v>387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x14ac:dyDescent="0.25">
      <c r="A53">
        <v>209</v>
      </c>
      <c r="B53" s="2">
        <v>41483</v>
      </c>
      <c r="E53" t="s">
        <v>95</v>
      </c>
      <c r="H53" t="s">
        <v>388</v>
      </c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x14ac:dyDescent="0.25">
      <c r="A54">
        <v>210</v>
      </c>
      <c r="B54" s="2">
        <v>41484</v>
      </c>
      <c r="E54" t="s">
        <v>96</v>
      </c>
      <c r="H54" t="s">
        <v>389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x14ac:dyDescent="0.25">
      <c r="A55">
        <v>211</v>
      </c>
      <c r="B55" s="2">
        <v>41485</v>
      </c>
      <c r="E55" t="s">
        <v>97</v>
      </c>
      <c r="H55" t="s">
        <v>390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x14ac:dyDescent="0.25">
      <c r="A56">
        <v>212</v>
      </c>
      <c r="B56" s="2">
        <v>41486</v>
      </c>
      <c r="E56" t="s">
        <v>98</v>
      </c>
      <c r="H56" t="s">
        <v>391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x14ac:dyDescent="0.25">
      <c r="A57">
        <v>213</v>
      </c>
      <c r="B57" s="2">
        <v>41487</v>
      </c>
      <c r="E57" t="s">
        <v>99</v>
      </c>
      <c r="H57" t="s">
        <v>392</v>
      </c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x14ac:dyDescent="0.25">
      <c r="A58">
        <v>214</v>
      </c>
      <c r="B58" s="2">
        <v>41488</v>
      </c>
      <c r="E58" t="s">
        <v>100</v>
      </c>
      <c r="H58" t="s">
        <v>393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x14ac:dyDescent="0.25">
      <c r="A59">
        <v>215</v>
      </c>
      <c r="B59" s="2">
        <v>41489</v>
      </c>
      <c r="E59" t="s">
        <v>101</v>
      </c>
      <c r="H59" t="s">
        <v>394</v>
      </c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x14ac:dyDescent="0.25">
      <c r="A60">
        <v>216</v>
      </c>
      <c r="B60" s="2">
        <v>41490</v>
      </c>
      <c r="E60" t="s">
        <v>102</v>
      </c>
      <c r="H60" t="s">
        <v>395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x14ac:dyDescent="0.25">
      <c r="A61">
        <v>217</v>
      </c>
      <c r="B61" s="2">
        <v>41491</v>
      </c>
      <c r="E61" t="s">
        <v>103</v>
      </c>
      <c r="H61" t="s">
        <v>396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x14ac:dyDescent="0.25">
      <c r="A62">
        <v>218</v>
      </c>
      <c r="B62" s="2">
        <v>41492</v>
      </c>
      <c r="E62" t="s">
        <v>104</v>
      </c>
      <c r="H62" t="s">
        <v>397</v>
      </c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x14ac:dyDescent="0.25">
      <c r="A63">
        <v>219</v>
      </c>
      <c r="B63" s="2">
        <v>41493</v>
      </c>
      <c r="E63" t="s">
        <v>105</v>
      </c>
      <c r="H63" t="s">
        <v>398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x14ac:dyDescent="0.25">
      <c r="A64">
        <v>220</v>
      </c>
      <c r="B64" s="2">
        <v>41494</v>
      </c>
      <c r="E64" t="s">
        <v>106</v>
      </c>
      <c r="H64" t="s">
        <v>399</v>
      </c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x14ac:dyDescent="0.25">
      <c r="A65">
        <v>221</v>
      </c>
      <c r="B65" s="2">
        <v>41495</v>
      </c>
      <c r="E65" t="s">
        <v>107</v>
      </c>
      <c r="H65" t="s">
        <v>400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x14ac:dyDescent="0.25">
      <c r="A66">
        <v>222</v>
      </c>
      <c r="B66" s="2">
        <v>41496</v>
      </c>
      <c r="E66" t="s">
        <v>108</v>
      </c>
      <c r="H66" t="s">
        <v>401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x14ac:dyDescent="0.25">
      <c r="A67">
        <v>223</v>
      </c>
      <c r="B67" s="2">
        <v>41497</v>
      </c>
      <c r="E67" t="s">
        <v>109</v>
      </c>
      <c r="H67" t="s">
        <v>402</v>
      </c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x14ac:dyDescent="0.25">
      <c r="A68">
        <v>224</v>
      </c>
      <c r="B68" s="2">
        <v>41498</v>
      </c>
      <c r="E68" t="s">
        <v>110</v>
      </c>
      <c r="H68" t="s">
        <v>403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x14ac:dyDescent="0.25">
      <c r="A69">
        <v>225</v>
      </c>
      <c r="B69" s="2">
        <v>41499</v>
      </c>
      <c r="E69" t="s">
        <v>111</v>
      </c>
      <c r="H69" t="s">
        <v>404</v>
      </c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x14ac:dyDescent="0.25">
      <c r="A70">
        <v>226</v>
      </c>
      <c r="B70" s="2">
        <v>41500</v>
      </c>
      <c r="E70" t="s">
        <v>112</v>
      </c>
      <c r="H70" t="s">
        <v>405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x14ac:dyDescent="0.25">
      <c r="A71">
        <v>227</v>
      </c>
      <c r="B71" s="2">
        <v>41501</v>
      </c>
      <c r="E71" t="s">
        <v>113</v>
      </c>
      <c r="H71" t="s">
        <v>406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x14ac:dyDescent="0.25">
      <c r="A72">
        <v>228</v>
      </c>
      <c r="B72" s="2">
        <v>41502</v>
      </c>
      <c r="E72" t="s">
        <v>114</v>
      </c>
      <c r="H72" t="s">
        <v>407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x14ac:dyDescent="0.25">
      <c r="A73">
        <v>229</v>
      </c>
      <c r="B73" s="2">
        <v>41503</v>
      </c>
      <c r="E73" t="s">
        <v>115</v>
      </c>
      <c r="H73" t="s">
        <v>408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x14ac:dyDescent="0.25">
      <c r="A74">
        <v>230</v>
      </c>
      <c r="B74" s="2">
        <v>41504</v>
      </c>
      <c r="E74" t="s">
        <v>116</v>
      </c>
      <c r="H74" t="s">
        <v>409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x14ac:dyDescent="0.25">
      <c r="E75" t="s">
        <v>117</v>
      </c>
      <c r="H75" t="s">
        <v>410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x14ac:dyDescent="0.25">
      <c r="E76" t="s">
        <v>118</v>
      </c>
      <c r="H76" t="s">
        <v>411</v>
      </c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x14ac:dyDescent="0.25">
      <c r="E77" t="s">
        <v>119</v>
      </c>
      <c r="H77" t="s">
        <v>412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x14ac:dyDescent="0.25">
      <c r="E78" t="s">
        <v>120</v>
      </c>
      <c r="H78" t="s">
        <v>413</v>
      </c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x14ac:dyDescent="0.25">
      <c r="E79" t="s">
        <v>121</v>
      </c>
      <c r="H79" t="s">
        <v>414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x14ac:dyDescent="0.25">
      <c r="E80" t="s">
        <v>122</v>
      </c>
      <c r="H80" t="s">
        <v>415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x14ac:dyDescent="0.25">
      <c r="E81" t="s">
        <v>123</v>
      </c>
      <c r="H81" t="s">
        <v>416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124</v>
      </c>
      <c r="H82" t="s">
        <v>417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125</v>
      </c>
      <c r="H83" t="s">
        <v>418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126</v>
      </c>
      <c r="H84" t="s">
        <v>419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127</v>
      </c>
      <c r="H85" t="s">
        <v>420</v>
      </c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128</v>
      </c>
      <c r="H86" t="s">
        <v>421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129</v>
      </c>
      <c r="H87" t="s">
        <v>422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130</v>
      </c>
      <c r="H88" t="s">
        <v>423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131</v>
      </c>
      <c r="H89" t="s">
        <v>424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132</v>
      </c>
      <c r="H90" t="s">
        <v>425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133</v>
      </c>
      <c r="H91" t="s">
        <v>426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134</v>
      </c>
      <c r="H92" t="s">
        <v>427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135</v>
      </c>
      <c r="H93" t="s">
        <v>428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136</v>
      </c>
      <c r="H94" t="s">
        <v>429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137</v>
      </c>
      <c r="H95" t="s">
        <v>430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138</v>
      </c>
      <c r="H96" t="s">
        <v>431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139</v>
      </c>
      <c r="H97" t="s">
        <v>432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140</v>
      </c>
      <c r="H98" t="s">
        <v>433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141</v>
      </c>
      <c r="H99" t="s">
        <v>434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142</v>
      </c>
      <c r="H100" t="s">
        <v>435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143</v>
      </c>
      <c r="H101" t="s">
        <v>436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144</v>
      </c>
      <c r="H102" t="s">
        <v>437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145</v>
      </c>
      <c r="H103" t="s">
        <v>438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146</v>
      </c>
      <c r="H104" t="s">
        <v>439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147</v>
      </c>
      <c r="H105" t="s">
        <v>440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148</v>
      </c>
      <c r="H106" t="s">
        <v>441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149</v>
      </c>
      <c r="H107" t="s">
        <v>442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150</v>
      </c>
      <c r="H108" t="s">
        <v>443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151</v>
      </c>
      <c r="H109" t="s">
        <v>444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152</v>
      </c>
      <c r="H110" t="s">
        <v>445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153</v>
      </c>
      <c r="H111" t="s">
        <v>446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154</v>
      </c>
      <c r="H112" t="s">
        <v>447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155</v>
      </c>
      <c r="H113" t="s">
        <v>448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156</v>
      </c>
      <c r="H114" t="s">
        <v>449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157</v>
      </c>
      <c r="H115" t="s">
        <v>450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158</v>
      </c>
      <c r="H116" t="s">
        <v>451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159</v>
      </c>
      <c r="H117" t="s">
        <v>452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160</v>
      </c>
      <c r="H118" t="s">
        <v>453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161</v>
      </c>
      <c r="H119" t="s">
        <v>454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162</v>
      </c>
      <c r="H120" t="s">
        <v>455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163</v>
      </c>
      <c r="H121" t="s">
        <v>456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164</v>
      </c>
      <c r="H122" t="s">
        <v>457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165</v>
      </c>
      <c r="H123" t="s">
        <v>458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166</v>
      </c>
      <c r="H124" t="s">
        <v>459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167</v>
      </c>
      <c r="H125" t="s">
        <v>460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168</v>
      </c>
      <c r="H126" t="s">
        <v>461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169</v>
      </c>
      <c r="H127" t="s">
        <v>462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170</v>
      </c>
      <c r="H128" t="s">
        <v>463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171</v>
      </c>
      <c r="H129" t="s">
        <v>464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172</v>
      </c>
      <c r="H130" t="s">
        <v>465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173</v>
      </c>
      <c r="H131" t="s">
        <v>466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174</v>
      </c>
      <c r="H132" t="s">
        <v>467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175</v>
      </c>
      <c r="H133" t="s">
        <v>468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176</v>
      </c>
      <c r="H134" t="s">
        <v>469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177</v>
      </c>
      <c r="H135" t="s">
        <v>470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178</v>
      </c>
      <c r="H136" t="s">
        <v>471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179</v>
      </c>
      <c r="H137" t="s">
        <v>472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180</v>
      </c>
      <c r="H138" t="s">
        <v>473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181</v>
      </c>
      <c r="H139" t="s">
        <v>474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182</v>
      </c>
      <c r="H140" t="s">
        <v>475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183</v>
      </c>
      <c r="H141" t="s">
        <v>476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184</v>
      </c>
      <c r="H142" t="s">
        <v>477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185</v>
      </c>
      <c r="H143" t="s">
        <v>478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186</v>
      </c>
      <c r="H144" t="s">
        <v>479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8:25" x14ac:dyDescent="0.25">
      <c r="H145" t="s">
        <v>480</v>
      </c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8:25" x14ac:dyDescent="0.25">
      <c r="H146" t="s">
        <v>481</v>
      </c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8:25" x14ac:dyDescent="0.25">
      <c r="H147" t="s">
        <v>482</v>
      </c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8:25" x14ac:dyDescent="0.25">
      <c r="H148" t="s">
        <v>483</v>
      </c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8:25" x14ac:dyDescent="0.25">
      <c r="H149" t="s">
        <v>484</v>
      </c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8:25" x14ac:dyDescent="0.25">
      <c r="H150" t="s">
        <v>485</v>
      </c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8:25" x14ac:dyDescent="0.25">
      <c r="H151" t="s">
        <v>486</v>
      </c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8:25" x14ac:dyDescent="0.25">
      <c r="H152" t="s">
        <v>487</v>
      </c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8:25" x14ac:dyDescent="0.25">
      <c r="H153" t="s">
        <v>488</v>
      </c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8:25" x14ac:dyDescent="0.25">
      <c r="H154" t="s">
        <v>489</v>
      </c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8:25" x14ac:dyDescent="0.25">
      <c r="H155" t="s">
        <v>490</v>
      </c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8:25" x14ac:dyDescent="0.25">
      <c r="H156" t="s">
        <v>491</v>
      </c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8:25" x14ac:dyDescent="0.25">
      <c r="H157" t="s">
        <v>492</v>
      </c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8:25" x14ac:dyDescent="0.25">
      <c r="H158" t="s">
        <v>493</v>
      </c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8:25" x14ac:dyDescent="0.25">
      <c r="H159" t="s">
        <v>494</v>
      </c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8:25" x14ac:dyDescent="0.25">
      <c r="H160" t="s">
        <v>495</v>
      </c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8:25" x14ac:dyDescent="0.25">
      <c r="H161" t="s">
        <v>496</v>
      </c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8:25" x14ac:dyDescent="0.25">
      <c r="H162" t="s">
        <v>497</v>
      </c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8:25" x14ac:dyDescent="0.25">
      <c r="H163" t="s">
        <v>498</v>
      </c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8:25" x14ac:dyDescent="0.25">
      <c r="H164" t="s">
        <v>499</v>
      </c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8:25" x14ac:dyDescent="0.25">
      <c r="H165" t="s">
        <v>500</v>
      </c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8:25" x14ac:dyDescent="0.25">
      <c r="H166" t="s">
        <v>501</v>
      </c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8:25" x14ac:dyDescent="0.25">
      <c r="H167" t="s">
        <v>502</v>
      </c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8:25" x14ac:dyDescent="0.25">
      <c r="H168" t="s">
        <v>503</v>
      </c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8:25" x14ac:dyDescent="0.25">
      <c r="H169" t="s">
        <v>504</v>
      </c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8:25" x14ac:dyDescent="0.25">
      <c r="H170" t="s">
        <v>505</v>
      </c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8:25" x14ac:dyDescent="0.25">
      <c r="H171" t="s">
        <v>506</v>
      </c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8:25" x14ac:dyDescent="0.25">
      <c r="H172" t="s">
        <v>507</v>
      </c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8:25" x14ac:dyDescent="0.25">
      <c r="H173" t="s">
        <v>508</v>
      </c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8:25" x14ac:dyDescent="0.25">
      <c r="H174" t="s">
        <v>509</v>
      </c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8:25" x14ac:dyDescent="0.25">
      <c r="H175" t="s">
        <v>510</v>
      </c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8:25" x14ac:dyDescent="0.25">
      <c r="H176" t="s">
        <v>511</v>
      </c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8:25" x14ac:dyDescent="0.25">
      <c r="H177" t="s">
        <v>512</v>
      </c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8:25" x14ac:dyDescent="0.25">
      <c r="H178" t="s">
        <v>513</v>
      </c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8:25" x14ac:dyDescent="0.25">
      <c r="H179" t="s">
        <v>514</v>
      </c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8:25" x14ac:dyDescent="0.25">
      <c r="H180" t="s">
        <v>515</v>
      </c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8:25" x14ac:dyDescent="0.25">
      <c r="H181" t="s">
        <v>516</v>
      </c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8:25" x14ac:dyDescent="0.25">
      <c r="H182" t="s">
        <v>517</v>
      </c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8:25" x14ac:dyDescent="0.25">
      <c r="H183" t="s">
        <v>518</v>
      </c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8:25" x14ac:dyDescent="0.25">
      <c r="H184" t="s">
        <v>519</v>
      </c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8:25" x14ac:dyDescent="0.25">
      <c r="H185" t="s">
        <v>520</v>
      </c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8:25" x14ac:dyDescent="0.25">
      <c r="H186" t="s">
        <v>521</v>
      </c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8:25" x14ac:dyDescent="0.25">
      <c r="H187" t="s">
        <v>522</v>
      </c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8:25" x14ac:dyDescent="0.25">
      <c r="H188" t="s">
        <v>523</v>
      </c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8:25" x14ac:dyDescent="0.25">
      <c r="H189" t="s">
        <v>524</v>
      </c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8:25" x14ac:dyDescent="0.25">
      <c r="H190" t="s">
        <v>525</v>
      </c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8:25" x14ac:dyDescent="0.25">
      <c r="H191" t="s">
        <v>526</v>
      </c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8:25" x14ac:dyDescent="0.25">
      <c r="H192" t="s">
        <v>527</v>
      </c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8:25" x14ac:dyDescent="0.25">
      <c r="H193" t="s">
        <v>528</v>
      </c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8:25" x14ac:dyDescent="0.25">
      <c r="H194" t="s">
        <v>529</v>
      </c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8:25" x14ac:dyDescent="0.25">
      <c r="H195" t="s">
        <v>530</v>
      </c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8:25" x14ac:dyDescent="0.25">
      <c r="H196" t="s">
        <v>531</v>
      </c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8:25" x14ac:dyDescent="0.25">
      <c r="H197" t="s">
        <v>532</v>
      </c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8:25" x14ac:dyDescent="0.25">
      <c r="H198" t="s">
        <v>533</v>
      </c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8:25" x14ac:dyDescent="0.25">
      <c r="H199" t="s">
        <v>534</v>
      </c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8:25" x14ac:dyDescent="0.25">
      <c r="H200" t="s">
        <v>535</v>
      </c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8:25" x14ac:dyDescent="0.25">
      <c r="H201" t="s">
        <v>536</v>
      </c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8:25" x14ac:dyDescent="0.25">
      <c r="H202" t="s">
        <v>537</v>
      </c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8:25" x14ac:dyDescent="0.25">
      <c r="H203" t="s">
        <v>538</v>
      </c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8:25" x14ac:dyDescent="0.25">
      <c r="H204" t="s">
        <v>539</v>
      </c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8:25" x14ac:dyDescent="0.25">
      <c r="H205" t="s">
        <v>540</v>
      </c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8:25" x14ac:dyDescent="0.25">
      <c r="H206" t="s">
        <v>541</v>
      </c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8:25" x14ac:dyDescent="0.25">
      <c r="H207" t="s">
        <v>542</v>
      </c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8:25" x14ac:dyDescent="0.25">
      <c r="H208" t="s">
        <v>543</v>
      </c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8:25" x14ac:dyDescent="0.25">
      <c r="H209" t="s">
        <v>544</v>
      </c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8:25" x14ac:dyDescent="0.25">
      <c r="H210" t="s">
        <v>545</v>
      </c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8:25" x14ac:dyDescent="0.25">
      <c r="H211" t="s">
        <v>546</v>
      </c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8:25" x14ac:dyDescent="0.25">
      <c r="H212" t="s">
        <v>547</v>
      </c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8:25" x14ac:dyDescent="0.25">
      <c r="H213" t="s">
        <v>548</v>
      </c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8:25" x14ac:dyDescent="0.25">
      <c r="H214" t="s">
        <v>549</v>
      </c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8:25" x14ac:dyDescent="0.25">
      <c r="H215" t="s">
        <v>550</v>
      </c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8:25" x14ac:dyDescent="0.25">
      <c r="H216" t="s">
        <v>551</v>
      </c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8:25" x14ac:dyDescent="0.25">
      <c r="H217" t="s">
        <v>552</v>
      </c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8:25" x14ac:dyDescent="0.25">
      <c r="H218" t="s">
        <v>553</v>
      </c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8:25" x14ac:dyDescent="0.25">
      <c r="H219" t="s">
        <v>554</v>
      </c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8:25" x14ac:dyDescent="0.25">
      <c r="H220" t="s">
        <v>555</v>
      </c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8:25" x14ac:dyDescent="0.25">
      <c r="H221" t="s">
        <v>556</v>
      </c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8:25" x14ac:dyDescent="0.25">
      <c r="H222" t="s">
        <v>557</v>
      </c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8:25" x14ac:dyDescent="0.25">
      <c r="H223" t="s">
        <v>558</v>
      </c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8:25" x14ac:dyDescent="0.25">
      <c r="H224" t="s">
        <v>559</v>
      </c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8:25" x14ac:dyDescent="0.25">
      <c r="H225" t="s">
        <v>560</v>
      </c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8:25" x14ac:dyDescent="0.25">
      <c r="H226" t="s">
        <v>561</v>
      </c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8:25" x14ac:dyDescent="0.25">
      <c r="H227" t="s">
        <v>562</v>
      </c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8:25" x14ac:dyDescent="0.25">
      <c r="H228" t="s">
        <v>563</v>
      </c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8:25" x14ac:dyDescent="0.25">
      <c r="H229" t="s">
        <v>564</v>
      </c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8:25" x14ac:dyDescent="0.25">
      <c r="H230" t="s">
        <v>565</v>
      </c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8:25" x14ac:dyDescent="0.25">
      <c r="H231" t="s">
        <v>566</v>
      </c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8:25" x14ac:dyDescent="0.25">
      <c r="H232" t="s">
        <v>567</v>
      </c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8:25" x14ac:dyDescent="0.25">
      <c r="H233" t="s">
        <v>568</v>
      </c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8:25" x14ac:dyDescent="0.25">
      <c r="H234" t="s">
        <v>569</v>
      </c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8:25" x14ac:dyDescent="0.25">
      <c r="H235" t="s">
        <v>570</v>
      </c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8:25" x14ac:dyDescent="0.25">
      <c r="H236" t="s">
        <v>571</v>
      </c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8:25" x14ac:dyDescent="0.25">
      <c r="H237" t="s">
        <v>572</v>
      </c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8:25" x14ac:dyDescent="0.25">
      <c r="H238" t="s">
        <v>573</v>
      </c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8:25" x14ac:dyDescent="0.25">
      <c r="H239" t="s">
        <v>574</v>
      </c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8:25" x14ac:dyDescent="0.25">
      <c r="H240" t="s">
        <v>575</v>
      </c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8:25" x14ac:dyDescent="0.25">
      <c r="H241" t="s">
        <v>576</v>
      </c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8:25" x14ac:dyDescent="0.25">
      <c r="H242" t="s">
        <v>577</v>
      </c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8:25" x14ac:dyDescent="0.25">
      <c r="H243" t="s">
        <v>578</v>
      </c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8:25" x14ac:dyDescent="0.25">
      <c r="H244" t="s">
        <v>579</v>
      </c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8:25" x14ac:dyDescent="0.25">
      <c r="H245" t="s">
        <v>580</v>
      </c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8:25" x14ac:dyDescent="0.25">
      <c r="H246" t="s">
        <v>581</v>
      </c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8:25" x14ac:dyDescent="0.25">
      <c r="H247" t="s">
        <v>582</v>
      </c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8:25" x14ac:dyDescent="0.25">
      <c r="H248" t="s">
        <v>583</v>
      </c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8:25" x14ac:dyDescent="0.25">
      <c r="H249" t="s">
        <v>584</v>
      </c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8:25" x14ac:dyDescent="0.25">
      <c r="H250" t="s">
        <v>585</v>
      </c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8:25" x14ac:dyDescent="0.25">
      <c r="H251" t="s">
        <v>586</v>
      </c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8:25" x14ac:dyDescent="0.25">
      <c r="H252" t="s">
        <v>587</v>
      </c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8:25" x14ac:dyDescent="0.25">
      <c r="H253" t="s">
        <v>588</v>
      </c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8:25" x14ac:dyDescent="0.25">
      <c r="H254" t="s">
        <v>589</v>
      </c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8:25" x14ac:dyDescent="0.25">
      <c r="H255" t="s">
        <v>590</v>
      </c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8:25" x14ac:dyDescent="0.25">
      <c r="H256" t="s">
        <v>591</v>
      </c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8:25" x14ac:dyDescent="0.25">
      <c r="H257" t="s">
        <v>592</v>
      </c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8:25" x14ac:dyDescent="0.25">
      <c r="H258" t="s">
        <v>593</v>
      </c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8:25" x14ac:dyDescent="0.25">
      <c r="H259" t="s">
        <v>594</v>
      </c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8:25" x14ac:dyDescent="0.25">
      <c r="H260" t="s">
        <v>595</v>
      </c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8:25" x14ac:dyDescent="0.25">
      <c r="H261" t="s">
        <v>596</v>
      </c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8:25" x14ac:dyDescent="0.25">
      <c r="H262" t="s">
        <v>597</v>
      </c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8:25" x14ac:dyDescent="0.25">
      <c r="H263" t="s">
        <v>598</v>
      </c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8:25" x14ac:dyDescent="0.25">
      <c r="H264" t="s">
        <v>599</v>
      </c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8:25" x14ac:dyDescent="0.25">
      <c r="H265" t="s">
        <v>600</v>
      </c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8:25" x14ac:dyDescent="0.25">
      <c r="H266" t="s">
        <v>601</v>
      </c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8:25" x14ac:dyDescent="0.25">
      <c r="H267" t="s">
        <v>602</v>
      </c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8:25" x14ac:dyDescent="0.25">
      <c r="H268" t="s">
        <v>603</v>
      </c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8:25" x14ac:dyDescent="0.25">
      <c r="H269" t="s">
        <v>604</v>
      </c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8:25" x14ac:dyDescent="0.25">
      <c r="H270" t="s">
        <v>605</v>
      </c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8:25" x14ac:dyDescent="0.25">
      <c r="H271" t="s">
        <v>606</v>
      </c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8:25" x14ac:dyDescent="0.25">
      <c r="H272" t="s">
        <v>607</v>
      </c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8:25" x14ac:dyDescent="0.25">
      <c r="H273" t="s">
        <v>608</v>
      </c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8:25" x14ac:dyDescent="0.25">
      <c r="H274" t="s">
        <v>609</v>
      </c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8:25" x14ac:dyDescent="0.25">
      <c r="H275" t="s">
        <v>610</v>
      </c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8:25" x14ac:dyDescent="0.25">
      <c r="H276" t="s">
        <v>611</v>
      </c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8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8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8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8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8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8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8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8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8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8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8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8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Welcome</vt:lpstr>
      <vt:lpstr>Data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Observer</vt:lpstr>
      <vt:lpstr>Observers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2014-06-10T13:49:41Z</dcterms:modified>
</cp:coreProperties>
</file>