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120" yWindow="630" windowWidth="15480" windowHeight="11220" activeTab="1"/>
  </bookViews>
  <sheets>
    <sheet name="Welcome" sheetId="5" r:id="rId1"/>
    <sheet name="Data" sheetId="1" r:id="rId2"/>
    <sheet name="Records" sheetId="3" r:id="rId3"/>
    <sheet name="Rec_Prep" sheetId="2" r:id="rId4"/>
    <sheet name="Lists" sheetId="4" r:id="rId5"/>
  </sheets>
  <definedNames>
    <definedName name="_xlnm._FilterDatabase" localSheetId="1" hidden="1">Data!$A$1:$Z$2</definedName>
    <definedName name="Camp">Lists!$C$2:$C$8</definedName>
    <definedName name="Date2013">Lists!$B$2:$B$73</definedName>
    <definedName name="Observers">Lists!$F$2:$F$9</definedName>
    <definedName name="Sex">Lists!$I$2:$I$4</definedName>
    <definedName name="Site">Lists!$E$2:$E$143</definedName>
    <definedName name="Species">Lists!$H$2:$H$110</definedName>
    <definedName name="Transect">Lists!$D$2:$D$30</definedName>
  </definedNames>
  <calcPr calcId="145621"/>
</workbook>
</file>

<file path=xl/calcChain.xml><?xml version="1.0" encoding="utf-8"?>
<calcChain xmlns="http://schemas.openxmlformats.org/spreadsheetml/2006/main">
  <c r="U277" i="3" l="1"/>
  <c r="T277" i="3"/>
  <c r="S277" i="3"/>
  <c r="R277" i="3"/>
  <c r="Q277" i="3"/>
  <c r="P277" i="3"/>
  <c r="O277" i="3"/>
  <c r="N277" i="3"/>
  <c r="J277" i="3"/>
  <c r="I277" i="3"/>
  <c r="H277" i="3"/>
  <c r="G277" i="3"/>
  <c r="F277" i="3"/>
  <c r="E277" i="3"/>
  <c r="D277" i="3"/>
  <c r="C277" i="3"/>
  <c r="B277" i="3"/>
  <c r="A277" i="3"/>
  <c r="U276" i="3"/>
  <c r="T276" i="3"/>
  <c r="S276" i="3"/>
  <c r="R276" i="3"/>
  <c r="P276" i="3"/>
  <c r="O276" i="3"/>
  <c r="N276" i="3"/>
  <c r="Q276" i="3" s="1"/>
  <c r="J276" i="3"/>
  <c r="I276" i="3"/>
  <c r="H276" i="3"/>
  <c r="G276" i="3"/>
  <c r="F276" i="3"/>
  <c r="E276" i="3"/>
  <c r="D276" i="3"/>
  <c r="C276" i="3"/>
  <c r="B276" i="3"/>
  <c r="A276" i="3"/>
  <c r="U275" i="3"/>
  <c r="T275" i="3"/>
  <c r="S275" i="3"/>
  <c r="R275" i="3"/>
  <c r="Q275" i="3"/>
  <c r="P275" i="3"/>
  <c r="O275" i="3"/>
  <c r="N275" i="3"/>
  <c r="J275" i="3"/>
  <c r="I275" i="3"/>
  <c r="H275" i="3"/>
  <c r="G275" i="3"/>
  <c r="F275" i="3"/>
  <c r="E275" i="3"/>
  <c r="D275" i="3"/>
  <c r="C275" i="3"/>
  <c r="B275" i="3"/>
  <c r="A275" i="3"/>
  <c r="U274" i="3"/>
  <c r="T274" i="3"/>
  <c r="S274" i="3"/>
  <c r="R274" i="3"/>
  <c r="Q274" i="3"/>
  <c r="P274" i="3"/>
  <c r="O274" i="3"/>
  <c r="N274" i="3"/>
  <c r="J274" i="3"/>
  <c r="I274" i="3"/>
  <c r="H274" i="3"/>
  <c r="G274" i="3"/>
  <c r="F274" i="3"/>
  <c r="E274" i="3"/>
  <c r="D274" i="3"/>
  <c r="C274" i="3"/>
  <c r="B274" i="3"/>
  <c r="A274" i="3"/>
  <c r="U273" i="3"/>
  <c r="T273" i="3"/>
  <c r="S273" i="3"/>
  <c r="R273" i="3"/>
  <c r="Q273" i="3"/>
  <c r="P273" i="3"/>
  <c r="O273" i="3"/>
  <c r="N273" i="3"/>
  <c r="J273" i="3"/>
  <c r="I273" i="3"/>
  <c r="H273" i="3"/>
  <c r="G273" i="3"/>
  <c r="F273" i="3"/>
  <c r="E273" i="3"/>
  <c r="D273" i="3"/>
  <c r="C273" i="3"/>
  <c r="B273" i="3"/>
  <c r="A273" i="3"/>
  <c r="U272" i="3"/>
  <c r="T272" i="3"/>
  <c r="S272" i="3"/>
  <c r="R272" i="3"/>
  <c r="Q272" i="3"/>
  <c r="P272" i="3"/>
  <c r="O272" i="3"/>
  <c r="N272" i="3"/>
  <c r="J272" i="3"/>
  <c r="I272" i="3"/>
  <c r="H272" i="3"/>
  <c r="G272" i="3"/>
  <c r="F272" i="3"/>
  <c r="E272" i="3"/>
  <c r="D272" i="3"/>
  <c r="C272" i="3"/>
  <c r="B272" i="3"/>
  <c r="A272" i="3"/>
  <c r="U271" i="3"/>
  <c r="T271" i="3"/>
  <c r="S271" i="3"/>
  <c r="R271" i="3"/>
  <c r="Q271" i="3"/>
  <c r="P271" i="3"/>
  <c r="O271" i="3"/>
  <c r="N271" i="3"/>
  <c r="J271" i="3"/>
  <c r="I271" i="3"/>
  <c r="H271" i="3"/>
  <c r="G271" i="3"/>
  <c r="F271" i="3"/>
  <c r="E271" i="3"/>
  <c r="D271" i="3"/>
  <c r="C271" i="3"/>
  <c r="B271" i="3"/>
  <c r="A271" i="3"/>
  <c r="U270" i="3"/>
  <c r="T270" i="3"/>
  <c r="S270" i="3"/>
  <c r="R270" i="3"/>
  <c r="Q270" i="3"/>
  <c r="P270" i="3"/>
  <c r="O270" i="3"/>
  <c r="N270" i="3"/>
  <c r="J270" i="3"/>
  <c r="I270" i="3"/>
  <c r="H270" i="3"/>
  <c r="G270" i="3"/>
  <c r="F270" i="3"/>
  <c r="E270" i="3"/>
  <c r="D270" i="3"/>
  <c r="C270" i="3"/>
  <c r="B270" i="3"/>
  <c r="A270" i="3"/>
  <c r="U269" i="3"/>
  <c r="T269" i="3"/>
  <c r="S269" i="3"/>
  <c r="R269" i="3"/>
  <c r="Q269" i="3"/>
  <c r="P269" i="3"/>
  <c r="O269" i="3"/>
  <c r="N269" i="3"/>
  <c r="J269" i="3"/>
  <c r="I269" i="3"/>
  <c r="H269" i="3"/>
  <c r="G269" i="3"/>
  <c r="F269" i="3"/>
  <c r="E269" i="3"/>
  <c r="D269" i="3"/>
  <c r="C269" i="3"/>
  <c r="B269" i="3"/>
  <c r="A269" i="3"/>
  <c r="U268" i="3"/>
  <c r="T268" i="3"/>
  <c r="S268" i="3"/>
  <c r="R268" i="3"/>
  <c r="Q268" i="3"/>
  <c r="P268" i="3"/>
  <c r="O268" i="3"/>
  <c r="N268" i="3"/>
  <c r="J268" i="3"/>
  <c r="I268" i="3"/>
  <c r="H268" i="3"/>
  <c r="G268" i="3"/>
  <c r="F268" i="3"/>
  <c r="E268" i="3"/>
  <c r="D268" i="3"/>
  <c r="C268" i="3"/>
  <c r="B268" i="3"/>
  <c r="A268" i="3"/>
  <c r="U267" i="3"/>
  <c r="T267" i="3"/>
  <c r="S267" i="3"/>
  <c r="R267" i="3"/>
  <c r="Q267" i="3"/>
  <c r="P267" i="3"/>
  <c r="O267" i="3"/>
  <c r="N267" i="3"/>
  <c r="J267" i="3"/>
  <c r="I267" i="3"/>
  <c r="H267" i="3"/>
  <c r="G267" i="3"/>
  <c r="F267" i="3"/>
  <c r="E267" i="3"/>
  <c r="D267" i="3"/>
  <c r="C267" i="3"/>
  <c r="B267" i="3"/>
  <c r="A267" i="3"/>
  <c r="U266" i="3"/>
  <c r="T266" i="3"/>
  <c r="S266" i="3"/>
  <c r="R266" i="3"/>
  <c r="Q266" i="3"/>
  <c r="P266" i="3"/>
  <c r="O266" i="3"/>
  <c r="N266" i="3"/>
  <c r="J266" i="3"/>
  <c r="I266" i="3"/>
  <c r="H266" i="3"/>
  <c r="G266" i="3"/>
  <c r="F266" i="3"/>
  <c r="E266" i="3"/>
  <c r="D266" i="3"/>
  <c r="C266" i="3"/>
  <c r="B266" i="3"/>
  <c r="A266" i="3"/>
  <c r="U265" i="3"/>
  <c r="T265" i="3"/>
  <c r="S265" i="3"/>
  <c r="R265" i="3"/>
  <c r="Q265" i="3"/>
  <c r="P265" i="3"/>
  <c r="O265" i="3"/>
  <c r="N265" i="3"/>
  <c r="J265" i="3"/>
  <c r="I265" i="3"/>
  <c r="H265" i="3"/>
  <c r="G265" i="3"/>
  <c r="F265" i="3"/>
  <c r="E265" i="3"/>
  <c r="D265" i="3"/>
  <c r="C265" i="3"/>
  <c r="B265" i="3"/>
  <c r="A265" i="3"/>
  <c r="U264" i="3"/>
  <c r="T264" i="3"/>
  <c r="S264" i="3"/>
  <c r="R264" i="3"/>
  <c r="Q264" i="3"/>
  <c r="P264" i="3"/>
  <c r="O264" i="3"/>
  <c r="N264" i="3"/>
  <c r="J264" i="3"/>
  <c r="I264" i="3"/>
  <c r="H264" i="3"/>
  <c r="G264" i="3"/>
  <c r="F264" i="3"/>
  <c r="E264" i="3"/>
  <c r="D264" i="3"/>
  <c r="C264" i="3"/>
  <c r="B264" i="3"/>
  <c r="A264" i="3"/>
  <c r="U263" i="3"/>
  <c r="T263" i="3"/>
  <c r="S263" i="3"/>
  <c r="R263" i="3"/>
  <c r="Q263" i="3"/>
  <c r="P263" i="3"/>
  <c r="O263" i="3"/>
  <c r="N263" i="3"/>
  <c r="J263" i="3"/>
  <c r="I263" i="3"/>
  <c r="H263" i="3"/>
  <c r="G263" i="3"/>
  <c r="F263" i="3"/>
  <c r="E263" i="3"/>
  <c r="D263" i="3"/>
  <c r="C263" i="3"/>
  <c r="B263" i="3"/>
  <c r="A263" i="3"/>
  <c r="U262" i="3"/>
  <c r="T262" i="3"/>
  <c r="S262" i="3"/>
  <c r="R262" i="3"/>
  <c r="Q262" i="3"/>
  <c r="P262" i="3"/>
  <c r="O262" i="3"/>
  <c r="N262" i="3"/>
  <c r="J262" i="3"/>
  <c r="I262" i="3"/>
  <c r="H262" i="3"/>
  <c r="G262" i="3"/>
  <c r="F262" i="3"/>
  <c r="E262" i="3"/>
  <c r="D262" i="3"/>
  <c r="C262" i="3"/>
  <c r="B262" i="3"/>
  <c r="A262" i="3"/>
  <c r="U261" i="3"/>
  <c r="T261" i="3"/>
  <c r="S261" i="3"/>
  <c r="R261" i="3"/>
  <c r="Q261" i="3"/>
  <c r="P261" i="3"/>
  <c r="O261" i="3"/>
  <c r="N261" i="3"/>
  <c r="J261" i="3"/>
  <c r="I261" i="3"/>
  <c r="H261" i="3"/>
  <c r="G261" i="3"/>
  <c r="F261" i="3"/>
  <c r="E261" i="3"/>
  <c r="D261" i="3"/>
  <c r="C261" i="3"/>
  <c r="B261" i="3"/>
  <c r="A261" i="3"/>
  <c r="U260" i="3"/>
  <c r="T260" i="3"/>
  <c r="S260" i="3"/>
  <c r="R260" i="3"/>
  <c r="Q260" i="3"/>
  <c r="P260" i="3"/>
  <c r="O260" i="3"/>
  <c r="N260" i="3"/>
  <c r="J260" i="3"/>
  <c r="I260" i="3"/>
  <c r="H260" i="3"/>
  <c r="G260" i="3"/>
  <c r="F260" i="3"/>
  <c r="E260" i="3"/>
  <c r="D260" i="3"/>
  <c r="C260" i="3"/>
  <c r="B260" i="3"/>
  <c r="A260" i="3"/>
  <c r="U259" i="3"/>
  <c r="T259" i="3"/>
  <c r="S259" i="3"/>
  <c r="R259" i="3"/>
  <c r="Q259" i="3"/>
  <c r="P259" i="3"/>
  <c r="O259" i="3"/>
  <c r="N259" i="3"/>
  <c r="J259" i="3"/>
  <c r="I259" i="3"/>
  <c r="H259" i="3"/>
  <c r="G259" i="3"/>
  <c r="F259" i="3"/>
  <c r="E259" i="3"/>
  <c r="D259" i="3"/>
  <c r="C259" i="3"/>
  <c r="B259" i="3"/>
  <c r="A259" i="3"/>
  <c r="U258" i="3"/>
  <c r="T258" i="3"/>
  <c r="S258" i="3"/>
  <c r="R258" i="3"/>
  <c r="Q258" i="3"/>
  <c r="P258" i="3"/>
  <c r="O258" i="3"/>
  <c r="N258" i="3"/>
  <c r="J258" i="3"/>
  <c r="I258" i="3"/>
  <c r="H258" i="3"/>
  <c r="G258" i="3"/>
  <c r="F258" i="3"/>
  <c r="E258" i="3"/>
  <c r="D258" i="3"/>
  <c r="C258" i="3"/>
  <c r="B258" i="3"/>
  <c r="A258" i="3"/>
  <c r="U257" i="3"/>
  <c r="T257" i="3"/>
  <c r="S257" i="3"/>
  <c r="R257" i="3"/>
  <c r="Q257" i="3"/>
  <c r="P257" i="3"/>
  <c r="O257" i="3"/>
  <c r="N257" i="3"/>
  <c r="J257" i="3"/>
  <c r="I257" i="3"/>
  <c r="H257" i="3"/>
  <c r="G257" i="3"/>
  <c r="F257" i="3"/>
  <c r="E257" i="3"/>
  <c r="D257" i="3"/>
  <c r="C257" i="3"/>
  <c r="B257" i="3"/>
  <c r="A257" i="3"/>
  <c r="U256" i="3"/>
  <c r="T256" i="3"/>
  <c r="S256" i="3"/>
  <c r="R256" i="3"/>
  <c r="Q256" i="3"/>
  <c r="P256" i="3"/>
  <c r="O256" i="3"/>
  <c r="N256" i="3"/>
  <c r="J256" i="3"/>
  <c r="I256" i="3"/>
  <c r="H256" i="3"/>
  <c r="G256" i="3"/>
  <c r="F256" i="3"/>
  <c r="E256" i="3"/>
  <c r="D256" i="3"/>
  <c r="C256" i="3"/>
  <c r="B256" i="3"/>
  <c r="A256" i="3"/>
  <c r="U255" i="3"/>
  <c r="T255" i="3"/>
  <c r="S255" i="3"/>
  <c r="R255" i="3"/>
  <c r="Q255" i="3"/>
  <c r="P255" i="3"/>
  <c r="O255" i="3"/>
  <c r="N255" i="3"/>
  <c r="J255" i="3"/>
  <c r="I255" i="3"/>
  <c r="H255" i="3"/>
  <c r="G255" i="3"/>
  <c r="F255" i="3"/>
  <c r="E255" i="3"/>
  <c r="D255" i="3"/>
  <c r="C255" i="3"/>
  <c r="B255" i="3"/>
  <c r="A255" i="3"/>
  <c r="U254" i="3"/>
  <c r="T254" i="3"/>
  <c r="S254" i="3"/>
  <c r="R254" i="3"/>
  <c r="Q254" i="3"/>
  <c r="P254" i="3"/>
  <c r="O254" i="3"/>
  <c r="N254" i="3"/>
  <c r="J254" i="3"/>
  <c r="I254" i="3"/>
  <c r="H254" i="3"/>
  <c r="G254" i="3"/>
  <c r="F254" i="3"/>
  <c r="E254" i="3"/>
  <c r="D254" i="3"/>
  <c r="C254" i="3"/>
  <c r="B254" i="3"/>
  <c r="A254" i="3"/>
  <c r="U253" i="3"/>
  <c r="T253" i="3"/>
  <c r="S253" i="3"/>
  <c r="R253" i="3"/>
  <c r="Q253" i="3"/>
  <c r="P253" i="3"/>
  <c r="O253" i="3"/>
  <c r="N253" i="3"/>
  <c r="J253" i="3"/>
  <c r="I253" i="3"/>
  <c r="H253" i="3"/>
  <c r="G253" i="3"/>
  <c r="F253" i="3"/>
  <c r="E253" i="3"/>
  <c r="D253" i="3"/>
  <c r="C253" i="3"/>
  <c r="B253" i="3"/>
  <c r="A253" i="3"/>
  <c r="U252" i="3"/>
  <c r="T252" i="3"/>
  <c r="S252" i="3"/>
  <c r="R252" i="3"/>
  <c r="Q252" i="3"/>
  <c r="P252" i="3"/>
  <c r="O252" i="3"/>
  <c r="N252" i="3"/>
  <c r="J252" i="3"/>
  <c r="I252" i="3"/>
  <c r="H252" i="3"/>
  <c r="G252" i="3"/>
  <c r="F252" i="3"/>
  <c r="E252" i="3"/>
  <c r="D252" i="3"/>
  <c r="C252" i="3"/>
  <c r="B252" i="3"/>
  <c r="A252" i="3"/>
  <c r="U251" i="3"/>
  <c r="T251" i="3"/>
  <c r="S251" i="3"/>
  <c r="R251" i="3"/>
  <c r="Q251" i="3"/>
  <c r="P251" i="3"/>
  <c r="O251" i="3"/>
  <c r="N251" i="3"/>
  <c r="J251" i="3"/>
  <c r="I251" i="3"/>
  <c r="H251" i="3"/>
  <c r="G251" i="3"/>
  <c r="F251" i="3"/>
  <c r="E251" i="3"/>
  <c r="D251" i="3"/>
  <c r="C251" i="3"/>
  <c r="B251" i="3"/>
  <c r="A251" i="3"/>
  <c r="U250" i="3"/>
  <c r="T250" i="3"/>
  <c r="S250" i="3"/>
  <c r="R250" i="3"/>
  <c r="Q250" i="3"/>
  <c r="P250" i="3"/>
  <c r="O250" i="3"/>
  <c r="N250" i="3"/>
  <c r="J250" i="3"/>
  <c r="I250" i="3"/>
  <c r="H250" i="3"/>
  <c r="G250" i="3"/>
  <c r="F250" i="3"/>
  <c r="E250" i="3"/>
  <c r="D250" i="3"/>
  <c r="C250" i="3"/>
  <c r="B250" i="3"/>
  <c r="A250" i="3"/>
  <c r="U249" i="3"/>
  <c r="T249" i="3"/>
  <c r="S249" i="3"/>
  <c r="R249" i="3"/>
  <c r="Q249" i="3"/>
  <c r="P249" i="3"/>
  <c r="O249" i="3"/>
  <c r="N249" i="3"/>
  <c r="J249" i="3"/>
  <c r="I249" i="3"/>
  <c r="H249" i="3"/>
  <c r="G249" i="3"/>
  <c r="F249" i="3"/>
  <c r="E249" i="3"/>
  <c r="D249" i="3"/>
  <c r="C249" i="3"/>
  <c r="B249" i="3"/>
  <c r="A249" i="3"/>
  <c r="U248" i="3"/>
  <c r="T248" i="3"/>
  <c r="S248" i="3"/>
  <c r="R248" i="3"/>
  <c r="Q248" i="3"/>
  <c r="P248" i="3"/>
  <c r="O248" i="3"/>
  <c r="N248" i="3"/>
  <c r="J248" i="3"/>
  <c r="I248" i="3"/>
  <c r="H248" i="3"/>
  <c r="G248" i="3"/>
  <c r="F248" i="3"/>
  <c r="E248" i="3"/>
  <c r="D248" i="3"/>
  <c r="C248" i="3"/>
  <c r="B248" i="3"/>
  <c r="A248" i="3"/>
  <c r="U247" i="3"/>
  <c r="T247" i="3"/>
  <c r="S247" i="3"/>
  <c r="R247" i="3"/>
  <c r="Q247" i="3"/>
  <c r="P247" i="3"/>
  <c r="O247" i="3"/>
  <c r="N247" i="3"/>
  <c r="J247" i="3"/>
  <c r="I247" i="3"/>
  <c r="H247" i="3"/>
  <c r="G247" i="3"/>
  <c r="F247" i="3"/>
  <c r="E247" i="3"/>
  <c r="D247" i="3"/>
  <c r="C247" i="3"/>
  <c r="B247" i="3"/>
  <c r="A247" i="3"/>
  <c r="U246" i="3"/>
  <c r="T246" i="3"/>
  <c r="S246" i="3"/>
  <c r="R246" i="3"/>
  <c r="Q246" i="3"/>
  <c r="P246" i="3"/>
  <c r="O246" i="3"/>
  <c r="N246" i="3"/>
  <c r="J246" i="3"/>
  <c r="I246" i="3"/>
  <c r="H246" i="3"/>
  <c r="G246" i="3"/>
  <c r="F246" i="3"/>
  <c r="E246" i="3"/>
  <c r="D246" i="3"/>
  <c r="C246" i="3"/>
  <c r="B246" i="3"/>
  <c r="A246" i="3"/>
  <c r="U245" i="3"/>
  <c r="T245" i="3"/>
  <c r="S245" i="3"/>
  <c r="R245" i="3"/>
  <c r="Q245" i="3"/>
  <c r="P245" i="3"/>
  <c r="O245" i="3"/>
  <c r="N245" i="3"/>
  <c r="J245" i="3"/>
  <c r="I245" i="3"/>
  <c r="H245" i="3"/>
  <c r="G245" i="3"/>
  <c r="F245" i="3"/>
  <c r="E245" i="3"/>
  <c r="D245" i="3"/>
  <c r="C245" i="3"/>
  <c r="B245" i="3"/>
  <c r="A245" i="3"/>
  <c r="U244" i="3"/>
  <c r="T244" i="3"/>
  <c r="S244" i="3"/>
  <c r="R244" i="3"/>
  <c r="Q244" i="3"/>
  <c r="P244" i="3"/>
  <c r="O244" i="3"/>
  <c r="N244" i="3"/>
  <c r="J244" i="3"/>
  <c r="I244" i="3"/>
  <c r="H244" i="3"/>
  <c r="G244" i="3"/>
  <c r="F244" i="3"/>
  <c r="E244" i="3"/>
  <c r="D244" i="3"/>
  <c r="C244" i="3"/>
  <c r="B244" i="3"/>
  <c r="A244" i="3"/>
  <c r="U243" i="3"/>
  <c r="T243" i="3"/>
  <c r="S243" i="3"/>
  <c r="R243" i="3"/>
  <c r="Q243" i="3"/>
  <c r="P243" i="3"/>
  <c r="O243" i="3"/>
  <c r="N243" i="3"/>
  <c r="J243" i="3"/>
  <c r="I243" i="3"/>
  <c r="H243" i="3"/>
  <c r="G243" i="3"/>
  <c r="F243" i="3"/>
  <c r="E243" i="3"/>
  <c r="D243" i="3"/>
  <c r="C243" i="3"/>
  <c r="B243" i="3"/>
  <c r="A243" i="3"/>
  <c r="U242" i="3"/>
  <c r="T242" i="3"/>
  <c r="S242" i="3"/>
  <c r="R242" i="3"/>
  <c r="Q242" i="3"/>
  <c r="P242" i="3"/>
  <c r="O242" i="3"/>
  <c r="N242" i="3"/>
  <c r="J242" i="3"/>
  <c r="I242" i="3"/>
  <c r="H242" i="3"/>
  <c r="G242" i="3"/>
  <c r="F242" i="3"/>
  <c r="E242" i="3"/>
  <c r="D242" i="3"/>
  <c r="C242" i="3"/>
  <c r="B242" i="3"/>
  <c r="A242" i="3"/>
  <c r="U241" i="3"/>
  <c r="T241" i="3"/>
  <c r="S241" i="3"/>
  <c r="R241" i="3"/>
  <c r="Q241" i="3"/>
  <c r="P241" i="3"/>
  <c r="O241" i="3"/>
  <c r="N241" i="3"/>
  <c r="J241" i="3"/>
  <c r="I241" i="3"/>
  <c r="H241" i="3"/>
  <c r="G241" i="3"/>
  <c r="F241" i="3"/>
  <c r="E241" i="3"/>
  <c r="D241" i="3"/>
  <c r="C241" i="3"/>
  <c r="B241" i="3"/>
  <c r="A241" i="3"/>
  <c r="U240" i="3"/>
  <c r="T240" i="3"/>
  <c r="S240" i="3"/>
  <c r="R240" i="3"/>
  <c r="Q240" i="3"/>
  <c r="P240" i="3"/>
  <c r="O240" i="3"/>
  <c r="N240" i="3"/>
  <c r="J240" i="3"/>
  <c r="I240" i="3"/>
  <c r="H240" i="3"/>
  <c r="G240" i="3"/>
  <c r="F240" i="3"/>
  <c r="E240" i="3"/>
  <c r="D240" i="3"/>
  <c r="C240" i="3"/>
  <c r="B240" i="3"/>
  <c r="A240" i="3"/>
  <c r="U239" i="3"/>
  <c r="T239" i="3"/>
  <c r="S239" i="3"/>
  <c r="R239" i="3"/>
  <c r="Q239" i="3"/>
  <c r="P239" i="3"/>
  <c r="O239" i="3"/>
  <c r="N239" i="3"/>
  <c r="J239" i="3"/>
  <c r="I239" i="3"/>
  <c r="H239" i="3"/>
  <c r="G239" i="3"/>
  <c r="F239" i="3"/>
  <c r="E239" i="3"/>
  <c r="D239" i="3"/>
  <c r="C239" i="3"/>
  <c r="B239" i="3"/>
  <c r="A239" i="3"/>
  <c r="U238" i="3"/>
  <c r="T238" i="3"/>
  <c r="S238" i="3"/>
  <c r="R238" i="3"/>
  <c r="Q238" i="3"/>
  <c r="P238" i="3"/>
  <c r="O238" i="3"/>
  <c r="N238" i="3"/>
  <c r="J238" i="3"/>
  <c r="I238" i="3"/>
  <c r="H238" i="3"/>
  <c r="G238" i="3"/>
  <c r="F238" i="3"/>
  <c r="E238" i="3"/>
  <c r="D238" i="3"/>
  <c r="C238" i="3"/>
  <c r="B238" i="3"/>
  <c r="A238" i="3"/>
  <c r="U237" i="3"/>
  <c r="T237" i="3"/>
  <c r="S237" i="3"/>
  <c r="R237" i="3"/>
  <c r="Q237" i="3"/>
  <c r="P237" i="3"/>
  <c r="O237" i="3"/>
  <c r="N237" i="3"/>
  <c r="J237" i="3"/>
  <c r="I237" i="3"/>
  <c r="H237" i="3"/>
  <c r="G237" i="3"/>
  <c r="F237" i="3"/>
  <c r="E237" i="3"/>
  <c r="D237" i="3"/>
  <c r="C237" i="3"/>
  <c r="B237" i="3"/>
  <c r="A237" i="3"/>
  <c r="U236" i="3"/>
  <c r="T236" i="3"/>
  <c r="S236" i="3"/>
  <c r="R236" i="3"/>
  <c r="Q236" i="3"/>
  <c r="P236" i="3"/>
  <c r="O236" i="3"/>
  <c r="N236" i="3"/>
  <c r="J236" i="3"/>
  <c r="I236" i="3"/>
  <c r="H236" i="3"/>
  <c r="G236" i="3"/>
  <c r="F236" i="3"/>
  <c r="E236" i="3"/>
  <c r="D236" i="3"/>
  <c r="C236" i="3"/>
  <c r="B236" i="3"/>
  <c r="A236" i="3"/>
  <c r="U235" i="3"/>
  <c r="T235" i="3"/>
  <c r="S235" i="3"/>
  <c r="R235" i="3"/>
  <c r="Q235" i="3"/>
  <c r="P235" i="3"/>
  <c r="O235" i="3"/>
  <c r="N235" i="3"/>
  <c r="J235" i="3"/>
  <c r="I235" i="3"/>
  <c r="H235" i="3"/>
  <c r="G235" i="3"/>
  <c r="F235" i="3"/>
  <c r="E235" i="3"/>
  <c r="D235" i="3"/>
  <c r="C235" i="3"/>
  <c r="B235" i="3"/>
  <c r="A235" i="3"/>
  <c r="U234" i="3"/>
  <c r="T234" i="3"/>
  <c r="S234" i="3"/>
  <c r="R234" i="3"/>
  <c r="Q234" i="3"/>
  <c r="P234" i="3"/>
  <c r="O234" i="3"/>
  <c r="N234" i="3"/>
  <c r="J234" i="3"/>
  <c r="I234" i="3"/>
  <c r="H234" i="3"/>
  <c r="G234" i="3"/>
  <c r="F234" i="3"/>
  <c r="E234" i="3"/>
  <c r="D234" i="3"/>
  <c r="C234" i="3"/>
  <c r="B234" i="3"/>
  <c r="A234" i="3"/>
  <c r="U233" i="3"/>
  <c r="T233" i="3"/>
  <c r="S233" i="3"/>
  <c r="R233" i="3"/>
  <c r="Q233" i="3"/>
  <c r="P233" i="3"/>
  <c r="O233" i="3"/>
  <c r="N233" i="3"/>
  <c r="J233" i="3"/>
  <c r="I233" i="3"/>
  <c r="H233" i="3"/>
  <c r="G233" i="3"/>
  <c r="F233" i="3"/>
  <c r="E233" i="3"/>
  <c r="D233" i="3"/>
  <c r="C233" i="3"/>
  <c r="B233" i="3"/>
  <c r="A233" i="3"/>
  <c r="U232" i="3"/>
  <c r="T232" i="3"/>
  <c r="S232" i="3"/>
  <c r="R232" i="3"/>
  <c r="Q232" i="3"/>
  <c r="P232" i="3"/>
  <c r="O232" i="3"/>
  <c r="N232" i="3"/>
  <c r="J232" i="3"/>
  <c r="I232" i="3"/>
  <c r="H232" i="3"/>
  <c r="G232" i="3"/>
  <c r="F232" i="3"/>
  <c r="E232" i="3"/>
  <c r="D232" i="3"/>
  <c r="C232" i="3"/>
  <c r="B232" i="3"/>
  <c r="A232" i="3"/>
  <c r="U231" i="3"/>
  <c r="T231" i="3"/>
  <c r="S231" i="3"/>
  <c r="R231" i="3"/>
  <c r="Q231" i="3"/>
  <c r="P231" i="3"/>
  <c r="O231" i="3"/>
  <c r="N231" i="3"/>
  <c r="J231" i="3"/>
  <c r="I231" i="3"/>
  <c r="H231" i="3"/>
  <c r="G231" i="3"/>
  <c r="F231" i="3"/>
  <c r="E231" i="3"/>
  <c r="D231" i="3"/>
  <c r="C231" i="3"/>
  <c r="B231" i="3"/>
  <c r="A231" i="3"/>
  <c r="U230" i="3"/>
  <c r="T230" i="3"/>
  <c r="S230" i="3"/>
  <c r="R230" i="3"/>
  <c r="Q230" i="3"/>
  <c r="P230" i="3"/>
  <c r="O230" i="3"/>
  <c r="N230" i="3"/>
  <c r="J230" i="3"/>
  <c r="I230" i="3"/>
  <c r="H230" i="3"/>
  <c r="G230" i="3"/>
  <c r="F230" i="3"/>
  <c r="E230" i="3"/>
  <c r="D230" i="3"/>
  <c r="C230" i="3"/>
  <c r="B230" i="3"/>
  <c r="A230" i="3"/>
  <c r="U229" i="3"/>
  <c r="T229" i="3"/>
  <c r="S229" i="3"/>
  <c r="R229" i="3"/>
  <c r="Q229" i="3"/>
  <c r="P229" i="3"/>
  <c r="O229" i="3"/>
  <c r="N229" i="3"/>
  <c r="J229" i="3"/>
  <c r="I229" i="3"/>
  <c r="H229" i="3"/>
  <c r="G229" i="3"/>
  <c r="F229" i="3"/>
  <c r="E229" i="3"/>
  <c r="D229" i="3"/>
  <c r="C229" i="3"/>
  <c r="B229" i="3"/>
  <c r="A229" i="3"/>
  <c r="U228" i="3"/>
  <c r="T228" i="3"/>
  <c r="S228" i="3"/>
  <c r="R228" i="3"/>
  <c r="Q228" i="3"/>
  <c r="P228" i="3"/>
  <c r="O228" i="3"/>
  <c r="N228" i="3"/>
  <c r="J228" i="3"/>
  <c r="I228" i="3"/>
  <c r="H228" i="3"/>
  <c r="G228" i="3"/>
  <c r="F228" i="3"/>
  <c r="E228" i="3"/>
  <c r="D228" i="3"/>
  <c r="C228" i="3"/>
  <c r="B228" i="3"/>
  <c r="A228" i="3"/>
  <c r="U227" i="3"/>
  <c r="T227" i="3"/>
  <c r="S227" i="3"/>
  <c r="R227" i="3"/>
  <c r="Q227" i="3"/>
  <c r="P227" i="3"/>
  <c r="O227" i="3"/>
  <c r="N227" i="3"/>
  <c r="J227" i="3"/>
  <c r="I227" i="3"/>
  <c r="H227" i="3"/>
  <c r="G227" i="3"/>
  <c r="F227" i="3"/>
  <c r="E227" i="3"/>
  <c r="D227" i="3"/>
  <c r="C227" i="3"/>
  <c r="B227" i="3"/>
  <c r="A227" i="3"/>
  <c r="U226" i="3"/>
  <c r="T226" i="3"/>
  <c r="S226" i="3"/>
  <c r="R226" i="3"/>
  <c r="Q226" i="3"/>
  <c r="P226" i="3"/>
  <c r="O226" i="3"/>
  <c r="N226" i="3"/>
  <c r="J226" i="3"/>
  <c r="I226" i="3"/>
  <c r="H226" i="3"/>
  <c r="G226" i="3"/>
  <c r="F226" i="3"/>
  <c r="E226" i="3"/>
  <c r="D226" i="3"/>
  <c r="C226" i="3"/>
  <c r="B226" i="3"/>
  <c r="A226" i="3"/>
  <c r="U225" i="3"/>
  <c r="T225" i="3"/>
  <c r="S225" i="3"/>
  <c r="R225" i="3"/>
  <c r="Q225" i="3"/>
  <c r="P225" i="3"/>
  <c r="O225" i="3"/>
  <c r="N225" i="3"/>
  <c r="J225" i="3"/>
  <c r="I225" i="3"/>
  <c r="H225" i="3"/>
  <c r="G225" i="3"/>
  <c r="F225" i="3"/>
  <c r="E225" i="3"/>
  <c r="D225" i="3"/>
  <c r="C225" i="3"/>
  <c r="B225" i="3"/>
  <c r="A225" i="3"/>
  <c r="U224" i="3"/>
  <c r="T224" i="3"/>
  <c r="S224" i="3"/>
  <c r="R224" i="3"/>
  <c r="Q224" i="3"/>
  <c r="P224" i="3"/>
  <c r="O224" i="3"/>
  <c r="N224" i="3"/>
  <c r="J224" i="3"/>
  <c r="I224" i="3"/>
  <c r="H224" i="3"/>
  <c r="G224" i="3"/>
  <c r="F224" i="3"/>
  <c r="E224" i="3"/>
  <c r="D224" i="3"/>
  <c r="C224" i="3"/>
  <c r="B224" i="3"/>
  <c r="A224" i="3"/>
  <c r="U223" i="3"/>
  <c r="T223" i="3"/>
  <c r="S223" i="3"/>
  <c r="R223" i="3"/>
  <c r="Q223" i="3"/>
  <c r="P223" i="3"/>
  <c r="O223" i="3"/>
  <c r="N223" i="3"/>
  <c r="J223" i="3"/>
  <c r="I223" i="3"/>
  <c r="H223" i="3"/>
  <c r="G223" i="3"/>
  <c r="F223" i="3"/>
  <c r="E223" i="3"/>
  <c r="D223" i="3"/>
  <c r="C223" i="3"/>
  <c r="B223" i="3"/>
  <c r="A223" i="3"/>
  <c r="U222" i="3"/>
  <c r="T222" i="3"/>
  <c r="S222" i="3"/>
  <c r="R222" i="3"/>
  <c r="Q222" i="3"/>
  <c r="P222" i="3"/>
  <c r="O222" i="3"/>
  <c r="N222" i="3"/>
  <c r="J222" i="3"/>
  <c r="I222" i="3"/>
  <c r="H222" i="3"/>
  <c r="G222" i="3"/>
  <c r="F222" i="3"/>
  <c r="E222" i="3"/>
  <c r="D222" i="3"/>
  <c r="C222" i="3"/>
  <c r="B222" i="3"/>
  <c r="A222" i="3"/>
  <c r="U221" i="3"/>
  <c r="T221" i="3"/>
  <c r="S221" i="3"/>
  <c r="R221" i="3"/>
  <c r="Q221" i="3"/>
  <c r="P221" i="3"/>
  <c r="O221" i="3"/>
  <c r="N221" i="3"/>
  <c r="J221" i="3"/>
  <c r="I221" i="3"/>
  <c r="H221" i="3"/>
  <c r="G221" i="3"/>
  <c r="F221" i="3"/>
  <c r="E221" i="3"/>
  <c r="D221" i="3"/>
  <c r="C221" i="3"/>
  <c r="B221" i="3"/>
  <c r="A221" i="3"/>
  <c r="U220" i="3"/>
  <c r="T220" i="3"/>
  <c r="S220" i="3"/>
  <c r="R220" i="3"/>
  <c r="P220" i="3"/>
  <c r="O220" i="3"/>
  <c r="N220" i="3"/>
  <c r="Q220" i="3" s="1"/>
  <c r="J220" i="3"/>
  <c r="I220" i="3"/>
  <c r="H220" i="3"/>
  <c r="G220" i="3"/>
  <c r="F220" i="3"/>
  <c r="E220" i="3"/>
  <c r="D220" i="3"/>
  <c r="C220" i="3"/>
  <c r="B220" i="3"/>
  <c r="A220" i="3"/>
  <c r="U219" i="3"/>
  <c r="T219" i="3"/>
  <c r="S219" i="3"/>
  <c r="R219" i="3"/>
  <c r="P219" i="3"/>
  <c r="O219" i="3"/>
  <c r="N219" i="3"/>
  <c r="Q219" i="3" s="1"/>
  <c r="J219" i="3"/>
  <c r="I219" i="3"/>
  <c r="H219" i="3"/>
  <c r="G219" i="3"/>
  <c r="F219" i="3"/>
  <c r="E219" i="3"/>
  <c r="D219" i="3"/>
  <c r="C219" i="3"/>
  <c r="B219" i="3"/>
  <c r="A219" i="3"/>
  <c r="U218" i="3"/>
  <c r="T218" i="3"/>
  <c r="S218" i="3"/>
  <c r="R218" i="3"/>
  <c r="Q218" i="3"/>
  <c r="P218" i="3"/>
  <c r="O218" i="3"/>
  <c r="N218" i="3"/>
  <c r="J218" i="3"/>
  <c r="I218" i="3"/>
  <c r="H218" i="3"/>
  <c r="G218" i="3"/>
  <c r="F218" i="3"/>
  <c r="E218" i="3"/>
  <c r="D218" i="3"/>
  <c r="C218" i="3"/>
  <c r="B218" i="3"/>
  <c r="A218" i="3"/>
  <c r="U217" i="3"/>
  <c r="T217" i="3"/>
  <c r="S217" i="3"/>
  <c r="R217" i="3"/>
  <c r="Q217" i="3"/>
  <c r="P217" i="3"/>
  <c r="O217" i="3"/>
  <c r="N217" i="3"/>
  <c r="J217" i="3"/>
  <c r="I217" i="3"/>
  <c r="H217" i="3"/>
  <c r="G217" i="3"/>
  <c r="F217" i="3"/>
  <c r="E217" i="3"/>
  <c r="D217" i="3"/>
  <c r="C217" i="3"/>
  <c r="B217" i="3"/>
  <c r="A217" i="3"/>
  <c r="U216" i="3"/>
  <c r="T216" i="3"/>
  <c r="S216" i="3"/>
  <c r="R216" i="3"/>
  <c r="P216" i="3"/>
  <c r="O216" i="3"/>
  <c r="N216" i="3"/>
  <c r="Q216" i="3" s="1"/>
  <c r="J216" i="3"/>
  <c r="I216" i="3"/>
  <c r="H216" i="3"/>
  <c r="G216" i="3"/>
  <c r="F216" i="3"/>
  <c r="E216" i="3"/>
  <c r="D216" i="3"/>
  <c r="C216" i="3"/>
  <c r="B216" i="3"/>
  <c r="A216" i="3"/>
  <c r="U215" i="3"/>
  <c r="T215" i="3"/>
  <c r="S215" i="3"/>
  <c r="R215" i="3"/>
  <c r="P215" i="3"/>
  <c r="O215" i="3"/>
  <c r="N215" i="3"/>
  <c r="Q215" i="3" s="1"/>
  <c r="J215" i="3"/>
  <c r="I215" i="3"/>
  <c r="H215" i="3"/>
  <c r="G215" i="3"/>
  <c r="F215" i="3"/>
  <c r="E215" i="3"/>
  <c r="D215" i="3"/>
  <c r="C215" i="3"/>
  <c r="B215" i="3"/>
  <c r="A215" i="3"/>
  <c r="U214" i="3"/>
  <c r="T214" i="3"/>
  <c r="S214" i="3"/>
  <c r="R214" i="3"/>
  <c r="Q214" i="3"/>
  <c r="P214" i="3"/>
  <c r="O214" i="3"/>
  <c r="N214" i="3"/>
  <c r="J214" i="3"/>
  <c r="I214" i="3"/>
  <c r="H214" i="3"/>
  <c r="G214" i="3"/>
  <c r="F214" i="3"/>
  <c r="E214" i="3"/>
  <c r="D214" i="3"/>
  <c r="C214" i="3"/>
  <c r="B214" i="3"/>
  <c r="A214" i="3"/>
  <c r="U213" i="3"/>
  <c r="T213" i="3"/>
  <c r="S213" i="3"/>
  <c r="R213" i="3"/>
  <c r="Q213" i="3"/>
  <c r="P213" i="3"/>
  <c r="O213" i="3"/>
  <c r="N213" i="3"/>
  <c r="J213" i="3"/>
  <c r="I213" i="3"/>
  <c r="H213" i="3"/>
  <c r="G213" i="3"/>
  <c r="F213" i="3"/>
  <c r="E213" i="3"/>
  <c r="D213" i="3"/>
  <c r="C213" i="3"/>
  <c r="B213" i="3"/>
  <c r="A213" i="3"/>
  <c r="U212" i="3"/>
  <c r="T212" i="3"/>
  <c r="S212" i="3"/>
  <c r="R212" i="3"/>
  <c r="P212" i="3"/>
  <c r="O212" i="3"/>
  <c r="N212" i="3"/>
  <c r="Q212" i="3" s="1"/>
  <c r="J212" i="3"/>
  <c r="I212" i="3"/>
  <c r="H212" i="3"/>
  <c r="G212" i="3"/>
  <c r="F212" i="3"/>
  <c r="E212" i="3"/>
  <c r="D212" i="3"/>
  <c r="C212" i="3"/>
  <c r="B212" i="3"/>
  <c r="A212" i="3"/>
  <c r="U211" i="3"/>
  <c r="T211" i="3"/>
  <c r="S211" i="3"/>
  <c r="R211" i="3"/>
  <c r="P211" i="3"/>
  <c r="O211" i="3"/>
  <c r="N211" i="3"/>
  <c r="Q211" i="3" s="1"/>
  <c r="J211" i="3"/>
  <c r="I211" i="3"/>
  <c r="H211" i="3"/>
  <c r="G211" i="3"/>
  <c r="F211" i="3"/>
  <c r="E211" i="3"/>
  <c r="D211" i="3"/>
  <c r="C211" i="3"/>
  <c r="B211" i="3"/>
  <c r="A211" i="3"/>
  <c r="U210" i="3"/>
  <c r="T210" i="3"/>
  <c r="S210" i="3"/>
  <c r="R210" i="3"/>
  <c r="Q210" i="3"/>
  <c r="P210" i="3"/>
  <c r="O210" i="3"/>
  <c r="N210" i="3"/>
  <c r="J210" i="3"/>
  <c r="I210" i="3"/>
  <c r="H210" i="3"/>
  <c r="G210" i="3"/>
  <c r="F210" i="3"/>
  <c r="E210" i="3"/>
  <c r="D210" i="3"/>
  <c r="C210" i="3"/>
  <c r="B210" i="3"/>
  <c r="A210" i="3"/>
  <c r="U209" i="3"/>
  <c r="T209" i="3"/>
  <c r="S209" i="3"/>
  <c r="R209" i="3"/>
  <c r="Q209" i="3"/>
  <c r="P209" i="3"/>
  <c r="O209" i="3"/>
  <c r="N209" i="3"/>
  <c r="J209" i="3"/>
  <c r="I209" i="3"/>
  <c r="H209" i="3"/>
  <c r="G209" i="3"/>
  <c r="F209" i="3"/>
  <c r="E209" i="3"/>
  <c r="D209" i="3"/>
  <c r="C209" i="3"/>
  <c r="B209" i="3"/>
  <c r="A209" i="3"/>
  <c r="U208" i="3"/>
  <c r="T208" i="3"/>
  <c r="S208" i="3"/>
  <c r="R208" i="3"/>
  <c r="P208" i="3"/>
  <c r="O208" i="3"/>
  <c r="N208" i="3"/>
  <c r="Q208" i="3" s="1"/>
  <c r="J208" i="3"/>
  <c r="I208" i="3"/>
  <c r="H208" i="3"/>
  <c r="G208" i="3"/>
  <c r="F208" i="3"/>
  <c r="E208" i="3"/>
  <c r="D208" i="3"/>
  <c r="C208" i="3"/>
  <c r="B208" i="3"/>
  <c r="A208" i="3"/>
  <c r="U207" i="3"/>
  <c r="T207" i="3"/>
  <c r="S207" i="3"/>
  <c r="R207" i="3"/>
  <c r="P207" i="3"/>
  <c r="O207" i="3"/>
  <c r="N207" i="3"/>
  <c r="Q207" i="3" s="1"/>
  <c r="J207" i="3"/>
  <c r="I207" i="3"/>
  <c r="H207" i="3"/>
  <c r="G207" i="3"/>
  <c r="F207" i="3"/>
  <c r="E207" i="3"/>
  <c r="D207" i="3"/>
  <c r="C207" i="3"/>
  <c r="B207" i="3"/>
  <c r="A207" i="3"/>
  <c r="U206" i="3"/>
  <c r="T206" i="3"/>
  <c r="S206" i="3"/>
  <c r="R206" i="3"/>
  <c r="Q206" i="3"/>
  <c r="P206" i="3"/>
  <c r="O206" i="3"/>
  <c r="N206" i="3"/>
  <c r="J206" i="3"/>
  <c r="I206" i="3"/>
  <c r="H206" i="3"/>
  <c r="G206" i="3"/>
  <c r="F206" i="3"/>
  <c r="E206" i="3"/>
  <c r="D206" i="3"/>
  <c r="C206" i="3"/>
  <c r="B206" i="3"/>
  <c r="A206" i="3"/>
  <c r="U205" i="3"/>
  <c r="T205" i="3"/>
  <c r="S205" i="3"/>
  <c r="R205" i="3"/>
  <c r="Q205" i="3"/>
  <c r="P205" i="3"/>
  <c r="O205" i="3"/>
  <c r="N205" i="3"/>
  <c r="J205" i="3"/>
  <c r="I205" i="3"/>
  <c r="H205" i="3"/>
  <c r="G205" i="3"/>
  <c r="F205" i="3"/>
  <c r="E205" i="3"/>
  <c r="D205" i="3"/>
  <c r="C205" i="3"/>
  <c r="B205" i="3"/>
  <c r="A205" i="3"/>
  <c r="U204" i="3"/>
  <c r="T204" i="3"/>
  <c r="S204" i="3"/>
  <c r="R204" i="3"/>
  <c r="P204" i="3"/>
  <c r="O204" i="3"/>
  <c r="N204" i="3"/>
  <c r="Q204" i="3" s="1"/>
  <c r="J204" i="3"/>
  <c r="I204" i="3"/>
  <c r="H204" i="3"/>
  <c r="G204" i="3"/>
  <c r="F204" i="3"/>
  <c r="E204" i="3"/>
  <c r="D204" i="3"/>
  <c r="C204" i="3"/>
  <c r="B204" i="3"/>
  <c r="A204" i="3"/>
  <c r="U203" i="3"/>
  <c r="T203" i="3"/>
  <c r="S203" i="3"/>
  <c r="R203" i="3"/>
  <c r="P203" i="3"/>
  <c r="O203" i="3"/>
  <c r="N203" i="3"/>
  <c r="Q203" i="3" s="1"/>
  <c r="J203" i="3"/>
  <c r="I203" i="3"/>
  <c r="H203" i="3"/>
  <c r="G203" i="3"/>
  <c r="F203" i="3"/>
  <c r="E203" i="3"/>
  <c r="D203" i="3"/>
  <c r="C203" i="3"/>
  <c r="B203" i="3"/>
  <c r="A203" i="3"/>
  <c r="U202" i="3"/>
  <c r="T202" i="3"/>
  <c r="S202" i="3"/>
  <c r="R202" i="3"/>
  <c r="Q202" i="3"/>
  <c r="P202" i="3"/>
  <c r="O202" i="3"/>
  <c r="N202" i="3"/>
  <c r="J202" i="3"/>
  <c r="I202" i="3"/>
  <c r="H202" i="3"/>
  <c r="G202" i="3"/>
  <c r="F202" i="3"/>
  <c r="E202" i="3"/>
  <c r="D202" i="3"/>
  <c r="C202" i="3"/>
  <c r="B202" i="3"/>
  <c r="A202" i="3"/>
  <c r="U201" i="3"/>
  <c r="T201" i="3"/>
  <c r="S201" i="3"/>
  <c r="R201" i="3"/>
  <c r="Q201" i="3"/>
  <c r="P201" i="3"/>
  <c r="O201" i="3"/>
  <c r="N201" i="3"/>
  <c r="J201" i="3"/>
  <c r="I201" i="3"/>
  <c r="H201" i="3"/>
  <c r="G201" i="3"/>
  <c r="F201" i="3"/>
  <c r="E201" i="3"/>
  <c r="D201" i="3"/>
  <c r="C201" i="3"/>
  <c r="B201" i="3"/>
  <c r="A201" i="3"/>
  <c r="U200" i="3"/>
  <c r="T200" i="3"/>
  <c r="S200" i="3"/>
  <c r="R200" i="3"/>
  <c r="P200" i="3"/>
  <c r="O200" i="3"/>
  <c r="N200" i="3"/>
  <c r="Q200" i="3" s="1"/>
  <c r="J200" i="3"/>
  <c r="I200" i="3"/>
  <c r="H200" i="3"/>
  <c r="G200" i="3"/>
  <c r="F200" i="3"/>
  <c r="E200" i="3"/>
  <c r="D200" i="3"/>
  <c r="C200" i="3"/>
  <c r="B200" i="3"/>
  <c r="A200" i="3"/>
  <c r="U199" i="3"/>
  <c r="T199" i="3"/>
  <c r="S199" i="3"/>
  <c r="R199" i="3"/>
  <c r="P199" i="3"/>
  <c r="O199" i="3"/>
  <c r="N199" i="3"/>
  <c r="Q199" i="3" s="1"/>
  <c r="J199" i="3"/>
  <c r="I199" i="3"/>
  <c r="H199" i="3"/>
  <c r="G199" i="3"/>
  <c r="F199" i="3"/>
  <c r="E199" i="3"/>
  <c r="D199" i="3"/>
  <c r="C199" i="3"/>
  <c r="B199" i="3"/>
  <c r="A199" i="3"/>
  <c r="U198" i="3"/>
  <c r="T198" i="3"/>
  <c r="S198" i="3"/>
  <c r="R198" i="3"/>
  <c r="Q198" i="3"/>
  <c r="P198" i="3"/>
  <c r="O198" i="3"/>
  <c r="N198" i="3"/>
  <c r="J198" i="3"/>
  <c r="I198" i="3"/>
  <c r="H198" i="3"/>
  <c r="G198" i="3"/>
  <c r="F198" i="3"/>
  <c r="E198" i="3"/>
  <c r="D198" i="3"/>
  <c r="C198" i="3"/>
  <c r="B198" i="3"/>
  <c r="A198" i="3"/>
  <c r="U197" i="3"/>
  <c r="T197" i="3"/>
  <c r="S197" i="3"/>
  <c r="R197" i="3"/>
  <c r="Q197" i="3"/>
  <c r="P197" i="3"/>
  <c r="O197" i="3"/>
  <c r="N197" i="3"/>
  <c r="J197" i="3"/>
  <c r="I197" i="3"/>
  <c r="H197" i="3"/>
  <c r="G197" i="3"/>
  <c r="F197" i="3"/>
  <c r="E197" i="3"/>
  <c r="D197" i="3"/>
  <c r="C197" i="3"/>
  <c r="B197" i="3"/>
  <c r="A197" i="3"/>
  <c r="U196" i="3"/>
  <c r="T196" i="3"/>
  <c r="S196" i="3"/>
  <c r="R196" i="3"/>
  <c r="P196" i="3"/>
  <c r="O196" i="3"/>
  <c r="N196" i="3"/>
  <c r="Q196" i="3" s="1"/>
  <c r="J196" i="3"/>
  <c r="I196" i="3"/>
  <c r="H196" i="3"/>
  <c r="G196" i="3"/>
  <c r="F196" i="3"/>
  <c r="E196" i="3"/>
  <c r="D196" i="3"/>
  <c r="C196" i="3"/>
  <c r="B196" i="3"/>
  <c r="A196" i="3"/>
  <c r="U195" i="3"/>
  <c r="T195" i="3"/>
  <c r="S195" i="3"/>
  <c r="R195" i="3"/>
  <c r="P195" i="3"/>
  <c r="O195" i="3"/>
  <c r="N195" i="3"/>
  <c r="Q195" i="3" s="1"/>
  <c r="J195" i="3"/>
  <c r="I195" i="3"/>
  <c r="H195" i="3"/>
  <c r="G195" i="3"/>
  <c r="F195" i="3"/>
  <c r="E195" i="3"/>
  <c r="D195" i="3"/>
  <c r="C195" i="3"/>
  <c r="B195" i="3"/>
  <c r="A195" i="3"/>
  <c r="U194" i="3"/>
  <c r="T194" i="3"/>
  <c r="S194" i="3"/>
  <c r="R194" i="3"/>
  <c r="Q194" i="3"/>
  <c r="P194" i="3"/>
  <c r="O194" i="3"/>
  <c r="N194" i="3"/>
  <c r="J194" i="3"/>
  <c r="I194" i="3"/>
  <c r="H194" i="3"/>
  <c r="G194" i="3"/>
  <c r="F194" i="3"/>
  <c r="E194" i="3"/>
  <c r="D194" i="3"/>
  <c r="C194" i="3"/>
  <c r="B194" i="3"/>
  <c r="A194" i="3"/>
  <c r="U193" i="3"/>
  <c r="T193" i="3"/>
  <c r="S193" i="3"/>
  <c r="R193" i="3"/>
  <c r="Q193" i="3"/>
  <c r="P193" i="3"/>
  <c r="O193" i="3"/>
  <c r="N193" i="3"/>
  <c r="J193" i="3"/>
  <c r="I193" i="3"/>
  <c r="H193" i="3"/>
  <c r="G193" i="3"/>
  <c r="F193" i="3"/>
  <c r="E193" i="3"/>
  <c r="D193" i="3"/>
  <c r="C193" i="3"/>
  <c r="B193" i="3"/>
  <c r="A193" i="3"/>
  <c r="U192" i="3"/>
  <c r="T192" i="3"/>
  <c r="S192" i="3"/>
  <c r="R192" i="3"/>
  <c r="P192" i="3"/>
  <c r="O192" i="3"/>
  <c r="N192" i="3"/>
  <c r="J192" i="3"/>
  <c r="I192" i="3"/>
  <c r="H192" i="3"/>
  <c r="G192" i="3"/>
  <c r="F192" i="3"/>
  <c r="E192" i="3"/>
  <c r="D192" i="3"/>
  <c r="C192" i="3"/>
  <c r="B192" i="3"/>
  <c r="A192" i="3"/>
  <c r="U191" i="3"/>
  <c r="T191" i="3"/>
  <c r="S191" i="3"/>
  <c r="R191" i="3"/>
  <c r="P191" i="3"/>
  <c r="O191" i="3"/>
  <c r="Q191" i="3" s="1"/>
  <c r="N191" i="3"/>
  <c r="J191" i="3"/>
  <c r="I191" i="3"/>
  <c r="H191" i="3"/>
  <c r="G191" i="3"/>
  <c r="F191" i="3"/>
  <c r="E191" i="3"/>
  <c r="D191" i="3"/>
  <c r="C191" i="3"/>
  <c r="B191" i="3"/>
  <c r="A191" i="3"/>
  <c r="U190" i="3"/>
  <c r="T190" i="3"/>
  <c r="S190" i="3"/>
  <c r="R190" i="3"/>
  <c r="P190" i="3"/>
  <c r="O190" i="3"/>
  <c r="N190" i="3"/>
  <c r="Q190" i="3" s="1"/>
  <c r="J190" i="3"/>
  <c r="I190" i="3"/>
  <c r="H190" i="3"/>
  <c r="G190" i="3"/>
  <c r="F190" i="3"/>
  <c r="E190" i="3"/>
  <c r="D190" i="3"/>
  <c r="C190" i="3"/>
  <c r="B190" i="3"/>
  <c r="A190" i="3"/>
  <c r="U189" i="3"/>
  <c r="T189" i="3"/>
  <c r="S189" i="3"/>
  <c r="R189" i="3"/>
  <c r="P189" i="3"/>
  <c r="O189" i="3"/>
  <c r="N189" i="3"/>
  <c r="Q189" i="3" s="1"/>
  <c r="J189" i="3"/>
  <c r="I189" i="3"/>
  <c r="H189" i="3"/>
  <c r="G189" i="3"/>
  <c r="F189" i="3"/>
  <c r="E189" i="3"/>
  <c r="D189" i="3"/>
  <c r="C189" i="3"/>
  <c r="B189" i="3"/>
  <c r="A189" i="3"/>
  <c r="U188" i="3"/>
  <c r="T188" i="3"/>
  <c r="S188" i="3"/>
  <c r="R188" i="3"/>
  <c r="P188" i="3"/>
  <c r="O188" i="3"/>
  <c r="N188" i="3"/>
  <c r="Q188" i="3" s="1"/>
  <c r="J188" i="3"/>
  <c r="I188" i="3"/>
  <c r="H188" i="3"/>
  <c r="G188" i="3"/>
  <c r="F188" i="3"/>
  <c r="E188" i="3"/>
  <c r="D188" i="3"/>
  <c r="C188" i="3"/>
  <c r="B188" i="3"/>
  <c r="A188" i="3"/>
  <c r="U187" i="3"/>
  <c r="T187" i="3"/>
  <c r="S187" i="3"/>
  <c r="R187" i="3"/>
  <c r="P187" i="3"/>
  <c r="O187" i="3"/>
  <c r="N187" i="3"/>
  <c r="Q187" i="3" s="1"/>
  <c r="J187" i="3"/>
  <c r="I187" i="3"/>
  <c r="H187" i="3"/>
  <c r="G187" i="3"/>
  <c r="F187" i="3"/>
  <c r="E187" i="3"/>
  <c r="D187" i="3"/>
  <c r="C187" i="3"/>
  <c r="B187" i="3"/>
  <c r="A187" i="3"/>
  <c r="U186" i="3"/>
  <c r="T186" i="3"/>
  <c r="S186" i="3"/>
  <c r="R186" i="3"/>
  <c r="P186" i="3"/>
  <c r="O186" i="3"/>
  <c r="N186" i="3"/>
  <c r="Q186" i="3" s="1"/>
  <c r="J186" i="3"/>
  <c r="I186" i="3"/>
  <c r="H186" i="3"/>
  <c r="G186" i="3"/>
  <c r="F186" i="3"/>
  <c r="E186" i="3"/>
  <c r="D186" i="3"/>
  <c r="C186" i="3"/>
  <c r="B186" i="3"/>
  <c r="A186" i="3"/>
  <c r="U185" i="3"/>
  <c r="T185" i="3"/>
  <c r="S185" i="3"/>
  <c r="R185" i="3"/>
  <c r="P185" i="3"/>
  <c r="O185" i="3"/>
  <c r="N185" i="3"/>
  <c r="Q185" i="3" s="1"/>
  <c r="J185" i="3"/>
  <c r="I185" i="3"/>
  <c r="H185" i="3"/>
  <c r="G185" i="3"/>
  <c r="F185" i="3"/>
  <c r="E185" i="3"/>
  <c r="D185" i="3"/>
  <c r="C185" i="3"/>
  <c r="B185" i="3"/>
  <c r="A185" i="3"/>
  <c r="U184" i="3"/>
  <c r="T184" i="3"/>
  <c r="S184" i="3"/>
  <c r="R184" i="3"/>
  <c r="P184" i="3"/>
  <c r="O184" i="3"/>
  <c r="N184" i="3"/>
  <c r="Q184" i="3" s="1"/>
  <c r="J184" i="3"/>
  <c r="I184" i="3"/>
  <c r="H184" i="3"/>
  <c r="G184" i="3"/>
  <c r="F184" i="3"/>
  <c r="E184" i="3"/>
  <c r="D184" i="3"/>
  <c r="C184" i="3"/>
  <c r="B184" i="3"/>
  <c r="A184" i="3"/>
  <c r="U183" i="3"/>
  <c r="T183" i="3"/>
  <c r="S183" i="3"/>
  <c r="R183" i="3"/>
  <c r="P183" i="3"/>
  <c r="O183" i="3"/>
  <c r="N183" i="3"/>
  <c r="Q183" i="3" s="1"/>
  <c r="J183" i="3"/>
  <c r="I183" i="3"/>
  <c r="H183" i="3"/>
  <c r="G183" i="3"/>
  <c r="F183" i="3"/>
  <c r="E183" i="3"/>
  <c r="D183" i="3"/>
  <c r="C183" i="3"/>
  <c r="B183" i="3"/>
  <c r="A183" i="3"/>
  <c r="U182" i="3"/>
  <c r="T182" i="3"/>
  <c r="S182" i="3"/>
  <c r="R182" i="3"/>
  <c r="P182" i="3"/>
  <c r="O182" i="3"/>
  <c r="N182" i="3"/>
  <c r="Q182" i="3" s="1"/>
  <c r="J182" i="3"/>
  <c r="I182" i="3"/>
  <c r="H182" i="3"/>
  <c r="G182" i="3"/>
  <c r="F182" i="3"/>
  <c r="E182" i="3"/>
  <c r="D182" i="3"/>
  <c r="C182" i="3"/>
  <c r="B182" i="3"/>
  <c r="A182" i="3"/>
  <c r="U181" i="3"/>
  <c r="T181" i="3"/>
  <c r="S181" i="3"/>
  <c r="R181" i="3"/>
  <c r="P181" i="3"/>
  <c r="O181" i="3"/>
  <c r="N181" i="3"/>
  <c r="Q181" i="3" s="1"/>
  <c r="J181" i="3"/>
  <c r="I181" i="3"/>
  <c r="H181" i="3"/>
  <c r="G181" i="3"/>
  <c r="F181" i="3"/>
  <c r="E181" i="3"/>
  <c r="D181" i="3"/>
  <c r="C181" i="3"/>
  <c r="B181" i="3"/>
  <c r="A181" i="3"/>
  <c r="U180" i="3"/>
  <c r="T180" i="3"/>
  <c r="S180" i="3"/>
  <c r="R180" i="3"/>
  <c r="P180" i="3"/>
  <c r="O180" i="3"/>
  <c r="N180" i="3"/>
  <c r="Q180" i="3" s="1"/>
  <c r="J180" i="3"/>
  <c r="I180" i="3"/>
  <c r="H180" i="3"/>
  <c r="G180" i="3"/>
  <c r="F180" i="3"/>
  <c r="E180" i="3"/>
  <c r="D180" i="3"/>
  <c r="C180" i="3"/>
  <c r="B180" i="3"/>
  <c r="A180" i="3"/>
  <c r="U179" i="3"/>
  <c r="T179" i="3"/>
  <c r="S179" i="3"/>
  <c r="R179" i="3"/>
  <c r="P179" i="3"/>
  <c r="O179" i="3"/>
  <c r="N179" i="3"/>
  <c r="Q179" i="3" s="1"/>
  <c r="J179" i="3"/>
  <c r="I179" i="3"/>
  <c r="H179" i="3"/>
  <c r="G179" i="3"/>
  <c r="F179" i="3"/>
  <c r="E179" i="3"/>
  <c r="D179" i="3"/>
  <c r="C179" i="3"/>
  <c r="B179" i="3"/>
  <c r="A179" i="3"/>
  <c r="U178" i="3"/>
  <c r="T178" i="3"/>
  <c r="S178" i="3"/>
  <c r="R178" i="3"/>
  <c r="P178" i="3"/>
  <c r="O178" i="3"/>
  <c r="N178" i="3"/>
  <c r="Q178" i="3" s="1"/>
  <c r="J178" i="3"/>
  <c r="I178" i="3"/>
  <c r="H178" i="3"/>
  <c r="G178" i="3"/>
  <c r="F178" i="3"/>
  <c r="E178" i="3"/>
  <c r="D178" i="3"/>
  <c r="C178" i="3"/>
  <c r="B178" i="3"/>
  <c r="A178" i="3"/>
  <c r="U177" i="3"/>
  <c r="T177" i="3"/>
  <c r="S177" i="3"/>
  <c r="R177" i="3"/>
  <c r="P177" i="3"/>
  <c r="O177" i="3"/>
  <c r="N177" i="3"/>
  <c r="Q177" i="3" s="1"/>
  <c r="J177" i="3"/>
  <c r="I177" i="3"/>
  <c r="H177" i="3"/>
  <c r="G177" i="3"/>
  <c r="F177" i="3"/>
  <c r="E177" i="3"/>
  <c r="D177" i="3"/>
  <c r="C177" i="3"/>
  <c r="B177" i="3"/>
  <c r="A177" i="3"/>
  <c r="U176" i="3"/>
  <c r="T176" i="3"/>
  <c r="S176" i="3"/>
  <c r="R176" i="3"/>
  <c r="P176" i="3"/>
  <c r="O176" i="3"/>
  <c r="N176" i="3"/>
  <c r="Q176" i="3" s="1"/>
  <c r="J176" i="3"/>
  <c r="I176" i="3"/>
  <c r="H176" i="3"/>
  <c r="G176" i="3"/>
  <c r="F176" i="3"/>
  <c r="E176" i="3"/>
  <c r="D176" i="3"/>
  <c r="C176" i="3"/>
  <c r="B176" i="3"/>
  <c r="A176" i="3"/>
  <c r="U175" i="3"/>
  <c r="T175" i="3"/>
  <c r="S175" i="3"/>
  <c r="R175" i="3"/>
  <c r="P175" i="3"/>
  <c r="O175" i="3"/>
  <c r="N175" i="3"/>
  <c r="Q175" i="3" s="1"/>
  <c r="J175" i="3"/>
  <c r="I175" i="3"/>
  <c r="H175" i="3"/>
  <c r="G175" i="3"/>
  <c r="F175" i="3"/>
  <c r="E175" i="3"/>
  <c r="D175" i="3"/>
  <c r="C175" i="3"/>
  <c r="B175" i="3"/>
  <c r="A175" i="3"/>
  <c r="U174" i="3"/>
  <c r="T174" i="3"/>
  <c r="S174" i="3"/>
  <c r="R174" i="3"/>
  <c r="P174" i="3"/>
  <c r="O174" i="3"/>
  <c r="N174" i="3"/>
  <c r="Q174" i="3" s="1"/>
  <c r="J174" i="3"/>
  <c r="I174" i="3"/>
  <c r="H174" i="3"/>
  <c r="G174" i="3"/>
  <c r="F174" i="3"/>
  <c r="E174" i="3"/>
  <c r="D174" i="3"/>
  <c r="C174" i="3"/>
  <c r="B174" i="3"/>
  <c r="A174" i="3"/>
  <c r="U173" i="3"/>
  <c r="T173" i="3"/>
  <c r="S173" i="3"/>
  <c r="R173" i="3"/>
  <c r="P173" i="3"/>
  <c r="O173" i="3"/>
  <c r="N173" i="3"/>
  <c r="Q173" i="3" s="1"/>
  <c r="J173" i="3"/>
  <c r="I173" i="3"/>
  <c r="H173" i="3"/>
  <c r="G173" i="3"/>
  <c r="F173" i="3"/>
  <c r="E173" i="3"/>
  <c r="D173" i="3"/>
  <c r="C173" i="3"/>
  <c r="B173" i="3"/>
  <c r="A173" i="3"/>
  <c r="U172" i="3"/>
  <c r="T172" i="3"/>
  <c r="S172" i="3"/>
  <c r="R172" i="3"/>
  <c r="P172" i="3"/>
  <c r="O172" i="3"/>
  <c r="N172" i="3"/>
  <c r="Q172" i="3" s="1"/>
  <c r="J172" i="3"/>
  <c r="I172" i="3"/>
  <c r="H172" i="3"/>
  <c r="G172" i="3"/>
  <c r="F172" i="3"/>
  <c r="E172" i="3"/>
  <c r="D172" i="3"/>
  <c r="C172" i="3"/>
  <c r="B172" i="3"/>
  <c r="A172" i="3"/>
  <c r="U171" i="3"/>
  <c r="T171" i="3"/>
  <c r="S171" i="3"/>
  <c r="R171" i="3"/>
  <c r="P171" i="3"/>
  <c r="O171" i="3"/>
  <c r="N171" i="3"/>
  <c r="Q171" i="3" s="1"/>
  <c r="J171" i="3"/>
  <c r="I171" i="3"/>
  <c r="H171" i="3"/>
  <c r="G171" i="3"/>
  <c r="F171" i="3"/>
  <c r="E171" i="3"/>
  <c r="D171" i="3"/>
  <c r="C171" i="3"/>
  <c r="B171" i="3"/>
  <c r="A171" i="3"/>
  <c r="U170" i="3"/>
  <c r="T170" i="3"/>
  <c r="S170" i="3"/>
  <c r="R170" i="3"/>
  <c r="P170" i="3"/>
  <c r="O170" i="3"/>
  <c r="N170" i="3"/>
  <c r="Q170" i="3" s="1"/>
  <c r="J170" i="3"/>
  <c r="I170" i="3"/>
  <c r="H170" i="3"/>
  <c r="G170" i="3"/>
  <c r="F170" i="3"/>
  <c r="E170" i="3"/>
  <c r="D170" i="3"/>
  <c r="C170" i="3"/>
  <c r="B170" i="3"/>
  <c r="A170" i="3"/>
  <c r="U169" i="3"/>
  <c r="T169" i="3"/>
  <c r="S169" i="3"/>
  <c r="R169" i="3"/>
  <c r="P169" i="3"/>
  <c r="O169" i="3"/>
  <c r="N169" i="3"/>
  <c r="Q169" i="3" s="1"/>
  <c r="J169" i="3"/>
  <c r="I169" i="3"/>
  <c r="H169" i="3"/>
  <c r="G169" i="3"/>
  <c r="F169" i="3"/>
  <c r="E169" i="3"/>
  <c r="D169" i="3"/>
  <c r="C169" i="3"/>
  <c r="B169" i="3"/>
  <c r="A169" i="3"/>
  <c r="U168" i="3"/>
  <c r="T168" i="3"/>
  <c r="S168" i="3"/>
  <c r="R168" i="3"/>
  <c r="P168" i="3"/>
  <c r="O168" i="3"/>
  <c r="N168" i="3"/>
  <c r="Q168" i="3" s="1"/>
  <c r="J168" i="3"/>
  <c r="I168" i="3"/>
  <c r="H168" i="3"/>
  <c r="G168" i="3"/>
  <c r="F168" i="3"/>
  <c r="E168" i="3"/>
  <c r="D168" i="3"/>
  <c r="C168" i="3"/>
  <c r="B168" i="3"/>
  <c r="A168" i="3"/>
  <c r="U167" i="3"/>
  <c r="T167" i="3"/>
  <c r="S167" i="3"/>
  <c r="R167" i="3"/>
  <c r="P167" i="3"/>
  <c r="O167" i="3"/>
  <c r="N167" i="3"/>
  <c r="Q167" i="3" s="1"/>
  <c r="J167" i="3"/>
  <c r="I167" i="3"/>
  <c r="H167" i="3"/>
  <c r="G167" i="3"/>
  <c r="F167" i="3"/>
  <c r="E167" i="3"/>
  <c r="D167" i="3"/>
  <c r="C167" i="3"/>
  <c r="B167" i="3"/>
  <c r="A167" i="3"/>
  <c r="U166" i="3"/>
  <c r="T166" i="3"/>
  <c r="S166" i="3"/>
  <c r="R166" i="3"/>
  <c r="P166" i="3"/>
  <c r="O166" i="3"/>
  <c r="N166" i="3"/>
  <c r="Q166" i="3" s="1"/>
  <c r="J166" i="3"/>
  <c r="I166" i="3"/>
  <c r="H166" i="3"/>
  <c r="G166" i="3"/>
  <c r="F166" i="3"/>
  <c r="E166" i="3"/>
  <c r="D166" i="3"/>
  <c r="C166" i="3"/>
  <c r="B166" i="3"/>
  <c r="A166" i="3"/>
  <c r="U165" i="3"/>
  <c r="T165" i="3"/>
  <c r="S165" i="3"/>
  <c r="R165" i="3"/>
  <c r="P165" i="3"/>
  <c r="O165" i="3"/>
  <c r="N165" i="3"/>
  <c r="J165" i="3"/>
  <c r="I165" i="3"/>
  <c r="H165" i="3"/>
  <c r="G165" i="3"/>
  <c r="F165" i="3"/>
  <c r="E165" i="3"/>
  <c r="D165" i="3"/>
  <c r="C165" i="3"/>
  <c r="B165" i="3"/>
  <c r="A165" i="3"/>
  <c r="U164" i="3"/>
  <c r="T164" i="3"/>
  <c r="S164" i="3"/>
  <c r="R164" i="3"/>
  <c r="P164" i="3"/>
  <c r="O164" i="3"/>
  <c r="N164" i="3"/>
  <c r="Q164" i="3" s="1"/>
  <c r="J164" i="3"/>
  <c r="I164" i="3"/>
  <c r="H164" i="3"/>
  <c r="G164" i="3"/>
  <c r="F164" i="3"/>
  <c r="E164" i="3"/>
  <c r="D164" i="3"/>
  <c r="C164" i="3"/>
  <c r="B164" i="3"/>
  <c r="A164" i="3"/>
  <c r="U163" i="3"/>
  <c r="T163" i="3"/>
  <c r="S163" i="3"/>
  <c r="R163" i="3"/>
  <c r="Q163" i="3"/>
  <c r="P163" i="3"/>
  <c r="O163" i="3"/>
  <c r="N163" i="3"/>
  <c r="J163" i="3"/>
  <c r="I163" i="3"/>
  <c r="H163" i="3"/>
  <c r="G163" i="3"/>
  <c r="F163" i="3"/>
  <c r="E163" i="3"/>
  <c r="D163" i="3"/>
  <c r="C163" i="3"/>
  <c r="B163" i="3"/>
  <c r="A163" i="3"/>
  <c r="U162" i="3"/>
  <c r="T162" i="3"/>
  <c r="S162" i="3"/>
  <c r="R162" i="3"/>
  <c r="P162" i="3"/>
  <c r="O162" i="3"/>
  <c r="N162" i="3"/>
  <c r="Q162" i="3" s="1"/>
  <c r="J162" i="3"/>
  <c r="I162" i="3"/>
  <c r="H162" i="3"/>
  <c r="G162" i="3"/>
  <c r="F162" i="3"/>
  <c r="E162" i="3"/>
  <c r="D162" i="3"/>
  <c r="C162" i="3"/>
  <c r="B162" i="3"/>
  <c r="A162" i="3"/>
  <c r="U161" i="3"/>
  <c r="T161" i="3"/>
  <c r="S161" i="3"/>
  <c r="R161" i="3"/>
  <c r="P161" i="3"/>
  <c r="O161" i="3"/>
  <c r="N161" i="3"/>
  <c r="Q161" i="3" s="1"/>
  <c r="J161" i="3"/>
  <c r="I161" i="3"/>
  <c r="H161" i="3"/>
  <c r="G161" i="3"/>
  <c r="F161" i="3"/>
  <c r="E161" i="3"/>
  <c r="D161" i="3"/>
  <c r="C161" i="3"/>
  <c r="B161" i="3"/>
  <c r="A161" i="3"/>
  <c r="U160" i="3"/>
  <c r="T160" i="3"/>
  <c r="S160" i="3"/>
  <c r="R160" i="3"/>
  <c r="P160" i="3"/>
  <c r="O160" i="3"/>
  <c r="N160" i="3"/>
  <c r="Q160" i="3" s="1"/>
  <c r="J160" i="3"/>
  <c r="I160" i="3"/>
  <c r="H160" i="3"/>
  <c r="G160" i="3"/>
  <c r="F160" i="3"/>
  <c r="E160" i="3"/>
  <c r="D160" i="3"/>
  <c r="C160" i="3"/>
  <c r="B160" i="3"/>
  <c r="A160" i="3"/>
  <c r="U159" i="3"/>
  <c r="T159" i="3"/>
  <c r="S159" i="3"/>
  <c r="R159" i="3"/>
  <c r="P159" i="3"/>
  <c r="O159" i="3"/>
  <c r="N159" i="3"/>
  <c r="Q159" i="3" s="1"/>
  <c r="J159" i="3"/>
  <c r="I159" i="3"/>
  <c r="H159" i="3"/>
  <c r="G159" i="3"/>
  <c r="F159" i="3"/>
  <c r="E159" i="3"/>
  <c r="D159" i="3"/>
  <c r="C159" i="3"/>
  <c r="B159" i="3"/>
  <c r="A159" i="3"/>
  <c r="U158" i="3"/>
  <c r="T158" i="3"/>
  <c r="S158" i="3"/>
  <c r="R158" i="3"/>
  <c r="P158" i="3"/>
  <c r="O158" i="3"/>
  <c r="N158" i="3"/>
  <c r="Q158" i="3" s="1"/>
  <c r="J158" i="3"/>
  <c r="I158" i="3"/>
  <c r="H158" i="3"/>
  <c r="G158" i="3"/>
  <c r="F158" i="3"/>
  <c r="E158" i="3"/>
  <c r="D158" i="3"/>
  <c r="C158" i="3"/>
  <c r="B158" i="3"/>
  <c r="A158" i="3"/>
  <c r="U157" i="3"/>
  <c r="T157" i="3"/>
  <c r="S157" i="3"/>
  <c r="R157" i="3"/>
  <c r="P157" i="3"/>
  <c r="O157" i="3"/>
  <c r="N157" i="3"/>
  <c r="Q157" i="3" s="1"/>
  <c r="J157" i="3"/>
  <c r="I157" i="3"/>
  <c r="H157" i="3"/>
  <c r="G157" i="3"/>
  <c r="F157" i="3"/>
  <c r="E157" i="3"/>
  <c r="D157" i="3"/>
  <c r="C157" i="3"/>
  <c r="B157" i="3"/>
  <c r="A157" i="3"/>
  <c r="U156" i="3"/>
  <c r="T156" i="3"/>
  <c r="S156" i="3"/>
  <c r="R156" i="3"/>
  <c r="P156" i="3"/>
  <c r="O156" i="3"/>
  <c r="N156" i="3"/>
  <c r="Q156" i="3" s="1"/>
  <c r="J156" i="3"/>
  <c r="I156" i="3"/>
  <c r="H156" i="3"/>
  <c r="G156" i="3"/>
  <c r="F156" i="3"/>
  <c r="E156" i="3"/>
  <c r="D156" i="3"/>
  <c r="C156" i="3"/>
  <c r="B156" i="3"/>
  <c r="A156" i="3"/>
  <c r="U155" i="3"/>
  <c r="T155" i="3"/>
  <c r="S155" i="3"/>
  <c r="R155" i="3"/>
  <c r="P155" i="3"/>
  <c r="O155" i="3"/>
  <c r="N155" i="3"/>
  <c r="Q155" i="3" s="1"/>
  <c r="J155" i="3"/>
  <c r="I155" i="3"/>
  <c r="H155" i="3"/>
  <c r="G155" i="3"/>
  <c r="F155" i="3"/>
  <c r="E155" i="3"/>
  <c r="D155" i="3"/>
  <c r="C155" i="3"/>
  <c r="B155" i="3"/>
  <c r="A155" i="3"/>
  <c r="U154" i="3"/>
  <c r="T154" i="3"/>
  <c r="S154" i="3"/>
  <c r="R154" i="3"/>
  <c r="P154" i="3"/>
  <c r="O154" i="3"/>
  <c r="N154" i="3"/>
  <c r="Q154" i="3" s="1"/>
  <c r="J154" i="3"/>
  <c r="I154" i="3"/>
  <c r="H154" i="3"/>
  <c r="G154" i="3"/>
  <c r="F154" i="3"/>
  <c r="E154" i="3"/>
  <c r="D154" i="3"/>
  <c r="C154" i="3"/>
  <c r="B154" i="3"/>
  <c r="A154" i="3"/>
  <c r="U153" i="3"/>
  <c r="T153" i="3"/>
  <c r="S153" i="3"/>
  <c r="R153" i="3"/>
  <c r="P153" i="3"/>
  <c r="O153" i="3"/>
  <c r="N153" i="3"/>
  <c r="Q153" i="3" s="1"/>
  <c r="J153" i="3"/>
  <c r="I153" i="3"/>
  <c r="H153" i="3"/>
  <c r="G153" i="3"/>
  <c r="F153" i="3"/>
  <c r="E153" i="3"/>
  <c r="D153" i="3"/>
  <c r="C153" i="3"/>
  <c r="B153" i="3"/>
  <c r="A153" i="3"/>
  <c r="U152" i="3"/>
  <c r="T152" i="3"/>
  <c r="S152" i="3"/>
  <c r="R152" i="3"/>
  <c r="P152" i="3"/>
  <c r="O152" i="3"/>
  <c r="N152" i="3"/>
  <c r="Q152" i="3" s="1"/>
  <c r="J152" i="3"/>
  <c r="I152" i="3"/>
  <c r="H152" i="3"/>
  <c r="G152" i="3"/>
  <c r="F152" i="3"/>
  <c r="E152" i="3"/>
  <c r="D152" i="3"/>
  <c r="C152" i="3"/>
  <c r="B152" i="3"/>
  <c r="A152" i="3"/>
  <c r="U151" i="3"/>
  <c r="T151" i="3"/>
  <c r="S151" i="3"/>
  <c r="R151" i="3"/>
  <c r="P151" i="3"/>
  <c r="O151" i="3"/>
  <c r="N151" i="3"/>
  <c r="Q151" i="3" s="1"/>
  <c r="J151" i="3"/>
  <c r="I151" i="3"/>
  <c r="H151" i="3"/>
  <c r="G151" i="3"/>
  <c r="F151" i="3"/>
  <c r="E151" i="3"/>
  <c r="D151" i="3"/>
  <c r="C151" i="3"/>
  <c r="B151" i="3"/>
  <c r="A151" i="3"/>
  <c r="U150" i="3"/>
  <c r="T150" i="3"/>
  <c r="S150" i="3"/>
  <c r="R150" i="3"/>
  <c r="P150" i="3"/>
  <c r="O150" i="3"/>
  <c r="N150" i="3"/>
  <c r="Q150" i="3" s="1"/>
  <c r="J150" i="3"/>
  <c r="I150" i="3"/>
  <c r="H150" i="3"/>
  <c r="G150" i="3"/>
  <c r="F150" i="3"/>
  <c r="E150" i="3"/>
  <c r="D150" i="3"/>
  <c r="C150" i="3"/>
  <c r="B150" i="3"/>
  <c r="A150" i="3"/>
  <c r="U149" i="3"/>
  <c r="T149" i="3"/>
  <c r="S149" i="3"/>
  <c r="R149" i="3"/>
  <c r="P149" i="3"/>
  <c r="O149" i="3"/>
  <c r="N149" i="3"/>
  <c r="Q149" i="3" s="1"/>
  <c r="J149" i="3"/>
  <c r="I149" i="3"/>
  <c r="H149" i="3"/>
  <c r="G149" i="3"/>
  <c r="F149" i="3"/>
  <c r="E149" i="3"/>
  <c r="D149" i="3"/>
  <c r="C149" i="3"/>
  <c r="B149" i="3"/>
  <c r="A149" i="3"/>
  <c r="U148" i="3"/>
  <c r="T148" i="3"/>
  <c r="S148" i="3"/>
  <c r="R148" i="3"/>
  <c r="P148" i="3"/>
  <c r="O148" i="3"/>
  <c r="N148" i="3"/>
  <c r="Q148" i="3" s="1"/>
  <c r="J148" i="3"/>
  <c r="I148" i="3"/>
  <c r="H148" i="3"/>
  <c r="G148" i="3"/>
  <c r="F148" i="3"/>
  <c r="E148" i="3"/>
  <c r="D148" i="3"/>
  <c r="C148" i="3"/>
  <c r="B148" i="3"/>
  <c r="A148" i="3"/>
  <c r="U147" i="3"/>
  <c r="T147" i="3"/>
  <c r="S147" i="3"/>
  <c r="R147" i="3"/>
  <c r="P147" i="3"/>
  <c r="O147" i="3"/>
  <c r="N147" i="3"/>
  <c r="Q147" i="3" s="1"/>
  <c r="J147" i="3"/>
  <c r="I147" i="3"/>
  <c r="H147" i="3"/>
  <c r="G147" i="3"/>
  <c r="F147" i="3"/>
  <c r="E147" i="3"/>
  <c r="D147" i="3"/>
  <c r="C147" i="3"/>
  <c r="B147" i="3"/>
  <c r="A147" i="3"/>
  <c r="U146" i="3"/>
  <c r="T146" i="3"/>
  <c r="S146" i="3"/>
  <c r="R146" i="3"/>
  <c r="P146" i="3"/>
  <c r="O146" i="3"/>
  <c r="N146" i="3"/>
  <c r="Q146" i="3" s="1"/>
  <c r="J146" i="3"/>
  <c r="I146" i="3"/>
  <c r="H146" i="3"/>
  <c r="G146" i="3"/>
  <c r="F146" i="3"/>
  <c r="E146" i="3"/>
  <c r="D146" i="3"/>
  <c r="C146" i="3"/>
  <c r="B146" i="3"/>
  <c r="A146" i="3"/>
  <c r="U145" i="3"/>
  <c r="T145" i="3"/>
  <c r="S145" i="3"/>
  <c r="R145" i="3"/>
  <c r="P145" i="3"/>
  <c r="O145" i="3"/>
  <c r="N145" i="3"/>
  <c r="Q145" i="3" s="1"/>
  <c r="J145" i="3"/>
  <c r="I145" i="3"/>
  <c r="H145" i="3"/>
  <c r="G145" i="3"/>
  <c r="F145" i="3"/>
  <c r="E145" i="3"/>
  <c r="D145" i="3"/>
  <c r="C145" i="3"/>
  <c r="B145" i="3"/>
  <c r="A145" i="3"/>
  <c r="U144" i="3"/>
  <c r="T144" i="3"/>
  <c r="S144" i="3"/>
  <c r="R144" i="3"/>
  <c r="P144" i="3"/>
  <c r="O144" i="3"/>
  <c r="N144" i="3"/>
  <c r="Q144" i="3" s="1"/>
  <c r="J144" i="3"/>
  <c r="I144" i="3"/>
  <c r="H144" i="3"/>
  <c r="G144" i="3"/>
  <c r="F144" i="3"/>
  <c r="E144" i="3"/>
  <c r="D144" i="3"/>
  <c r="C144" i="3"/>
  <c r="B144" i="3"/>
  <c r="A144" i="3"/>
  <c r="U143" i="3"/>
  <c r="T143" i="3"/>
  <c r="S143" i="3"/>
  <c r="R143" i="3"/>
  <c r="P143" i="3"/>
  <c r="O143" i="3"/>
  <c r="N143" i="3"/>
  <c r="Q143" i="3" s="1"/>
  <c r="J143" i="3"/>
  <c r="I143" i="3"/>
  <c r="H143" i="3"/>
  <c r="G143" i="3"/>
  <c r="F143" i="3"/>
  <c r="E143" i="3"/>
  <c r="D143" i="3"/>
  <c r="C143" i="3"/>
  <c r="B143" i="3"/>
  <c r="A143" i="3"/>
  <c r="U142" i="3"/>
  <c r="T142" i="3"/>
  <c r="S142" i="3"/>
  <c r="R142" i="3"/>
  <c r="P142" i="3"/>
  <c r="O142" i="3"/>
  <c r="N142" i="3"/>
  <c r="Q142" i="3" s="1"/>
  <c r="J142" i="3"/>
  <c r="I142" i="3"/>
  <c r="H142" i="3"/>
  <c r="G142" i="3"/>
  <c r="F142" i="3"/>
  <c r="E142" i="3"/>
  <c r="D142" i="3"/>
  <c r="C142" i="3"/>
  <c r="B142" i="3"/>
  <c r="A142" i="3"/>
  <c r="U141" i="3"/>
  <c r="T141" i="3"/>
  <c r="S141" i="3"/>
  <c r="R141" i="3"/>
  <c r="P141" i="3"/>
  <c r="O141" i="3"/>
  <c r="N141" i="3"/>
  <c r="Q141" i="3" s="1"/>
  <c r="J141" i="3"/>
  <c r="I141" i="3"/>
  <c r="H141" i="3"/>
  <c r="G141" i="3"/>
  <c r="F141" i="3"/>
  <c r="E141" i="3"/>
  <c r="D141" i="3"/>
  <c r="C141" i="3"/>
  <c r="B141" i="3"/>
  <c r="A141" i="3"/>
  <c r="U140" i="3"/>
  <c r="T140" i="3"/>
  <c r="S140" i="3"/>
  <c r="R140" i="3"/>
  <c r="P140" i="3"/>
  <c r="O140" i="3"/>
  <c r="N140" i="3"/>
  <c r="Q140" i="3" s="1"/>
  <c r="J140" i="3"/>
  <c r="I140" i="3"/>
  <c r="H140" i="3"/>
  <c r="G140" i="3"/>
  <c r="F140" i="3"/>
  <c r="E140" i="3"/>
  <c r="D140" i="3"/>
  <c r="C140" i="3"/>
  <c r="B140" i="3"/>
  <c r="A140" i="3"/>
  <c r="U139" i="3"/>
  <c r="T139" i="3"/>
  <c r="S139" i="3"/>
  <c r="R139" i="3"/>
  <c r="P139" i="3"/>
  <c r="O139" i="3"/>
  <c r="N139" i="3"/>
  <c r="Q139" i="3" s="1"/>
  <c r="J139" i="3"/>
  <c r="I139" i="3"/>
  <c r="H139" i="3"/>
  <c r="G139" i="3"/>
  <c r="F139" i="3"/>
  <c r="E139" i="3"/>
  <c r="D139" i="3"/>
  <c r="C139" i="3"/>
  <c r="B139" i="3"/>
  <c r="A139" i="3"/>
  <c r="U138" i="3"/>
  <c r="T138" i="3"/>
  <c r="S138" i="3"/>
  <c r="R138" i="3"/>
  <c r="P138" i="3"/>
  <c r="O138" i="3"/>
  <c r="N138" i="3"/>
  <c r="Q138" i="3" s="1"/>
  <c r="J138" i="3"/>
  <c r="I138" i="3"/>
  <c r="H138" i="3"/>
  <c r="G138" i="3"/>
  <c r="F138" i="3"/>
  <c r="E138" i="3"/>
  <c r="D138" i="3"/>
  <c r="C138" i="3"/>
  <c r="B138" i="3"/>
  <c r="A138" i="3"/>
  <c r="U137" i="3"/>
  <c r="T137" i="3"/>
  <c r="S137" i="3"/>
  <c r="R137" i="3"/>
  <c r="P137" i="3"/>
  <c r="O137" i="3"/>
  <c r="N137" i="3"/>
  <c r="Q137" i="3" s="1"/>
  <c r="J137" i="3"/>
  <c r="I137" i="3"/>
  <c r="H137" i="3"/>
  <c r="G137" i="3"/>
  <c r="F137" i="3"/>
  <c r="E137" i="3"/>
  <c r="D137" i="3"/>
  <c r="C137" i="3"/>
  <c r="B137" i="3"/>
  <c r="A137" i="3"/>
  <c r="U136" i="3"/>
  <c r="T136" i="3"/>
  <c r="S136" i="3"/>
  <c r="R136" i="3"/>
  <c r="P136" i="3"/>
  <c r="O136" i="3"/>
  <c r="N136" i="3"/>
  <c r="Q136" i="3" s="1"/>
  <c r="J136" i="3"/>
  <c r="I136" i="3"/>
  <c r="H136" i="3"/>
  <c r="G136" i="3"/>
  <c r="F136" i="3"/>
  <c r="E136" i="3"/>
  <c r="D136" i="3"/>
  <c r="C136" i="3"/>
  <c r="B136" i="3"/>
  <c r="A136" i="3"/>
  <c r="U135" i="3"/>
  <c r="T135" i="3"/>
  <c r="S135" i="3"/>
  <c r="R135" i="3"/>
  <c r="P135" i="3"/>
  <c r="O135" i="3"/>
  <c r="N135" i="3"/>
  <c r="Q135" i="3" s="1"/>
  <c r="J135" i="3"/>
  <c r="I135" i="3"/>
  <c r="H135" i="3"/>
  <c r="G135" i="3"/>
  <c r="F135" i="3"/>
  <c r="E135" i="3"/>
  <c r="D135" i="3"/>
  <c r="C135" i="3"/>
  <c r="B135" i="3"/>
  <c r="A135" i="3"/>
  <c r="U134" i="3"/>
  <c r="T134" i="3"/>
  <c r="S134" i="3"/>
  <c r="R134" i="3"/>
  <c r="P134" i="3"/>
  <c r="O134" i="3"/>
  <c r="N134" i="3"/>
  <c r="Q134" i="3" s="1"/>
  <c r="J134" i="3"/>
  <c r="I134" i="3"/>
  <c r="H134" i="3"/>
  <c r="G134" i="3"/>
  <c r="F134" i="3"/>
  <c r="E134" i="3"/>
  <c r="D134" i="3"/>
  <c r="C134" i="3"/>
  <c r="B134" i="3"/>
  <c r="A134" i="3"/>
  <c r="U133" i="3"/>
  <c r="T133" i="3"/>
  <c r="S133" i="3"/>
  <c r="R133" i="3"/>
  <c r="P133" i="3"/>
  <c r="O133" i="3"/>
  <c r="N133" i="3"/>
  <c r="Q133" i="3" s="1"/>
  <c r="J133" i="3"/>
  <c r="I133" i="3"/>
  <c r="H133" i="3"/>
  <c r="G133" i="3"/>
  <c r="F133" i="3"/>
  <c r="E133" i="3"/>
  <c r="D133" i="3"/>
  <c r="C133" i="3"/>
  <c r="B133" i="3"/>
  <c r="A133" i="3"/>
  <c r="U132" i="3"/>
  <c r="T132" i="3"/>
  <c r="S132" i="3"/>
  <c r="R132" i="3"/>
  <c r="P132" i="3"/>
  <c r="O132" i="3"/>
  <c r="N132" i="3"/>
  <c r="Q132" i="3" s="1"/>
  <c r="J132" i="3"/>
  <c r="I132" i="3"/>
  <c r="H132" i="3"/>
  <c r="G132" i="3"/>
  <c r="F132" i="3"/>
  <c r="E132" i="3"/>
  <c r="D132" i="3"/>
  <c r="C132" i="3"/>
  <c r="B132" i="3"/>
  <c r="A132" i="3"/>
  <c r="U131" i="3"/>
  <c r="T131" i="3"/>
  <c r="S131" i="3"/>
  <c r="R131" i="3"/>
  <c r="P131" i="3"/>
  <c r="O131" i="3"/>
  <c r="N131" i="3"/>
  <c r="Q131" i="3" s="1"/>
  <c r="J131" i="3"/>
  <c r="I131" i="3"/>
  <c r="H131" i="3"/>
  <c r="G131" i="3"/>
  <c r="F131" i="3"/>
  <c r="E131" i="3"/>
  <c r="D131" i="3"/>
  <c r="C131" i="3"/>
  <c r="B131" i="3"/>
  <c r="A131" i="3"/>
  <c r="U130" i="3"/>
  <c r="T130" i="3"/>
  <c r="S130" i="3"/>
  <c r="R130" i="3"/>
  <c r="P130" i="3"/>
  <c r="O130" i="3"/>
  <c r="N130" i="3"/>
  <c r="Q130" i="3" s="1"/>
  <c r="J130" i="3"/>
  <c r="I130" i="3"/>
  <c r="H130" i="3"/>
  <c r="G130" i="3"/>
  <c r="F130" i="3"/>
  <c r="E130" i="3"/>
  <c r="D130" i="3"/>
  <c r="C130" i="3"/>
  <c r="B130" i="3"/>
  <c r="A130" i="3"/>
  <c r="U129" i="3"/>
  <c r="T129" i="3"/>
  <c r="S129" i="3"/>
  <c r="R129" i="3"/>
  <c r="P129" i="3"/>
  <c r="O129" i="3"/>
  <c r="N129" i="3"/>
  <c r="Q129" i="3" s="1"/>
  <c r="J129" i="3"/>
  <c r="I129" i="3"/>
  <c r="H129" i="3"/>
  <c r="G129" i="3"/>
  <c r="F129" i="3"/>
  <c r="E129" i="3"/>
  <c r="D129" i="3"/>
  <c r="C129" i="3"/>
  <c r="B129" i="3"/>
  <c r="A129" i="3"/>
  <c r="U128" i="3"/>
  <c r="T128" i="3"/>
  <c r="S128" i="3"/>
  <c r="R128" i="3"/>
  <c r="P128" i="3"/>
  <c r="O128" i="3"/>
  <c r="N128" i="3"/>
  <c r="Q128" i="3" s="1"/>
  <c r="J128" i="3"/>
  <c r="I128" i="3"/>
  <c r="H128" i="3"/>
  <c r="G128" i="3"/>
  <c r="F128" i="3"/>
  <c r="E128" i="3"/>
  <c r="D128" i="3"/>
  <c r="C128" i="3"/>
  <c r="B128" i="3"/>
  <c r="A128" i="3"/>
  <c r="U127" i="3"/>
  <c r="T127" i="3"/>
  <c r="S127" i="3"/>
  <c r="R127" i="3"/>
  <c r="P127" i="3"/>
  <c r="O127" i="3"/>
  <c r="N127" i="3"/>
  <c r="Q127" i="3" s="1"/>
  <c r="J127" i="3"/>
  <c r="I127" i="3"/>
  <c r="H127" i="3"/>
  <c r="G127" i="3"/>
  <c r="F127" i="3"/>
  <c r="E127" i="3"/>
  <c r="D127" i="3"/>
  <c r="C127" i="3"/>
  <c r="B127" i="3"/>
  <c r="A127" i="3"/>
  <c r="U126" i="3"/>
  <c r="T126" i="3"/>
  <c r="S126" i="3"/>
  <c r="R126" i="3"/>
  <c r="P126" i="3"/>
  <c r="O126" i="3"/>
  <c r="N126" i="3"/>
  <c r="Q126" i="3" s="1"/>
  <c r="J126" i="3"/>
  <c r="I126" i="3"/>
  <c r="H126" i="3"/>
  <c r="G126" i="3"/>
  <c r="F126" i="3"/>
  <c r="E126" i="3"/>
  <c r="D126" i="3"/>
  <c r="C126" i="3"/>
  <c r="B126" i="3"/>
  <c r="A126" i="3"/>
  <c r="U125" i="3"/>
  <c r="T125" i="3"/>
  <c r="S125" i="3"/>
  <c r="R125" i="3"/>
  <c r="P125" i="3"/>
  <c r="O125" i="3"/>
  <c r="N125" i="3"/>
  <c r="Q125" i="3" s="1"/>
  <c r="J125" i="3"/>
  <c r="I125" i="3"/>
  <c r="H125" i="3"/>
  <c r="G125" i="3"/>
  <c r="F125" i="3"/>
  <c r="E125" i="3"/>
  <c r="D125" i="3"/>
  <c r="C125" i="3"/>
  <c r="B125" i="3"/>
  <c r="A125" i="3"/>
  <c r="U124" i="3"/>
  <c r="T124" i="3"/>
  <c r="S124" i="3"/>
  <c r="R124" i="3"/>
  <c r="P124" i="3"/>
  <c r="O124" i="3"/>
  <c r="N124" i="3"/>
  <c r="Q124" i="3" s="1"/>
  <c r="J124" i="3"/>
  <c r="I124" i="3"/>
  <c r="H124" i="3"/>
  <c r="G124" i="3"/>
  <c r="F124" i="3"/>
  <c r="E124" i="3"/>
  <c r="D124" i="3"/>
  <c r="C124" i="3"/>
  <c r="B124" i="3"/>
  <c r="A124" i="3"/>
  <c r="U123" i="3"/>
  <c r="T123" i="3"/>
  <c r="S123" i="3"/>
  <c r="R123" i="3"/>
  <c r="P123" i="3"/>
  <c r="O123" i="3"/>
  <c r="N123" i="3"/>
  <c r="Q123" i="3" s="1"/>
  <c r="J123" i="3"/>
  <c r="I123" i="3"/>
  <c r="H123" i="3"/>
  <c r="G123" i="3"/>
  <c r="F123" i="3"/>
  <c r="E123" i="3"/>
  <c r="D123" i="3"/>
  <c r="C123" i="3"/>
  <c r="B123" i="3"/>
  <c r="A123" i="3"/>
  <c r="U122" i="3"/>
  <c r="T122" i="3"/>
  <c r="S122" i="3"/>
  <c r="R122" i="3"/>
  <c r="P122" i="3"/>
  <c r="O122" i="3"/>
  <c r="N122" i="3"/>
  <c r="Q122" i="3" s="1"/>
  <c r="J122" i="3"/>
  <c r="I122" i="3"/>
  <c r="H122" i="3"/>
  <c r="G122" i="3"/>
  <c r="F122" i="3"/>
  <c r="E122" i="3"/>
  <c r="D122" i="3"/>
  <c r="C122" i="3"/>
  <c r="B122" i="3"/>
  <c r="A122" i="3"/>
  <c r="U121" i="3"/>
  <c r="T121" i="3"/>
  <c r="S121" i="3"/>
  <c r="R121" i="3"/>
  <c r="P121" i="3"/>
  <c r="O121" i="3"/>
  <c r="N121" i="3"/>
  <c r="Q121" i="3" s="1"/>
  <c r="J121" i="3"/>
  <c r="I121" i="3"/>
  <c r="H121" i="3"/>
  <c r="G121" i="3"/>
  <c r="F121" i="3"/>
  <c r="E121" i="3"/>
  <c r="D121" i="3"/>
  <c r="C121" i="3"/>
  <c r="B121" i="3"/>
  <c r="A121" i="3"/>
  <c r="U120" i="3"/>
  <c r="T120" i="3"/>
  <c r="S120" i="3"/>
  <c r="R120" i="3"/>
  <c r="P120" i="3"/>
  <c r="O120" i="3"/>
  <c r="N120" i="3"/>
  <c r="Q120" i="3" s="1"/>
  <c r="J120" i="3"/>
  <c r="I120" i="3"/>
  <c r="H120" i="3"/>
  <c r="G120" i="3"/>
  <c r="F120" i="3"/>
  <c r="E120" i="3"/>
  <c r="D120" i="3"/>
  <c r="C120" i="3"/>
  <c r="B120" i="3"/>
  <c r="A120" i="3"/>
  <c r="U119" i="3"/>
  <c r="T119" i="3"/>
  <c r="S119" i="3"/>
  <c r="R119" i="3"/>
  <c r="P119" i="3"/>
  <c r="O119" i="3"/>
  <c r="N119" i="3"/>
  <c r="Q119" i="3" s="1"/>
  <c r="J119" i="3"/>
  <c r="I119" i="3"/>
  <c r="H119" i="3"/>
  <c r="G119" i="3"/>
  <c r="F119" i="3"/>
  <c r="E119" i="3"/>
  <c r="D119" i="3"/>
  <c r="C119" i="3"/>
  <c r="B119" i="3"/>
  <c r="A119" i="3"/>
  <c r="U118" i="3"/>
  <c r="T118" i="3"/>
  <c r="S118" i="3"/>
  <c r="R118" i="3"/>
  <c r="P118" i="3"/>
  <c r="O118" i="3"/>
  <c r="N118" i="3"/>
  <c r="Q118" i="3" s="1"/>
  <c r="J118" i="3"/>
  <c r="I118" i="3"/>
  <c r="H118" i="3"/>
  <c r="G118" i="3"/>
  <c r="F118" i="3"/>
  <c r="E118" i="3"/>
  <c r="D118" i="3"/>
  <c r="C118" i="3"/>
  <c r="B118" i="3"/>
  <c r="A118" i="3"/>
  <c r="U117" i="3"/>
  <c r="T117" i="3"/>
  <c r="S117" i="3"/>
  <c r="R117" i="3"/>
  <c r="P117" i="3"/>
  <c r="O117" i="3"/>
  <c r="N117" i="3"/>
  <c r="Q117" i="3" s="1"/>
  <c r="J117" i="3"/>
  <c r="I117" i="3"/>
  <c r="H117" i="3"/>
  <c r="G117" i="3"/>
  <c r="F117" i="3"/>
  <c r="E117" i="3"/>
  <c r="D117" i="3"/>
  <c r="C117" i="3"/>
  <c r="B117" i="3"/>
  <c r="A117" i="3"/>
  <c r="U116" i="3"/>
  <c r="T116" i="3"/>
  <c r="S116" i="3"/>
  <c r="R116" i="3"/>
  <c r="P116" i="3"/>
  <c r="O116" i="3"/>
  <c r="N116" i="3"/>
  <c r="Q116" i="3" s="1"/>
  <c r="J116" i="3"/>
  <c r="I116" i="3"/>
  <c r="H116" i="3"/>
  <c r="G116" i="3"/>
  <c r="F116" i="3"/>
  <c r="E116" i="3"/>
  <c r="D116" i="3"/>
  <c r="C116" i="3"/>
  <c r="B116" i="3"/>
  <c r="A116" i="3"/>
  <c r="U115" i="3"/>
  <c r="T115" i="3"/>
  <c r="S115" i="3"/>
  <c r="R115" i="3"/>
  <c r="P115" i="3"/>
  <c r="O115" i="3"/>
  <c r="N115" i="3"/>
  <c r="Q115" i="3" s="1"/>
  <c r="J115" i="3"/>
  <c r="I115" i="3"/>
  <c r="H115" i="3"/>
  <c r="G115" i="3"/>
  <c r="F115" i="3"/>
  <c r="E115" i="3"/>
  <c r="D115" i="3"/>
  <c r="C115" i="3"/>
  <c r="B115" i="3"/>
  <c r="A115" i="3"/>
  <c r="U114" i="3"/>
  <c r="T114" i="3"/>
  <c r="S114" i="3"/>
  <c r="R114" i="3"/>
  <c r="P114" i="3"/>
  <c r="O114" i="3"/>
  <c r="N114" i="3"/>
  <c r="Q114" i="3" s="1"/>
  <c r="J114" i="3"/>
  <c r="I114" i="3"/>
  <c r="H114" i="3"/>
  <c r="G114" i="3"/>
  <c r="F114" i="3"/>
  <c r="E114" i="3"/>
  <c r="D114" i="3"/>
  <c r="C114" i="3"/>
  <c r="B114" i="3"/>
  <c r="A114" i="3"/>
  <c r="U113" i="3"/>
  <c r="T113" i="3"/>
  <c r="S113" i="3"/>
  <c r="R113" i="3"/>
  <c r="P113" i="3"/>
  <c r="O113" i="3"/>
  <c r="N113" i="3"/>
  <c r="Q113" i="3" s="1"/>
  <c r="J113" i="3"/>
  <c r="I113" i="3"/>
  <c r="H113" i="3"/>
  <c r="G113" i="3"/>
  <c r="F113" i="3"/>
  <c r="E113" i="3"/>
  <c r="D113" i="3"/>
  <c r="C113" i="3"/>
  <c r="B113" i="3"/>
  <c r="A113" i="3"/>
  <c r="U112" i="3"/>
  <c r="T112" i="3"/>
  <c r="S112" i="3"/>
  <c r="R112" i="3"/>
  <c r="P112" i="3"/>
  <c r="O112" i="3"/>
  <c r="N112" i="3"/>
  <c r="Q112" i="3" s="1"/>
  <c r="J112" i="3"/>
  <c r="I112" i="3"/>
  <c r="H112" i="3"/>
  <c r="G112" i="3"/>
  <c r="F112" i="3"/>
  <c r="E112" i="3"/>
  <c r="D112" i="3"/>
  <c r="C112" i="3"/>
  <c r="B112" i="3"/>
  <c r="A112" i="3"/>
  <c r="U111" i="3"/>
  <c r="T111" i="3"/>
  <c r="S111" i="3"/>
  <c r="R111" i="3"/>
  <c r="P111" i="3"/>
  <c r="O111" i="3"/>
  <c r="N111" i="3"/>
  <c r="Q111" i="3" s="1"/>
  <c r="J111" i="3"/>
  <c r="I111" i="3"/>
  <c r="H111" i="3"/>
  <c r="G111" i="3"/>
  <c r="F111" i="3"/>
  <c r="E111" i="3"/>
  <c r="D111" i="3"/>
  <c r="C111" i="3"/>
  <c r="B111" i="3"/>
  <c r="A111" i="3"/>
  <c r="U110" i="3"/>
  <c r="T110" i="3"/>
  <c r="S110" i="3"/>
  <c r="R110" i="3"/>
  <c r="P110" i="3"/>
  <c r="O110" i="3"/>
  <c r="N110" i="3"/>
  <c r="Q110" i="3" s="1"/>
  <c r="J110" i="3"/>
  <c r="I110" i="3"/>
  <c r="H110" i="3"/>
  <c r="G110" i="3"/>
  <c r="F110" i="3"/>
  <c r="E110" i="3"/>
  <c r="D110" i="3"/>
  <c r="C110" i="3"/>
  <c r="B110" i="3"/>
  <c r="A110" i="3"/>
  <c r="U109" i="3"/>
  <c r="T109" i="3"/>
  <c r="S109" i="3"/>
  <c r="R109" i="3"/>
  <c r="P109" i="3"/>
  <c r="O109" i="3"/>
  <c r="N109" i="3"/>
  <c r="Q109" i="3" s="1"/>
  <c r="J109" i="3"/>
  <c r="I109" i="3"/>
  <c r="H109" i="3"/>
  <c r="G109" i="3"/>
  <c r="F109" i="3"/>
  <c r="E109" i="3"/>
  <c r="D109" i="3"/>
  <c r="C109" i="3"/>
  <c r="B109" i="3"/>
  <c r="A109" i="3"/>
  <c r="U108" i="3"/>
  <c r="T108" i="3"/>
  <c r="S108" i="3"/>
  <c r="R108" i="3"/>
  <c r="P108" i="3"/>
  <c r="O108" i="3"/>
  <c r="N108" i="3"/>
  <c r="Q108" i="3" s="1"/>
  <c r="J108" i="3"/>
  <c r="I108" i="3"/>
  <c r="H108" i="3"/>
  <c r="G108" i="3"/>
  <c r="F108" i="3"/>
  <c r="E108" i="3"/>
  <c r="D108" i="3"/>
  <c r="C108" i="3"/>
  <c r="B108" i="3"/>
  <c r="A108" i="3"/>
  <c r="U107" i="3"/>
  <c r="T107" i="3"/>
  <c r="S107" i="3"/>
  <c r="R107" i="3"/>
  <c r="P107" i="3"/>
  <c r="O107" i="3"/>
  <c r="N107" i="3"/>
  <c r="Q107" i="3" s="1"/>
  <c r="J107" i="3"/>
  <c r="I107" i="3"/>
  <c r="H107" i="3"/>
  <c r="G107" i="3"/>
  <c r="F107" i="3"/>
  <c r="E107" i="3"/>
  <c r="D107" i="3"/>
  <c r="C107" i="3"/>
  <c r="B107" i="3"/>
  <c r="A107" i="3"/>
  <c r="U106" i="3"/>
  <c r="T106" i="3"/>
  <c r="S106" i="3"/>
  <c r="R106" i="3"/>
  <c r="P106" i="3"/>
  <c r="O106" i="3"/>
  <c r="N106" i="3"/>
  <c r="Q106" i="3" s="1"/>
  <c r="J106" i="3"/>
  <c r="I106" i="3"/>
  <c r="H106" i="3"/>
  <c r="G106" i="3"/>
  <c r="F106" i="3"/>
  <c r="E106" i="3"/>
  <c r="D106" i="3"/>
  <c r="C106" i="3"/>
  <c r="B106" i="3"/>
  <c r="A106" i="3"/>
  <c r="U105" i="3"/>
  <c r="T105" i="3"/>
  <c r="S105" i="3"/>
  <c r="R105" i="3"/>
  <c r="P105" i="3"/>
  <c r="O105" i="3"/>
  <c r="N105" i="3"/>
  <c r="Q105" i="3" s="1"/>
  <c r="J105" i="3"/>
  <c r="I105" i="3"/>
  <c r="H105" i="3"/>
  <c r="G105" i="3"/>
  <c r="F105" i="3"/>
  <c r="E105" i="3"/>
  <c r="D105" i="3"/>
  <c r="C105" i="3"/>
  <c r="B105" i="3"/>
  <c r="A105" i="3"/>
  <c r="U104" i="3"/>
  <c r="T104" i="3"/>
  <c r="S104" i="3"/>
  <c r="R104" i="3"/>
  <c r="P104" i="3"/>
  <c r="O104" i="3"/>
  <c r="N104" i="3"/>
  <c r="Q104" i="3" s="1"/>
  <c r="J104" i="3"/>
  <c r="I104" i="3"/>
  <c r="H104" i="3"/>
  <c r="G104" i="3"/>
  <c r="F104" i="3"/>
  <c r="E104" i="3"/>
  <c r="D104" i="3"/>
  <c r="C104" i="3"/>
  <c r="B104" i="3"/>
  <c r="A104" i="3"/>
  <c r="U103" i="3"/>
  <c r="T103" i="3"/>
  <c r="S103" i="3"/>
  <c r="R103" i="3"/>
  <c r="P103" i="3"/>
  <c r="O103" i="3"/>
  <c r="N103" i="3"/>
  <c r="Q103" i="3" s="1"/>
  <c r="J103" i="3"/>
  <c r="I103" i="3"/>
  <c r="H103" i="3"/>
  <c r="G103" i="3"/>
  <c r="F103" i="3"/>
  <c r="E103" i="3"/>
  <c r="D103" i="3"/>
  <c r="C103" i="3"/>
  <c r="B103" i="3"/>
  <c r="A103" i="3"/>
  <c r="U102" i="3"/>
  <c r="T102" i="3"/>
  <c r="S102" i="3"/>
  <c r="R102" i="3"/>
  <c r="P102" i="3"/>
  <c r="O102" i="3"/>
  <c r="N102" i="3"/>
  <c r="Q102" i="3" s="1"/>
  <c r="J102" i="3"/>
  <c r="I102" i="3"/>
  <c r="H102" i="3"/>
  <c r="G102" i="3"/>
  <c r="F102" i="3"/>
  <c r="E102" i="3"/>
  <c r="D102" i="3"/>
  <c r="C102" i="3"/>
  <c r="B102" i="3"/>
  <c r="A102" i="3"/>
  <c r="U101" i="3"/>
  <c r="T101" i="3"/>
  <c r="S101" i="3"/>
  <c r="R101" i="3"/>
  <c r="P101" i="3"/>
  <c r="O101" i="3"/>
  <c r="N101" i="3"/>
  <c r="Q101" i="3" s="1"/>
  <c r="J101" i="3"/>
  <c r="I101" i="3"/>
  <c r="H101" i="3"/>
  <c r="G101" i="3"/>
  <c r="F101" i="3"/>
  <c r="E101" i="3"/>
  <c r="D101" i="3"/>
  <c r="C101" i="3"/>
  <c r="B101" i="3"/>
  <c r="A101" i="3"/>
  <c r="U100" i="3"/>
  <c r="T100" i="3"/>
  <c r="S100" i="3"/>
  <c r="R100" i="3"/>
  <c r="P100" i="3"/>
  <c r="O100" i="3"/>
  <c r="N100" i="3"/>
  <c r="Q100" i="3" s="1"/>
  <c r="J100" i="3"/>
  <c r="I100" i="3"/>
  <c r="H100" i="3"/>
  <c r="G100" i="3"/>
  <c r="F100" i="3"/>
  <c r="E100" i="3"/>
  <c r="D100" i="3"/>
  <c r="C100" i="3"/>
  <c r="B100" i="3"/>
  <c r="A100" i="3"/>
  <c r="U99" i="3"/>
  <c r="T99" i="3"/>
  <c r="S99" i="3"/>
  <c r="R99" i="3"/>
  <c r="P99" i="3"/>
  <c r="O99" i="3"/>
  <c r="N99" i="3"/>
  <c r="Q99" i="3" s="1"/>
  <c r="J99" i="3"/>
  <c r="I99" i="3"/>
  <c r="H99" i="3"/>
  <c r="G99" i="3"/>
  <c r="F99" i="3"/>
  <c r="E99" i="3"/>
  <c r="D99" i="3"/>
  <c r="C99" i="3"/>
  <c r="B99" i="3"/>
  <c r="A99" i="3"/>
  <c r="U98" i="3"/>
  <c r="T98" i="3"/>
  <c r="S98" i="3"/>
  <c r="R98" i="3"/>
  <c r="P98" i="3"/>
  <c r="O98" i="3"/>
  <c r="N98" i="3"/>
  <c r="Q98" i="3" s="1"/>
  <c r="J98" i="3"/>
  <c r="I98" i="3"/>
  <c r="H98" i="3"/>
  <c r="G98" i="3"/>
  <c r="F98" i="3"/>
  <c r="E98" i="3"/>
  <c r="D98" i="3"/>
  <c r="C98" i="3"/>
  <c r="B98" i="3"/>
  <c r="A98" i="3"/>
  <c r="U97" i="3"/>
  <c r="T97" i="3"/>
  <c r="S97" i="3"/>
  <c r="R97" i="3"/>
  <c r="P97" i="3"/>
  <c r="O97" i="3"/>
  <c r="N97" i="3"/>
  <c r="Q97" i="3" s="1"/>
  <c r="J97" i="3"/>
  <c r="I97" i="3"/>
  <c r="H97" i="3"/>
  <c r="G97" i="3"/>
  <c r="F97" i="3"/>
  <c r="E97" i="3"/>
  <c r="D97" i="3"/>
  <c r="C97" i="3"/>
  <c r="B97" i="3"/>
  <c r="A97" i="3"/>
  <c r="U96" i="3"/>
  <c r="T96" i="3"/>
  <c r="S96" i="3"/>
  <c r="R96" i="3"/>
  <c r="P96" i="3"/>
  <c r="O96" i="3"/>
  <c r="N96" i="3"/>
  <c r="Q96" i="3" s="1"/>
  <c r="J96" i="3"/>
  <c r="I96" i="3"/>
  <c r="H96" i="3"/>
  <c r="G96" i="3"/>
  <c r="F96" i="3"/>
  <c r="E96" i="3"/>
  <c r="D96" i="3"/>
  <c r="C96" i="3"/>
  <c r="B96" i="3"/>
  <c r="A96" i="3"/>
  <c r="U95" i="3"/>
  <c r="T95" i="3"/>
  <c r="S95" i="3"/>
  <c r="R95" i="3"/>
  <c r="P95" i="3"/>
  <c r="O95" i="3"/>
  <c r="N95" i="3"/>
  <c r="Q95" i="3" s="1"/>
  <c r="J95" i="3"/>
  <c r="I95" i="3"/>
  <c r="H95" i="3"/>
  <c r="G95" i="3"/>
  <c r="F95" i="3"/>
  <c r="E95" i="3"/>
  <c r="D95" i="3"/>
  <c r="C95" i="3"/>
  <c r="B95" i="3"/>
  <c r="A95" i="3"/>
  <c r="U94" i="3"/>
  <c r="T94" i="3"/>
  <c r="S94" i="3"/>
  <c r="R94" i="3"/>
  <c r="P94" i="3"/>
  <c r="O94" i="3"/>
  <c r="N94" i="3"/>
  <c r="Q94" i="3" s="1"/>
  <c r="J94" i="3"/>
  <c r="I94" i="3"/>
  <c r="H94" i="3"/>
  <c r="G94" i="3"/>
  <c r="F94" i="3"/>
  <c r="E94" i="3"/>
  <c r="D94" i="3"/>
  <c r="C94" i="3"/>
  <c r="B94" i="3"/>
  <c r="A94" i="3"/>
  <c r="U93" i="3"/>
  <c r="T93" i="3"/>
  <c r="S93" i="3"/>
  <c r="R93" i="3"/>
  <c r="P93" i="3"/>
  <c r="O93" i="3"/>
  <c r="N93" i="3"/>
  <c r="Q93" i="3" s="1"/>
  <c r="J93" i="3"/>
  <c r="I93" i="3"/>
  <c r="H93" i="3"/>
  <c r="G93" i="3"/>
  <c r="F93" i="3"/>
  <c r="E93" i="3"/>
  <c r="D93" i="3"/>
  <c r="C93" i="3"/>
  <c r="B93" i="3"/>
  <c r="A93" i="3"/>
  <c r="U92" i="3"/>
  <c r="T92" i="3"/>
  <c r="S92" i="3"/>
  <c r="R92" i="3"/>
  <c r="P92" i="3"/>
  <c r="O92" i="3"/>
  <c r="N92" i="3"/>
  <c r="Q92" i="3" s="1"/>
  <c r="J92" i="3"/>
  <c r="I92" i="3"/>
  <c r="H92" i="3"/>
  <c r="G92" i="3"/>
  <c r="F92" i="3"/>
  <c r="E92" i="3"/>
  <c r="D92" i="3"/>
  <c r="C92" i="3"/>
  <c r="B92" i="3"/>
  <c r="A92" i="3"/>
  <c r="U91" i="3"/>
  <c r="T91" i="3"/>
  <c r="S91" i="3"/>
  <c r="R91" i="3"/>
  <c r="P91" i="3"/>
  <c r="O91" i="3"/>
  <c r="N91" i="3"/>
  <c r="Q91" i="3" s="1"/>
  <c r="J91" i="3"/>
  <c r="I91" i="3"/>
  <c r="H91" i="3"/>
  <c r="G91" i="3"/>
  <c r="F91" i="3"/>
  <c r="E91" i="3"/>
  <c r="D91" i="3"/>
  <c r="C91" i="3"/>
  <c r="B91" i="3"/>
  <c r="A91" i="3"/>
  <c r="U90" i="3"/>
  <c r="T90" i="3"/>
  <c r="S90" i="3"/>
  <c r="R90" i="3"/>
  <c r="P90" i="3"/>
  <c r="O90" i="3"/>
  <c r="N90" i="3"/>
  <c r="Q90" i="3" s="1"/>
  <c r="J90" i="3"/>
  <c r="I90" i="3"/>
  <c r="H90" i="3"/>
  <c r="G90" i="3"/>
  <c r="F90" i="3"/>
  <c r="E90" i="3"/>
  <c r="D90" i="3"/>
  <c r="C90" i="3"/>
  <c r="B90" i="3"/>
  <c r="A90" i="3"/>
  <c r="U89" i="3"/>
  <c r="T89" i="3"/>
  <c r="S89" i="3"/>
  <c r="R89" i="3"/>
  <c r="P89" i="3"/>
  <c r="O89" i="3"/>
  <c r="N89" i="3"/>
  <c r="Q89" i="3" s="1"/>
  <c r="J89" i="3"/>
  <c r="I89" i="3"/>
  <c r="H89" i="3"/>
  <c r="G89" i="3"/>
  <c r="F89" i="3"/>
  <c r="E89" i="3"/>
  <c r="D89" i="3"/>
  <c r="C89" i="3"/>
  <c r="B89" i="3"/>
  <c r="A89" i="3"/>
  <c r="U88" i="3"/>
  <c r="T88" i="3"/>
  <c r="S88" i="3"/>
  <c r="R88" i="3"/>
  <c r="P88" i="3"/>
  <c r="O88" i="3"/>
  <c r="N88" i="3"/>
  <c r="Q88" i="3" s="1"/>
  <c r="J88" i="3"/>
  <c r="I88" i="3"/>
  <c r="H88" i="3"/>
  <c r="G88" i="3"/>
  <c r="F88" i="3"/>
  <c r="E88" i="3"/>
  <c r="D88" i="3"/>
  <c r="C88" i="3"/>
  <c r="B88" i="3"/>
  <c r="A88" i="3"/>
  <c r="U87" i="3"/>
  <c r="T87" i="3"/>
  <c r="S87" i="3"/>
  <c r="R87" i="3"/>
  <c r="P87" i="3"/>
  <c r="O87" i="3"/>
  <c r="N87" i="3"/>
  <c r="Q87" i="3" s="1"/>
  <c r="J87" i="3"/>
  <c r="I87" i="3"/>
  <c r="H87" i="3"/>
  <c r="G87" i="3"/>
  <c r="F87" i="3"/>
  <c r="E87" i="3"/>
  <c r="D87" i="3"/>
  <c r="C87" i="3"/>
  <c r="B87" i="3"/>
  <c r="A87" i="3"/>
  <c r="U86" i="3"/>
  <c r="T86" i="3"/>
  <c r="S86" i="3"/>
  <c r="R86" i="3"/>
  <c r="P86" i="3"/>
  <c r="O86" i="3"/>
  <c r="N86" i="3"/>
  <c r="Q86" i="3" s="1"/>
  <c r="J86" i="3"/>
  <c r="I86" i="3"/>
  <c r="H86" i="3"/>
  <c r="G86" i="3"/>
  <c r="F86" i="3"/>
  <c r="E86" i="3"/>
  <c r="D86" i="3"/>
  <c r="C86" i="3"/>
  <c r="B86" i="3"/>
  <c r="A86" i="3"/>
  <c r="U85" i="3"/>
  <c r="T85" i="3"/>
  <c r="S85" i="3"/>
  <c r="R85" i="3"/>
  <c r="P85" i="3"/>
  <c r="O85" i="3"/>
  <c r="N85" i="3"/>
  <c r="Q85" i="3" s="1"/>
  <c r="J85" i="3"/>
  <c r="I85" i="3"/>
  <c r="H85" i="3"/>
  <c r="G85" i="3"/>
  <c r="F85" i="3"/>
  <c r="E85" i="3"/>
  <c r="D85" i="3"/>
  <c r="C85" i="3"/>
  <c r="B85" i="3"/>
  <c r="A85" i="3"/>
  <c r="U84" i="3"/>
  <c r="T84" i="3"/>
  <c r="S84" i="3"/>
  <c r="R84" i="3"/>
  <c r="P84" i="3"/>
  <c r="O84" i="3"/>
  <c r="N84" i="3"/>
  <c r="Q84" i="3" s="1"/>
  <c r="J84" i="3"/>
  <c r="I84" i="3"/>
  <c r="H84" i="3"/>
  <c r="G84" i="3"/>
  <c r="F84" i="3"/>
  <c r="E84" i="3"/>
  <c r="D84" i="3"/>
  <c r="C84" i="3"/>
  <c r="B84" i="3"/>
  <c r="A84" i="3"/>
  <c r="U83" i="3"/>
  <c r="T83" i="3"/>
  <c r="S83" i="3"/>
  <c r="R83" i="3"/>
  <c r="P83" i="3"/>
  <c r="O83" i="3"/>
  <c r="N83" i="3"/>
  <c r="Q83" i="3" s="1"/>
  <c r="J83" i="3"/>
  <c r="I83" i="3"/>
  <c r="H83" i="3"/>
  <c r="G83" i="3"/>
  <c r="F83" i="3"/>
  <c r="E83" i="3"/>
  <c r="D83" i="3"/>
  <c r="C83" i="3"/>
  <c r="B83" i="3"/>
  <c r="A83" i="3"/>
  <c r="U82" i="3"/>
  <c r="T82" i="3"/>
  <c r="S82" i="3"/>
  <c r="R82" i="3"/>
  <c r="P82" i="3"/>
  <c r="O82" i="3"/>
  <c r="N82" i="3"/>
  <c r="Q82" i="3" s="1"/>
  <c r="J82" i="3"/>
  <c r="I82" i="3"/>
  <c r="H82" i="3"/>
  <c r="G82" i="3"/>
  <c r="F82" i="3"/>
  <c r="E82" i="3"/>
  <c r="D82" i="3"/>
  <c r="C82" i="3"/>
  <c r="B82" i="3"/>
  <c r="A82" i="3"/>
  <c r="U81" i="3"/>
  <c r="T81" i="3"/>
  <c r="S81" i="3"/>
  <c r="R81" i="3"/>
  <c r="P81" i="3"/>
  <c r="O81" i="3"/>
  <c r="N81" i="3"/>
  <c r="Q81" i="3" s="1"/>
  <c r="J81" i="3"/>
  <c r="I81" i="3"/>
  <c r="H81" i="3"/>
  <c r="G81" i="3"/>
  <c r="F81" i="3"/>
  <c r="E81" i="3"/>
  <c r="D81" i="3"/>
  <c r="C81" i="3"/>
  <c r="B81" i="3"/>
  <c r="A81" i="3"/>
  <c r="U80" i="3"/>
  <c r="T80" i="3"/>
  <c r="S80" i="3"/>
  <c r="R80" i="3"/>
  <c r="P80" i="3"/>
  <c r="O80" i="3"/>
  <c r="N80" i="3"/>
  <c r="Q80" i="3" s="1"/>
  <c r="J80" i="3"/>
  <c r="I80" i="3"/>
  <c r="H80" i="3"/>
  <c r="G80" i="3"/>
  <c r="F80" i="3"/>
  <c r="E80" i="3"/>
  <c r="D80" i="3"/>
  <c r="C80" i="3"/>
  <c r="B80" i="3"/>
  <c r="A80" i="3"/>
  <c r="U79" i="3"/>
  <c r="T79" i="3"/>
  <c r="S79" i="3"/>
  <c r="R79" i="3"/>
  <c r="P79" i="3"/>
  <c r="O79" i="3"/>
  <c r="N79" i="3"/>
  <c r="Q79" i="3" s="1"/>
  <c r="J79" i="3"/>
  <c r="I79" i="3"/>
  <c r="H79" i="3"/>
  <c r="G79" i="3"/>
  <c r="F79" i="3"/>
  <c r="E79" i="3"/>
  <c r="D79" i="3"/>
  <c r="C79" i="3"/>
  <c r="B79" i="3"/>
  <c r="A79" i="3"/>
  <c r="U78" i="3"/>
  <c r="T78" i="3"/>
  <c r="S78" i="3"/>
  <c r="R78" i="3"/>
  <c r="P78" i="3"/>
  <c r="O78" i="3"/>
  <c r="N78" i="3"/>
  <c r="Q78" i="3" s="1"/>
  <c r="J78" i="3"/>
  <c r="I78" i="3"/>
  <c r="H78" i="3"/>
  <c r="G78" i="3"/>
  <c r="F78" i="3"/>
  <c r="E78" i="3"/>
  <c r="D78" i="3"/>
  <c r="C78" i="3"/>
  <c r="B78" i="3"/>
  <c r="A78" i="3"/>
  <c r="U77" i="3"/>
  <c r="T77" i="3"/>
  <c r="S77" i="3"/>
  <c r="R77" i="3"/>
  <c r="P77" i="3"/>
  <c r="O77" i="3"/>
  <c r="N77" i="3"/>
  <c r="Q77" i="3" s="1"/>
  <c r="J77" i="3"/>
  <c r="I77" i="3"/>
  <c r="H77" i="3"/>
  <c r="G77" i="3"/>
  <c r="F77" i="3"/>
  <c r="E77" i="3"/>
  <c r="D77" i="3"/>
  <c r="C77" i="3"/>
  <c r="B77" i="3"/>
  <c r="A77" i="3"/>
  <c r="U76" i="3"/>
  <c r="T76" i="3"/>
  <c r="S76" i="3"/>
  <c r="R76" i="3"/>
  <c r="P76" i="3"/>
  <c r="O76" i="3"/>
  <c r="N76" i="3"/>
  <c r="Q76" i="3" s="1"/>
  <c r="J76" i="3"/>
  <c r="I76" i="3"/>
  <c r="H76" i="3"/>
  <c r="G76" i="3"/>
  <c r="F76" i="3"/>
  <c r="E76" i="3"/>
  <c r="D76" i="3"/>
  <c r="C76" i="3"/>
  <c r="B76" i="3"/>
  <c r="A76" i="3"/>
  <c r="U75" i="3"/>
  <c r="T75" i="3"/>
  <c r="S75" i="3"/>
  <c r="R75" i="3"/>
  <c r="P75" i="3"/>
  <c r="O75" i="3"/>
  <c r="N75" i="3"/>
  <c r="Q75" i="3" s="1"/>
  <c r="J75" i="3"/>
  <c r="I75" i="3"/>
  <c r="H75" i="3"/>
  <c r="G75" i="3"/>
  <c r="F75" i="3"/>
  <c r="E75" i="3"/>
  <c r="D75" i="3"/>
  <c r="C75" i="3"/>
  <c r="B75" i="3"/>
  <c r="A75" i="3"/>
  <c r="U74" i="3"/>
  <c r="T74" i="3"/>
  <c r="S74" i="3"/>
  <c r="R74" i="3"/>
  <c r="P74" i="3"/>
  <c r="O74" i="3"/>
  <c r="N74" i="3"/>
  <c r="Q74" i="3" s="1"/>
  <c r="J74" i="3"/>
  <c r="I74" i="3"/>
  <c r="H74" i="3"/>
  <c r="G74" i="3"/>
  <c r="F74" i="3"/>
  <c r="E74" i="3"/>
  <c r="D74" i="3"/>
  <c r="C74" i="3"/>
  <c r="B74" i="3"/>
  <c r="A74" i="3"/>
  <c r="U73" i="3"/>
  <c r="T73" i="3"/>
  <c r="S73" i="3"/>
  <c r="R73" i="3"/>
  <c r="P73" i="3"/>
  <c r="O73" i="3"/>
  <c r="N73" i="3"/>
  <c r="Q73" i="3" s="1"/>
  <c r="J73" i="3"/>
  <c r="I73" i="3"/>
  <c r="H73" i="3"/>
  <c r="G73" i="3"/>
  <c r="F73" i="3"/>
  <c r="E73" i="3"/>
  <c r="D73" i="3"/>
  <c r="C73" i="3"/>
  <c r="B73" i="3"/>
  <c r="A73" i="3"/>
  <c r="U72" i="3"/>
  <c r="T72" i="3"/>
  <c r="S72" i="3"/>
  <c r="R72" i="3"/>
  <c r="P72" i="3"/>
  <c r="O72" i="3"/>
  <c r="N72" i="3"/>
  <c r="Q72" i="3" s="1"/>
  <c r="J72" i="3"/>
  <c r="I72" i="3"/>
  <c r="H72" i="3"/>
  <c r="G72" i="3"/>
  <c r="F72" i="3"/>
  <c r="E72" i="3"/>
  <c r="D72" i="3"/>
  <c r="C72" i="3"/>
  <c r="B72" i="3"/>
  <c r="A72" i="3"/>
  <c r="U71" i="3"/>
  <c r="T71" i="3"/>
  <c r="S71" i="3"/>
  <c r="R71" i="3"/>
  <c r="P71" i="3"/>
  <c r="O71" i="3"/>
  <c r="N71" i="3"/>
  <c r="Q71" i="3" s="1"/>
  <c r="J71" i="3"/>
  <c r="I71" i="3"/>
  <c r="H71" i="3"/>
  <c r="G71" i="3"/>
  <c r="F71" i="3"/>
  <c r="E71" i="3"/>
  <c r="D71" i="3"/>
  <c r="C71" i="3"/>
  <c r="B71" i="3"/>
  <c r="A71" i="3"/>
  <c r="U70" i="3"/>
  <c r="T70" i="3"/>
  <c r="S70" i="3"/>
  <c r="R70" i="3"/>
  <c r="P70" i="3"/>
  <c r="O70" i="3"/>
  <c r="N70" i="3"/>
  <c r="Q70" i="3" s="1"/>
  <c r="J70" i="3"/>
  <c r="I70" i="3"/>
  <c r="H70" i="3"/>
  <c r="G70" i="3"/>
  <c r="F70" i="3"/>
  <c r="E70" i="3"/>
  <c r="D70" i="3"/>
  <c r="C70" i="3"/>
  <c r="B70" i="3"/>
  <c r="A70" i="3"/>
  <c r="U69" i="3"/>
  <c r="T69" i="3"/>
  <c r="S69" i="3"/>
  <c r="R69" i="3"/>
  <c r="P69" i="3"/>
  <c r="O69" i="3"/>
  <c r="N69" i="3"/>
  <c r="Q69" i="3" s="1"/>
  <c r="J69" i="3"/>
  <c r="I69" i="3"/>
  <c r="H69" i="3"/>
  <c r="G69" i="3"/>
  <c r="F69" i="3"/>
  <c r="E69" i="3"/>
  <c r="D69" i="3"/>
  <c r="C69" i="3"/>
  <c r="B69" i="3"/>
  <c r="A69" i="3"/>
  <c r="U68" i="3"/>
  <c r="T68" i="3"/>
  <c r="S68" i="3"/>
  <c r="R68" i="3"/>
  <c r="P68" i="3"/>
  <c r="O68" i="3"/>
  <c r="N68" i="3"/>
  <c r="Q68" i="3" s="1"/>
  <c r="J68" i="3"/>
  <c r="I68" i="3"/>
  <c r="H68" i="3"/>
  <c r="G68" i="3"/>
  <c r="F68" i="3"/>
  <c r="E68" i="3"/>
  <c r="D68" i="3"/>
  <c r="C68" i="3"/>
  <c r="B68" i="3"/>
  <c r="A68" i="3"/>
  <c r="U67" i="3"/>
  <c r="T67" i="3"/>
  <c r="S67" i="3"/>
  <c r="R67" i="3"/>
  <c r="P67" i="3"/>
  <c r="O67" i="3"/>
  <c r="N67" i="3"/>
  <c r="Q67" i="3" s="1"/>
  <c r="J67" i="3"/>
  <c r="I67" i="3"/>
  <c r="H67" i="3"/>
  <c r="G67" i="3"/>
  <c r="F67" i="3"/>
  <c r="E67" i="3"/>
  <c r="D67" i="3"/>
  <c r="C67" i="3"/>
  <c r="B67" i="3"/>
  <c r="A67" i="3"/>
  <c r="U66" i="3"/>
  <c r="T66" i="3"/>
  <c r="S66" i="3"/>
  <c r="R66" i="3"/>
  <c r="P66" i="3"/>
  <c r="O66" i="3"/>
  <c r="N66" i="3"/>
  <c r="Q66" i="3" s="1"/>
  <c r="J66" i="3"/>
  <c r="I66" i="3"/>
  <c r="H66" i="3"/>
  <c r="G66" i="3"/>
  <c r="F66" i="3"/>
  <c r="E66" i="3"/>
  <c r="D66" i="3"/>
  <c r="C66" i="3"/>
  <c r="B66" i="3"/>
  <c r="A66" i="3"/>
  <c r="U65" i="3"/>
  <c r="T65" i="3"/>
  <c r="S65" i="3"/>
  <c r="R65" i="3"/>
  <c r="P65" i="3"/>
  <c r="O65" i="3"/>
  <c r="N65" i="3"/>
  <c r="Q65" i="3" s="1"/>
  <c r="J65" i="3"/>
  <c r="I65" i="3"/>
  <c r="H65" i="3"/>
  <c r="G65" i="3"/>
  <c r="F65" i="3"/>
  <c r="E65" i="3"/>
  <c r="D65" i="3"/>
  <c r="C65" i="3"/>
  <c r="B65" i="3"/>
  <c r="A65" i="3"/>
  <c r="U64" i="3"/>
  <c r="T64" i="3"/>
  <c r="S64" i="3"/>
  <c r="R64" i="3"/>
  <c r="P64" i="3"/>
  <c r="O64" i="3"/>
  <c r="N64" i="3"/>
  <c r="Q64" i="3" s="1"/>
  <c r="J64" i="3"/>
  <c r="I64" i="3"/>
  <c r="H64" i="3"/>
  <c r="G64" i="3"/>
  <c r="F64" i="3"/>
  <c r="E64" i="3"/>
  <c r="D64" i="3"/>
  <c r="C64" i="3"/>
  <c r="B64" i="3"/>
  <c r="A64" i="3"/>
  <c r="U63" i="3"/>
  <c r="T63" i="3"/>
  <c r="S63" i="3"/>
  <c r="R63" i="3"/>
  <c r="P63" i="3"/>
  <c r="O63" i="3"/>
  <c r="N63" i="3"/>
  <c r="Q63" i="3" s="1"/>
  <c r="J63" i="3"/>
  <c r="I63" i="3"/>
  <c r="H63" i="3"/>
  <c r="G63" i="3"/>
  <c r="F63" i="3"/>
  <c r="E63" i="3"/>
  <c r="D63" i="3"/>
  <c r="C63" i="3"/>
  <c r="B63" i="3"/>
  <c r="A63" i="3"/>
  <c r="U62" i="3"/>
  <c r="T62" i="3"/>
  <c r="S62" i="3"/>
  <c r="R62" i="3"/>
  <c r="P62" i="3"/>
  <c r="O62" i="3"/>
  <c r="N62" i="3"/>
  <c r="Q62" i="3" s="1"/>
  <c r="J62" i="3"/>
  <c r="I62" i="3"/>
  <c r="H62" i="3"/>
  <c r="G62" i="3"/>
  <c r="F62" i="3"/>
  <c r="E62" i="3"/>
  <c r="D62" i="3"/>
  <c r="C62" i="3"/>
  <c r="B62" i="3"/>
  <c r="A62" i="3"/>
  <c r="U61" i="3"/>
  <c r="T61" i="3"/>
  <c r="S61" i="3"/>
  <c r="R61" i="3"/>
  <c r="P61" i="3"/>
  <c r="O61" i="3"/>
  <c r="N61" i="3"/>
  <c r="Q61" i="3" s="1"/>
  <c r="J61" i="3"/>
  <c r="I61" i="3"/>
  <c r="H61" i="3"/>
  <c r="G61" i="3"/>
  <c r="F61" i="3"/>
  <c r="E61" i="3"/>
  <c r="D61" i="3"/>
  <c r="C61" i="3"/>
  <c r="B61" i="3"/>
  <c r="A61" i="3"/>
  <c r="U60" i="3"/>
  <c r="T60" i="3"/>
  <c r="S60" i="3"/>
  <c r="R60" i="3"/>
  <c r="P60" i="3"/>
  <c r="O60" i="3"/>
  <c r="N60" i="3"/>
  <c r="Q60" i="3" s="1"/>
  <c r="J60" i="3"/>
  <c r="I60" i="3"/>
  <c r="H60" i="3"/>
  <c r="G60" i="3"/>
  <c r="F60" i="3"/>
  <c r="E60" i="3"/>
  <c r="D60" i="3"/>
  <c r="C60" i="3"/>
  <c r="B60" i="3"/>
  <c r="A60" i="3"/>
  <c r="U59" i="3"/>
  <c r="T59" i="3"/>
  <c r="S59" i="3"/>
  <c r="R59" i="3"/>
  <c r="P59" i="3"/>
  <c r="O59" i="3"/>
  <c r="N59" i="3"/>
  <c r="Q59" i="3" s="1"/>
  <c r="J59" i="3"/>
  <c r="I59" i="3"/>
  <c r="H59" i="3"/>
  <c r="G59" i="3"/>
  <c r="F59" i="3"/>
  <c r="E59" i="3"/>
  <c r="D59" i="3"/>
  <c r="C59" i="3"/>
  <c r="B59" i="3"/>
  <c r="A59" i="3"/>
  <c r="U58" i="3"/>
  <c r="T58" i="3"/>
  <c r="S58" i="3"/>
  <c r="R58" i="3"/>
  <c r="P58" i="3"/>
  <c r="O58" i="3"/>
  <c r="N58" i="3"/>
  <c r="Q58" i="3" s="1"/>
  <c r="J58" i="3"/>
  <c r="I58" i="3"/>
  <c r="H58" i="3"/>
  <c r="G58" i="3"/>
  <c r="F58" i="3"/>
  <c r="E58" i="3"/>
  <c r="D58" i="3"/>
  <c r="C58" i="3"/>
  <c r="B58" i="3"/>
  <c r="A58" i="3"/>
  <c r="U57" i="3"/>
  <c r="T57" i="3"/>
  <c r="S57" i="3"/>
  <c r="R57" i="3"/>
  <c r="P57" i="3"/>
  <c r="O57" i="3"/>
  <c r="N57" i="3"/>
  <c r="Q57" i="3" s="1"/>
  <c r="J57" i="3"/>
  <c r="I57" i="3"/>
  <c r="H57" i="3"/>
  <c r="G57" i="3"/>
  <c r="F57" i="3"/>
  <c r="E57" i="3"/>
  <c r="D57" i="3"/>
  <c r="C57" i="3"/>
  <c r="B57" i="3"/>
  <c r="A57" i="3"/>
  <c r="U56" i="3"/>
  <c r="T56" i="3"/>
  <c r="S56" i="3"/>
  <c r="R56" i="3"/>
  <c r="P56" i="3"/>
  <c r="O56" i="3"/>
  <c r="N56" i="3"/>
  <c r="Q56" i="3" s="1"/>
  <c r="J56" i="3"/>
  <c r="I56" i="3"/>
  <c r="H56" i="3"/>
  <c r="G56" i="3"/>
  <c r="F56" i="3"/>
  <c r="E56" i="3"/>
  <c r="D56" i="3"/>
  <c r="C56" i="3"/>
  <c r="B56" i="3"/>
  <c r="A56" i="3"/>
  <c r="U55" i="3"/>
  <c r="T55" i="3"/>
  <c r="S55" i="3"/>
  <c r="R55" i="3"/>
  <c r="P55" i="3"/>
  <c r="O55" i="3"/>
  <c r="N55" i="3"/>
  <c r="Q55" i="3" s="1"/>
  <c r="J55" i="3"/>
  <c r="I55" i="3"/>
  <c r="H55" i="3"/>
  <c r="G55" i="3"/>
  <c r="F55" i="3"/>
  <c r="E55" i="3"/>
  <c r="D55" i="3"/>
  <c r="C55" i="3"/>
  <c r="B55" i="3"/>
  <c r="A55" i="3"/>
  <c r="U54" i="3"/>
  <c r="T54" i="3"/>
  <c r="S54" i="3"/>
  <c r="R54" i="3"/>
  <c r="P54" i="3"/>
  <c r="O54" i="3"/>
  <c r="N54" i="3"/>
  <c r="Q54" i="3" s="1"/>
  <c r="J54" i="3"/>
  <c r="I54" i="3"/>
  <c r="H54" i="3"/>
  <c r="G54" i="3"/>
  <c r="F54" i="3"/>
  <c r="E54" i="3"/>
  <c r="D54" i="3"/>
  <c r="C54" i="3"/>
  <c r="B54" i="3"/>
  <c r="A54" i="3"/>
  <c r="U53" i="3"/>
  <c r="T53" i="3"/>
  <c r="S53" i="3"/>
  <c r="R53" i="3"/>
  <c r="P53" i="3"/>
  <c r="O53" i="3"/>
  <c r="N53" i="3"/>
  <c r="Q53" i="3" s="1"/>
  <c r="J53" i="3"/>
  <c r="I53" i="3"/>
  <c r="H53" i="3"/>
  <c r="G53" i="3"/>
  <c r="F53" i="3"/>
  <c r="E53" i="3"/>
  <c r="D53" i="3"/>
  <c r="C53" i="3"/>
  <c r="B53" i="3"/>
  <c r="A53" i="3"/>
  <c r="U52" i="3"/>
  <c r="T52" i="3"/>
  <c r="S52" i="3"/>
  <c r="R52" i="3"/>
  <c r="P52" i="3"/>
  <c r="O52" i="3"/>
  <c r="N52" i="3"/>
  <c r="Q52" i="3" s="1"/>
  <c r="J52" i="3"/>
  <c r="I52" i="3"/>
  <c r="H52" i="3"/>
  <c r="G52" i="3"/>
  <c r="F52" i="3"/>
  <c r="E52" i="3"/>
  <c r="D52" i="3"/>
  <c r="C52" i="3"/>
  <c r="B52" i="3"/>
  <c r="A52" i="3"/>
  <c r="U51" i="3"/>
  <c r="T51" i="3"/>
  <c r="S51" i="3"/>
  <c r="R51" i="3"/>
  <c r="P51" i="3"/>
  <c r="O51" i="3"/>
  <c r="N51" i="3"/>
  <c r="Q51" i="3" s="1"/>
  <c r="J51" i="3"/>
  <c r="I51" i="3"/>
  <c r="H51" i="3"/>
  <c r="G51" i="3"/>
  <c r="F51" i="3"/>
  <c r="E51" i="3"/>
  <c r="D51" i="3"/>
  <c r="C51" i="3"/>
  <c r="B51" i="3"/>
  <c r="A51" i="3"/>
  <c r="U50" i="3"/>
  <c r="T50" i="3"/>
  <c r="S50" i="3"/>
  <c r="R50" i="3"/>
  <c r="P50" i="3"/>
  <c r="O50" i="3"/>
  <c r="N50" i="3"/>
  <c r="Q50" i="3" s="1"/>
  <c r="J50" i="3"/>
  <c r="I50" i="3"/>
  <c r="H50" i="3"/>
  <c r="G50" i="3"/>
  <c r="F50" i="3"/>
  <c r="E50" i="3"/>
  <c r="D50" i="3"/>
  <c r="C50" i="3"/>
  <c r="B50" i="3"/>
  <c r="A50" i="3"/>
  <c r="U49" i="3"/>
  <c r="T49" i="3"/>
  <c r="S49" i="3"/>
  <c r="R49" i="3"/>
  <c r="P49" i="3"/>
  <c r="O49" i="3"/>
  <c r="N49" i="3"/>
  <c r="Q49" i="3" s="1"/>
  <c r="J49" i="3"/>
  <c r="I49" i="3"/>
  <c r="H49" i="3"/>
  <c r="G49" i="3"/>
  <c r="F49" i="3"/>
  <c r="E49" i="3"/>
  <c r="D49" i="3"/>
  <c r="C49" i="3"/>
  <c r="B49" i="3"/>
  <c r="A49" i="3"/>
  <c r="U48" i="3"/>
  <c r="T48" i="3"/>
  <c r="S48" i="3"/>
  <c r="R48" i="3"/>
  <c r="P48" i="3"/>
  <c r="O48" i="3"/>
  <c r="N48" i="3"/>
  <c r="Q48" i="3" s="1"/>
  <c r="J48" i="3"/>
  <c r="I48" i="3"/>
  <c r="H48" i="3"/>
  <c r="G48" i="3"/>
  <c r="F48" i="3"/>
  <c r="E48" i="3"/>
  <c r="D48" i="3"/>
  <c r="C48" i="3"/>
  <c r="B48" i="3"/>
  <c r="A48" i="3"/>
  <c r="U47" i="3"/>
  <c r="T47" i="3"/>
  <c r="S47" i="3"/>
  <c r="R47" i="3"/>
  <c r="P47" i="3"/>
  <c r="O47" i="3"/>
  <c r="N47" i="3"/>
  <c r="Q47" i="3" s="1"/>
  <c r="J47" i="3"/>
  <c r="I47" i="3"/>
  <c r="H47" i="3"/>
  <c r="G47" i="3"/>
  <c r="F47" i="3"/>
  <c r="E47" i="3"/>
  <c r="D47" i="3"/>
  <c r="C47" i="3"/>
  <c r="B47" i="3"/>
  <c r="A47" i="3"/>
  <c r="U46" i="3"/>
  <c r="T46" i="3"/>
  <c r="S46" i="3"/>
  <c r="R46" i="3"/>
  <c r="P46" i="3"/>
  <c r="O46" i="3"/>
  <c r="N46" i="3"/>
  <c r="Q46" i="3" s="1"/>
  <c r="J46" i="3"/>
  <c r="I46" i="3"/>
  <c r="H46" i="3"/>
  <c r="G46" i="3"/>
  <c r="F46" i="3"/>
  <c r="E46" i="3"/>
  <c r="D46" i="3"/>
  <c r="C46" i="3"/>
  <c r="B46" i="3"/>
  <c r="A46" i="3"/>
  <c r="U45" i="3"/>
  <c r="T45" i="3"/>
  <c r="S45" i="3"/>
  <c r="R45" i="3"/>
  <c r="P45" i="3"/>
  <c r="O45" i="3"/>
  <c r="N45" i="3"/>
  <c r="Q45" i="3" s="1"/>
  <c r="J45" i="3"/>
  <c r="I45" i="3"/>
  <c r="H45" i="3"/>
  <c r="G45" i="3"/>
  <c r="F45" i="3"/>
  <c r="E45" i="3"/>
  <c r="D45" i="3"/>
  <c r="C45" i="3"/>
  <c r="B45" i="3"/>
  <c r="A45" i="3"/>
  <c r="U44" i="3"/>
  <c r="T44" i="3"/>
  <c r="S44" i="3"/>
  <c r="R44" i="3"/>
  <c r="P44" i="3"/>
  <c r="O44" i="3"/>
  <c r="N44" i="3"/>
  <c r="Q44" i="3" s="1"/>
  <c r="J44" i="3"/>
  <c r="I44" i="3"/>
  <c r="H44" i="3"/>
  <c r="G44" i="3"/>
  <c r="F44" i="3"/>
  <c r="E44" i="3"/>
  <c r="D44" i="3"/>
  <c r="C44" i="3"/>
  <c r="B44" i="3"/>
  <c r="A44" i="3"/>
  <c r="U43" i="3"/>
  <c r="T43" i="3"/>
  <c r="S43" i="3"/>
  <c r="R43" i="3"/>
  <c r="P43" i="3"/>
  <c r="O43" i="3"/>
  <c r="N43" i="3"/>
  <c r="Q43" i="3" s="1"/>
  <c r="J43" i="3"/>
  <c r="I43" i="3"/>
  <c r="H43" i="3"/>
  <c r="G43" i="3"/>
  <c r="F43" i="3"/>
  <c r="E43" i="3"/>
  <c r="D43" i="3"/>
  <c r="C43" i="3"/>
  <c r="B43" i="3"/>
  <c r="A43" i="3"/>
  <c r="U42" i="3"/>
  <c r="T42" i="3"/>
  <c r="S42" i="3"/>
  <c r="R42" i="3"/>
  <c r="P42" i="3"/>
  <c r="O42" i="3"/>
  <c r="N42" i="3"/>
  <c r="Q42" i="3" s="1"/>
  <c r="J42" i="3"/>
  <c r="I42" i="3"/>
  <c r="H42" i="3"/>
  <c r="G42" i="3"/>
  <c r="F42" i="3"/>
  <c r="E42" i="3"/>
  <c r="D42" i="3"/>
  <c r="C42" i="3"/>
  <c r="B42" i="3"/>
  <c r="A42" i="3"/>
  <c r="U41" i="3"/>
  <c r="T41" i="3"/>
  <c r="S41" i="3"/>
  <c r="R41" i="3"/>
  <c r="P41" i="3"/>
  <c r="O41" i="3"/>
  <c r="N41" i="3"/>
  <c r="Q41" i="3" s="1"/>
  <c r="J41" i="3"/>
  <c r="I41" i="3"/>
  <c r="H41" i="3"/>
  <c r="G41" i="3"/>
  <c r="F41" i="3"/>
  <c r="E41" i="3"/>
  <c r="D41" i="3"/>
  <c r="C41" i="3"/>
  <c r="B41" i="3"/>
  <c r="A41" i="3"/>
  <c r="U40" i="3"/>
  <c r="T40" i="3"/>
  <c r="S40" i="3"/>
  <c r="R40" i="3"/>
  <c r="P40" i="3"/>
  <c r="O40" i="3"/>
  <c r="N40" i="3"/>
  <c r="Q40" i="3" s="1"/>
  <c r="J40" i="3"/>
  <c r="I40" i="3"/>
  <c r="H40" i="3"/>
  <c r="G40" i="3"/>
  <c r="F40" i="3"/>
  <c r="E40" i="3"/>
  <c r="D40" i="3"/>
  <c r="C40" i="3"/>
  <c r="B40" i="3"/>
  <c r="A40" i="3"/>
  <c r="U39" i="3"/>
  <c r="T39" i="3"/>
  <c r="S39" i="3"/>
  <c r="R39" i="3"/>
  <c r="P39" i="3"/>
  <c r="O39" i="3"/>
  <c r="N39" i="3"/>
  <c r="Q39" i="3" s="1"/>
  <c r="J39" i="3"/>
  <c r="I39" i="3"/>
  <c r="H39" i="3"/>
  <c r="G39" i="3"/>
  <c r="F39" i="3"/>
  <c r="E39" i="3"/>
  <c r="D39" i="3"/>
  <c r="C39" i="3"/>
  <c r="B39" i="3"/>
  <c r="A39" i="3"/>
  <c r="U38" i="3"/>
  <c r="T38" i="3"/>
  <c r="S38" i="3"/>
  <c r="R38" i="3"/>
  <c r="P38" i="3"/>
  <c r="O38" i="3"/>
  <c r="N38" i="3"/>
  <c r="Q38" i="3" s="1"/>
  <c r="J38" i="3"/>
  <c r="I38" i="3"/>
  <c r="H38" i="3"/>
  <c r="G38" i="3"/>
  <c r="F38" i="3"/>
  <c r="E38" i="3"/>
  <c r="D38" i="3"/>
  <c r="C38" i="3"/>
  <c r="B38" i="3"/>
  <c r="A38" i="3"/>
  <c r="U37" i="3"/>
  <c r="T37" i="3"/>
  <c r="S37" i="3"/>
  <c r="R37" i="3"/>
  <c r="P37" i="3"/>
  <c r="O37" i="3"/>
  <c r="N37" i="3"/>
  <c r="Q37" i="3" s="1"/>
  <c r="J37" i="3"/>
  <c r="I37" i="3"/>
  <c r="H37" i="3"/>
  <c r="G37" i="3"/>
  <c r="F37" i="3"/>
  <c r="E37" i="3"/>
  <c r="D37" i="3"/>
  <c r="C37" i="3"/>
  <c r="B37" i="3"/>
  <c r="A37" i="3"/>
  <c r="U36" i="3"/>
  <c r="T36" i="3"/>
  <c r="S36" i="3"/>
  <c r="R36" i="3"/>
  <c r="P36" i="3"/>
  <c r="O36" i="3"/>
  <c r="N36" i="3"/>
  <c r="Q36" i="3" s="1"/>
  <c r="J36" i="3"/>
  <c r="I36" i="3"/>
  <c r="H36" i="3"/>
  <c r="G36" i="3"/>
  <c r="F36" i="3"/>
  <c r="E36" i="3"/>
  <c r="D36" i="3"/>
  <c r="C36" i="3"/>
  <c r="B36" i="3"/>
  <c r="A36" i="3"/>
  <c r="U35" i="3"/>
  <c r="T35" i="3"/>
  <c r="S35" i="3"/>
  <c r="R35" i="3"/>
  <c r="P35" i="3"/>
  <c r="O35" i="3"/>
  <c r="N35" i="3"/>
  <c r="Q35" i="3" s="1"/>
  <c r="J35" i="3"/>
  <c r="I35" i="3"/>
  <c r="H35" i="3"/>
  <c r="G35" i="3"/>
  <c r="F35" i="3"/>
  <c r="E35" i="3"/>
  <c r="D35" i="3"/>
  <c r="C35" i="3"/>
  <c r="B35" i="3"/>
  <c r="A35" i="3"/>
  <c r="U34" i="3"/>
  <c r="T34" i="3"/>
  <c r="S34" i="3"/>
  <c r="R34" i="3"/>
  <c r="Q34" i="3"/>
  <c r="P34" i="3"/>
  <c r="O34" i="3"/>
  <c r="N34" i="3"/>
  <c r="J34" i="3"/>
  <c r="I34" i="3"/>
  <c r="H34" i="3"/>
  <c r="G34" i="3"/>
  <c r="F34" i="3"/>
  <c r="E34" i="3"/>
  <c r="D34" i="3"/>
  <c r="C34" i="3"/>
  <c r="B34" i="3"/>
  <c r="A34" i="3"/>
  <c r="U33" i="3"/>
  <c r="T33" i="3"/>
  <c r="S33" i="3"/>
  <c r="R33" i="3"/>
  <c r="P33" i="3"/>
  <c r="O33" i="3"/>
  <c r="N33" i="3"/>
  <c r="Q33" i="3" s="1"/>
  <c r="J33" i="3"/>
  <c r="I33" i="3"/>
  <c r="H33" i="3"/>
  <c r="G33" i="3"/>
  <c r="F33" i="3"/>
  <c r="E33" i="3"/>
  <c r="D33" i="3"/>
  <c r="C33" i="3"/>
  <c r="B33" i="3"/>
  <c r="A33" i="3"/>
  <c r="U32" i="3"/>
  <c r="T32" i="3"/>
  <c r="S32" i="3"/>
  <c r="R32" i="3"/>
  <c r="Q32" i="3"/>
  <c r="P32" i="3"/>
  <c r="O32" i="3"/>
  <c r="N32" i="3"/>
  <c r="J32" i="3"/>
  <c r="I32" i="3"/>
  <c r="H32" i="3"/>
  <c r="G32" i="3"/>
  <c r="F32" i="3"/>
  <c r="E32" i="3"/>
  <c r="D32" i="3"/>
  <c r="C32" i="3"/>
  <c r="B32" i="3"/>
  <c r="A32" i="3"/>
  <c r="U31" i="3"/>
  <c r="T31" i="3"/>
  <c r="S31" i="3"/>
  <c r="R31" i="3"/>
  <c r="P31" i="3"/>
  <c r="O31" i="3"/>
  <c r="N31" i="3"/>
  <c r="Q31" i="3" s="1"/>
  <c r="J31" i="3"/>
  <c r="I31" i="3"/>
  <c r="H31" i="3"/>
  <c r="G31" i="3"/>
  <c r="F31" i="3"/>
  <c r="E31" i="3"/>
  <c r="D31" i="3"/>
  <c r="C31" i="3"/>
  <c r="B31" i="3"/>
  <c r="A31" i="3"/>
  <c r="U30" i="3"/>
  <c r="T30" i="3"/>
  <c r="S30" i="3"/>
  <c r="R30" i="3"/>
  <c r="Q30" i="3"/>
  <c r="P30" i="3"/>
  <c r="O30" i="3"/>
  <c r="N30" i="3"/>
  <c r="J30" i="3"/>
  <c r="I30" i="3"/>
  <c r="H30" i="3"/>
  <c r="G30" i="3"/>
  <c r="F30" i="3"/>
  <c r="E30" i="3"/>
  <c r="D30" i="3"/>
  <c r="C30" i="3"/>
  <c r="B30" i="3"/>
  <c r="A30" i="3"/>
  <c r="U29" i="3"/>
  <c r="T29" i="3"/>
  <c r="S29" i="3"/>
  <c r="R29" i="3"/>
  <c r="P29" i="3"/>
  <c r="O29" i="3"/>
  <c r="N29" i="3"/>
  <c r="Q29" i="3" s="1"/>
  <c r="J29" i="3"/>
  <c r="I29" i="3"/>
  <c r="H29" i="3"/>
  <c r="G29" i="3"/>
  <c r="F29" i="3"/>
  <c r="E29" i="3"/>
  <c r="D29" i="3"/>
  <c r="C29" i="3"/>
  <c r="B29" i="3"/>
  <c r="A29" i="3"/>
  <c r="U28" i="3"/>
  <c r="T28" i="3"/>
  <c r="S28" i="3"/>
  <c r="R28" i="3"/>
  <c r="P28" i="3"/>
  <c r="O28" i="3"/>
  <c r="N28" i="3"/>
  <c r="Q28" i="3" s="1"/>
  <c r="J28" i="3"/>
  <c r="I28" i="3"/>
  <c r="H28" i="3"/>
  <c r="G28" i="3"/>
  <c r="F28" i="3"/>
  <c r="E28" i="3"/>
  <c r="D28" i="3"/>
  <c r="C28" i="3"/>
  <c r="B28" i="3"/>
  <c r="A28" i="3"/>
  <c r="U27" i="3"/>
  <c r="T27" i="3"/>
  <c r="S27" i="3"/>
  <c r="R27" i="3"/>
  <c r="P27" i="3"/>
  <c r="O27" i="3"/>
  <c r="N27" i="3"/>
  <c r="Q27" i="3" s="1"/>
  <c r="J27" i="3"/>
  <c r="I27" i="3"/>
  <c r="H27" i="3"/>
  <c r="G27" i="3"/>
  <c r="F27" i="3"/>
  <c r="E27" i="3"/>
  <c r="D27" i="3"/>
  <c r="C27" i="3"/>
  <c r="B27" i="3"/>
  <c r="A27" i="3"/>
  <c r="U26" i="3"/>
  <c r="T26" i="3"/>
  <c r="S26" i="3"/>
  <c r="R26" i="3"/>
  <c r="P26" i="3"/>
  <c r="O26" i="3"/>
  <c r="N26" i="3"/>
  <c r="Q26" i="3" s="1"/>
  <c r="J26" i="3"/>
  <c r="I26" i="3"/>
  <c r="H26" i="3"/>
  <c r="G26" i="3"/>
  <c r="F26" i="3"/>
  <c r="E26" i="3"/>
  <c r="D26" i="3"/>
  <c r="C26" i="3"/>
  <c r="B26" i="3"/>
  <c r="A26" i="3"/>
  <c r="U25" i="3"/>
  <c r="T25" i="3"/>
  <c r="S25" i="3"/>
  <c r="R25" i="3"/>
  <c r="P25" i="3"/>
  <c r="O25" i="3"/>
  <c r="N25" i="3"/>
  <c r="Q25" i="3" s="1"/>
  <c r="J25" i="3"/>
  <c r="I25" i="3"/>
  <c r="H25" i="3"/>
  <c r="G25" i="3"/>
  <c r="F25" i="3"/>
  <c r="E25" i="3"/>
  <c r="D25" i="3"/>
  <c r="C25" i="3"/>
  <c r="B25" i="3"/>
  <c r="A25" i="3"/>
  <c r="U24" i="3"/>
  <c r="T24" i="3"/>
  <c r="S24" i="3"/>
  <c r="R24" i="3"/>
  <c r="P24" i="3"/>
  <c r="O24" i="3"/>
  <c r="N24" i="3"/>
  <c r="Q24" i="3" s="1"/>
  <c r="J24" i="3"/>
  <c r="I24" i="3"/>
  <c r="H24" i="3"/>
  <c r="G24" i="3"/>
  <c r="F24" i="3"/>
  <c r="E24" i="3"/>
  <c r="D24" i="3"/>
  <c r="C24" i="3"/>
  <c r="B24" i="3"/>
  <c r="A24" i="3"/>
  <c r="U23" i="3"/>
  <c r="T23" i="3"/>
  <c r="S23" i="3"/>
  <c r="R23" i="3"/>
  <c r="P23" i="3"/>
  <c r="O23" i="3"/>
  <c r="N23" i="3"/>
  <c r="Q23" i="3" s="1"/>
  <c r="J23" i="3"/>
  <c r="I23" i="3"/>
  <c r="H23" i="3"/>
  <c r="G23" i="3"/>
  <c r="F23" i="3"/>
  <c r="E23" i="3"/>
  <c r="D23" i="3"/>
  <c r="C23" i="3"/>
  <c r="B23" i="3"/>
  <c r="A23" i="3"/>
  <c r="U22" i="3"/>
  <c r="T22" i="3"/>
  <c r="S22" i="3"/>
  <c r="R22" i="3"/>
  <c r="P22" i="3"/>
  <c r="O22" i="3"/>
  <c r="N22" i="3"/>
  <c r="Q22" i="3" s="1"/>
  <c r="J22" i="3"/>
  <c r="I22" i="3"/>
  <c r="H22" i="3"/>
  <c r="G22" i="3"/>
  <c r="F22" i="3"/>
  <c r="E22" i="3"/>
  <c r="D22" i="3"/>
  <c r="C22" i="3"/>
  <c r="B22" i="3"/>
  <c r="A22" i="3"/>
  <c r="U21" i="3"/>
  <c r="T21" i="3"/>
  <c r="S21" i="3"/>
  <c r="R21" i="3"/>
  <c r="P21" i="3"/>
  <c r="O21" i="3"/>
  <c r="N21" i="3"/>
  <c r="Q21" i="3" s="1"/>
  <c r="J21" i="3"/>
  <c r="I21" i="3"/>
  <c r="H21" i="3"/>
  <c r="G21" i="3"/>
  <c r="F21" i="3"/>
  <c r="E21" i="3"/>
  <c r="D21" i="3"/>
  <c r="C21" i="3"/>
  <c r="B21" i="3"/>
  <c r="A21" i="3"/>
  <c r="U20" i="3"/>
  <c r="T20" i="3"/>
  <c r="S20" i="3"/>
  <c r="R20" i="3"/>
  <c r="P20" i="3"/>
  <c r="O20" i="3"/>
  <c r="N20" i="3"/>
  <c r="Q20" i="3" s="1"/>
  <c r="J20" i="3"/>
  <c r="I20" i="3"/>
  <c r="H20" i="3"/>
  <c r="G20" i="3"/>
  <c r="F20" i="3"/>
  <c r="E20" i="3"/>
  <c r="D20" i="3"/>
  <c r="C20" i="3"/>
  <c r="B20" i="3"/>
  <c r="A20" i="3"/>
  <c r="U19" i="3"/>
  <c r="T19" i="3"/>
  <c r="S19" i="3"/>
  <c r="R19" i="3"/>
  <c r="P19" i="3"/>
  <c r="O19" i="3"/>
  <c r="N19" i="3"/>
  <c r="Q19" i="3" s="1"/>
  <c r="J19" i="3"/>
  <c r="I19" i="3"/>
  <c r="H19" i="3"/>
  <c r="G19" i="3"/>
  <c r="F19" i="3"/>
  <c r="E19" i="3"/>
  <c r="D19" i="3"/>
  <c r="C19" i="3"/>
  <c r="B19" i="3"/>
  <c r="A19" i="3"/>
  <c r="U18" i="3"/>
  <c r="T18" i="3"/>
  <c r="S18" i="3"/>
  <c r="R18" i="3"/>
  <c r="P18" i="3"/>
  <c r="O18" i="3"/>
  <c r="N18" i="3"/>
  <c r="Q18" i="3" s="1"/>
  <c r="J18" i="3"/>
  <c r="I18" i="3"/>
  <c r="H18" i="3"/>
  <c r="G18" i="3"/>
  <c r="F18" i="3"/>
  <c r="E18" i="3"/>
  <c r="D18" i="3"/>
  <c r="C18" i="3"/>
  <c r="B18" i="3"/>
  <c r="A18" i="3"/>
  <c r="U17" i="3"/>
  <c r="T17" i="3"/>
  <c r="S17" i="3"/>
  <c r="R17" i="3"/>
  <c r="P17" i="3"/>
  <c r="O17" i="3"/>
  <c r="N17" i="3"/>
  <c r="Q17" i="3" s="1"/>
  <c r="J17" i="3"/>
  <c r="I17" i="3"/>
  <c r="H17" i="3"/>
  <c r="G17" i="3"/>
  <c r="F17" i="3"/>
  <c r="E17" i="3"/>
  <c r="D17" i="3"/>
  <c r="C17" i="3"/>
  <c r="B17" i="3"/>
  <c r="A17" i="3"/>
  <c r="U16" i="3"/>
  <c r="T16" i="3"/>
  <c r="S16" i="3"/>
  <c r="R16" i="3"/>
  <c r="P16" i="3"/>
  <c r="O16" i="3"/>
  <c r="N16" i="3"/>
  <c r="Q16" i="3" s="1"/>
  <c r="J16" i="3"/>
  <c r="I16" i="3"/>
  <c r="H16" i="3"/>
  <c r="G16" i="3"/>
  <c r="F16" i="3"/>
  <c r="E16" i="3"/>
  <c r="D16" i="3"/>
  <c r="C16" i="3"/>
  <c r="B16" i="3"/>
  <c r="A16" i="3"/>
  <c r="U15" i="3"/>
  <c r="T15" i="3"/>
  <c r="S15" i="3"/>
  <c r="R15" i="3"/>
  <c r="P15" i="3"/>
  <c r="O15" i="3"/>
  <c r="N15" i="3"/>
  <c r="Q15" i="3" s="1"/>
  <c r="J15" i="3"/>
  <c r="I15" i="3"/>
  <c r="H15" i="3"/>
  <c r="G15" i="3"/>
  <c r="F15" i="3"/>
  <c r="E15" i="3"/>
  <c r="D15" i="3"/>
  <c r="C15" i="3"/>
  <c r="B15" i="3"/>
  <c r="A15" i="3"/>
  <c r="U14" i="3"/>
  <c r="T14" i="3"/>
  <c r="S14" i="3"/>
  <c r="R14" i="3"/>
  <c r="P14" i="3"/>
  <c r="O14" i="3"/>
  <c r="N14" i="3"/>
  <c r="Q14" i="3" s="1"/>
  <c r="J14" i="3"/>
  <c r="I14" i="3"/>
  <c r="H14" i="3"/>
  <c r="G14" i="3"/>
  <c r="F14" i="3"/>
  <c r="E14" i="3"/>
  <c r="D14" i="3"/>
  <c r="C14" i="3"/>
  <c r="B14" i="3"/>
  <c r="A14" i="3"/>
  <c r="U13" i="3"/>
  <c r="T13" i="3"/>
  <c r="S13" i="3"/>
  <c r="R13" i="3"/>
  <c r="P13" i="3"/>
  <c r="O13" i="3"/>
  <c r="N13" i="3"/>
  <c r="Q13" i="3" s="1"/>
  <c r="J13" i="3"/>
  <c r="I13" i="3"/>
  <c r="H13" i="3"/>
  <c r="G13" i="3"/>
  <c r="F13" i="3"/>
  <c r="E13" i="3"/>
  <c r="D13" i="3"/>
  <c r="C13" i="3"/>
  <c r="B13" i="3"/>
  <c r="A13" i="3"/>
  <c r="U12" i="3"/>
  <c r="T12" i="3"/>
  <c r="S12" i="3"/>
  <c r="R12" i="3"/>
  <c r="P12" i="3"/>
  <c r="O12" i="3"/>
  <c r="N12" i="3"/>
  <c r="Q12" i="3" s="1"/>
  <c r="J12" i="3"/>
  <c r="I12" i="3"/>
  <c r="H12" i="3"/>
  <c r="G12" i="3"/>
  <c r="F12" i="3"/>
  <c r="E12" i="3"/>
  <c r="D12" i="3"/>
  <c r="C12" i="3"/>
  <c r="B12" i="3"/>
  <c r="A12" i="3"/>
  <c r="U11" i="3"/>
  <c r="T11" i="3"/>
  <c r="S11" i="3"/>
  <c r="R11" i="3"/>
  <c r="P11" i="3"/>
  <c r="O11" i="3"/>
  <c r="N11" i="3"/>
  <c r="Q11" i="3" s="1"/>
  <c r="J11" i="3"/>
  <c r="I11" i="3"/>
  <c r="H11" i="3"/>
  <c r="G11" i="3"/>
  <c r="F11" i="3"/>
  <c r="E11" i="3"/>
  <c r="D11" i="3"/>
  <c r="C11" i="3"/>
  <c r="B11" i="3"/>
  <c r="A11" i="3"/>
  <c r="U10" i="3"/>
  <c r="T10" i="3"/>
  <c r="S10" i="3"/>
  <c r="R10" i="3"/>
  <c r="Q10" i="3"/>
  <c r="P10" i="3"/>
  <c r="O10" i="3"/>
  <c r="N10" i="3"/>
  <c r="J10" i="3"/>
  <c r="I10" i="3"/>
  <c r="H10" i="3"/>
  <c r="G10" i="3"/>
  <c r="F10" i="3"/>
  <c r="E10" i="3"/>
  <c r="D10" i="3"/>
  <c r="C10" i="3"/>
  <c r="B10" i="3"/>
  <c r="A10" i="3"/>
  <c r="U9" i="3"/>
  <c r="T9" i="3"/>
  <c r="S9" i="3"/>
  <c r="R9" i="3"/>
  <c r="P9" i="3"/>
  <c r="O9" i="3"/>
  <c r="N9" i="3"/>
  <c r="Q9" i="3" s="1"/>
  <c r="J9" i="3"/>
  <c r="I9" i="3"/>
  <c r="H9" i="3"/>
  <c r="G9" i="3"/>
  <c r="F9" i="3"/>
  <c r="E9" i="3"/>
  <c r="D9" i="3"/>
  <c r="C9" i="3"/>
  <c r="B9" i="3"/>
  <c r="A9" i="3"/>
  <c r="U8" i="3"/>
  <c r="T8" i="3"/>
  <c r="S8" i="3"/>
  <c r="R8" i="3"/>
  <c r="P8" i="3"/>
  <c r="O8" i="3"/>
  <c r="N8" i="3"/>
  <c r="Q8" i="3" s="1"/>
  <c r="J8" i="3"/>
  <c r="I8" i="3"/>
  <c r="H8" i="3"/>
  <c r="G8" i="3"/>
  <c r="F8" i="3"/>
  <c r="E8" i="3"/>
  <c r="D8" i="3"/>
  <c r="C8" i="3"/>
  <c r="B8" i="3"/>
  <c r="A8" i="3"/>
  <c r="U7" i="3"/>
  <c r="T7" i="3"/>
  <c r="S7" i="3"/>
  <c r="R7" i="3"/>
  <c r="P7" i="3"/>
  <c r="O7" i="3"/>
  <c r="N7" i="3"/>
  <c r="Q7" i="3" s="1"/>
  <c r="J7" i="3"/>
  <c r="I7" i="3"/>
  <c r="H7" i="3"/>
  <c r="G7" i="3"/>
  <c r="F7" i="3"/>
  <c r="E7" i="3"/>
  <c r="D7" i="3"/>
  <c r="C7" i="3"/>
  <c r="B7" i="3"/>
  <c r="A7" i="3"/>
  <c r="U6" i="3"/>
  <c r="T6" i="3"/>
  <c r="S6" i="3"/>
  <c r="R6" i="3"/>
  <c r="P6" i="3"/>
  <c r="O6" i="3"/>
  <c r="N6" i="3"/>
  <c r="Q6" i="3" s="1"/>
  <c r="J6" i="3"/>
  <c r="I6" i="3"/>
  <c r="H6" i="3"/>
  <c r="G6" i="3"/>
  <c r="F6" i="3"/>
  <c r="E6" i="3"/>
  <c r="D6" i="3"/>
  <c r="C6" i="3"/>
  <c r="B6" i="3"/>
  <c r="A6" i="3"/>
  <c r="U5" i="3"/>
  <c r="T5" i="3"/>
  <c r="S5" i="3"/>
  <c r="R5" i="3"/>
  <c r="P5" i="3"/>
  <c r="O5" i="3"/>
  <c r="N5" i="3"/>
  <c r="Q5" i="3" s="1"/>
  <c r="J5" i="3"/>
  <c r="I5" i="3"/>
  <c r="H5" i="3"/>
  <c r="G5" i="3"/>
  <c r="F5" i="3"/>
  <c r="E5" i="3"/>
  <c r="D5" i="3"/>
  <c r="C5" i="3"/>
  <c r="B5" i="3"/>
  <c r="A5" i="3"/>
  <c r="U4" i="3"/>
  <c r="T4" i="3"/>
  <c r="S4" i="3"/>
  <c r="R4" i="3"/>
  <c r="P4" i="3"/>
  <c r="O4" i="3"/>
  <c r="N4" i="3"/>
  <c r="Q4" i="3" s="1"/>
  <c r="J4" i="3"/>
  <c r="I4" i="3"/>
  <c r="H4" i="3"/>
  <c r="G4" i="3"/>
  <c r="F4" i="3"/>
  <c r="E4" i="3"/>
  <c r="D4" i="3"/>
  <c r="C4" i="3"/>
  <c r="B4" i="3"/>
  <c r="A4" i="3"/>
  <c r="U3" i="3"/>
  <c r="T3" i="3"/>
  <c r="S3" i="3"/>
  <c r="R3" i="3"/>
  <c r="P3" i="3"/>
  <c r="O3" i="3"/>
  <c r="N3" i="3"/>
  <c r="Q3" i="3" s="1"/>
  <c r="J3" i="3"/>
  <c r="I3" i="3"/>
  <c r="H3" i="3"/>
  <c r="G3" i="3"/>
  <c r="F3" i="3"/>
  <c r="E3" i="3"/>
  <c r="D3" i="3"/>
  <c r="C3" i="3"/>
  <c r="B3" i="3"/>
  <c r="A3" i="3"/>
  <c r="L266" i="3"/>
  <c r="L267" i="3"/>
  <c r="L268" i="3"/>
  <c r="L269" i="3"/>
  <c r="L270" i="3"/>
  <c r="L271" i="3"/>
  <c r="L272" i="3"/>
  <c r="L273" i="3"/>
  <c r="L274" i="3"/>
  <c r="L275" i="3"/>
  <c r="L276" i="3"/>
  <c r="L277" i="3"/>
  <c r="K263" i="3"/>
  <c r="L263" i="3"/>
  <c r="K264" i="3"/>
  <c r="L264" i="3"/>
  <c r="K265" i="3"/>
  <c r="L265" i="3"/>
  <c r="Q192" i="3" l="1"/>
  <c r="K276" i="3"/>
  <c r="K274" i="3"/>
  <c r="K272" i="3"/>
  <c r="K270" i="3"/>
  <c r="K268" i="3"/>
  <c r="K266" i="3"/>
  <c r="K277" i="3"/>
  <c r="K275" i="3"/>
  <c r="K273" i="3"/>
  <c r="K271" i="3"/>
  <c r="K269" i="3"/>
  <c r="K267" i="3"/>
  <c r="Q165" i="3"/>
  <c r="K262" i="3" l="1"/>
  <c r="K261" i="3"/>
  <c r="L262" i="3"/>
  <c r="L261" i="3"/>
  <c r="L260" i="3" l="1"/>
  <c r="L258" i="3"/>
  <c r="L256" i="3"/>
  <c r="L254" i="3"/>
  <c r="L252" i="3"/>
  <c r="L251" i="3"/>
  <c r="L249" i="3"/>
  <c r="L248" i="3"/>
  <c r="L247" i="3"/>
  <c r="L246" i="3"/>
  <c r="L245" i="3"/>
  <c r="L244" i="3"/>
  <c r="L243" i="3"/>
  <c r="L242" i="3"/>
  <c r="L241" i="3"/>
  <c r="L240" i="3"/>
  <c r="L239" i="3"/>
  <c r="L238" i="3"/>
  <c r="L237" i="3"/>
  <c r="L236" i="3"/>
  <c r="L235" i="3"/>
  <c r="L234" i="3"/>
  <c r="L233" i="3"/>
  <c r="L232" i="3"/>
  <c r="K260" i="3"/>
  <c r="K259" i="3"/>
  <c r="K258" i="3"/>
  <c r="K257" i="3"/>
  <c r="K256" i="3"/>
  <c r="K255" i="3"/>
  <c r="K254" i="3"/>
  <c r="K253" i="3"/>
  <c r="K252" i="3"/>
  <c r="K251" i="3"/>
  <c r="K250" i="3"/>
  <c r="K249" i="3"/>
  <c r="K248" i="3"/>
  <c r="K247" i="3"/>
  <c r="K246" i="3"/>
  <c r="K245" i="3"/>
  <c r="K244" i="3"/>
  <c r="K243" i="3"/>
  <c r="K242" i="3"/>
  <c r="K241" i="3"/>
  <c r="K240" i="3"/>
  <c r="K239" i="3"/>
  <c r="K238" i="3"/>
  <c r="K237" i="3"/>
  <c r="K236" i="3"/>
  <c r="K235" i="3"/>
  <c r="K234" i="3"/>
  <c r="K233" i="3"/>
  <c r="K232" i="3"/>
  <c r="L259" i="3"/>
  <c r="L257" i="3"/>
  <c r="L255" i="3"/>
  <c r="L253" i="3"/>
  <c r="L250" i="3"/>
  <c r="K18" i="3" l="1"/>
  <c r="L18" i="3"/>
  <c r="K160" i="3"/>
  <c r="K161" i="3"/>
  <c r="K165" i="3"/>
  <c r="K169" i="3"/>
  <c r="K173" i="3"/>
  <c r="K176" i="3"/>
  <c r="K177" i="3"/>
  <c r="K181" i="3"/>
  <c r="K185" i="3"/>
  <c r="K188" i="3"/>
  <c r="K196" i="3"/>
  <c r="K197" i="3"/>
  <c r="K198" i="3"/>
  <c r="K199" i="3"/>
  <c r="K200" i="3"/>
  <c r="K201" i="3"/>
  <c r="K202" i="3"/>
  <c r="L202" i="3"/>
  <c r="K203" i="3"/>
  <c r="K204" i="3"/>
  <c r="K205" i="3"/>
  <c r="K206" i="3"/>
  <c r="K207" i="3"/>
  <c r="K208" i="3"/>
  <c r="K209" i="3"/>
  <c r="K210" i="3"/>
  <c r="K211" i="3"/>
  <c r="K212" i="3"/>
  <c r="K213" i="3"/>
  <c r="K214" i="3"/>
  <c r="K215" i="3"/>
  <c r="K216" i="3"/>
  <c r="K217" i="3"/>
  <c r="K218" i="3"/>
  <c r="L218" i="3"/>
  <c r="K219" i="3"/>
  <c r="K220" i="3"/>
  <c r="K221" i="3"/>
  <c r="K222" i="3"/>
  <c r="K223" i="3"/>
  <c r="K224" i="3"/>
  <c r="K225" i="3"/>
  <c r="K226" i="3"/>
  <c r="K227" i="3"/>
  <c r="K228" i="3"/>
  <c r="K229" i="3"/>
  <c r="K230" i="3"/>
  <c r="K231" i="3"/>
  <c r="L2" i="1"/>
  <c r="M2" i="1" s="1"/>
  <c r="O2" i="1" s="1"/>
  <c r="L210" i="3" l="1"/>
  <c r="L226" i="3"/>
  <c r="L230" i="3"/>
  <c r="L214" i="3"/>
  <c r="L198" i="3"/>
  <c r="K184" i="3"/>
  <c r="K168" i="3"/>
  <c r="L222" i="3"/>
  <c r="L206" i="3"/>
  <c r="K180" i="3"/>
  <c r="K164" i="3"/>
  <c r="L228" i="3"/>
  <c r="L220" i="3"/>
  <c r="L212" i="3"/>
  <c r="L204" i="3"/>
  <c r="L196" i="3"/>
  <c r="K172" i="3"/>
  <c r="L224" i="3"/>
  <c r="L216" i="3"/>
  <c r="L208" i="3"/>
  <c r="L200" i="3"/>
  <c r="K192" i="3"/>
  <c r="L192" i="3"/>
  <c r="L231" i="3"/>
  <c r="L229" i="3"/>
  <c r="L227" i="3"/>
  <c r="L225" i="3"/>
  <c r="L223" i="3"/>
  <c r="L221" i="3"/>
  <c r="L219" i="3"/>
  <c r="L217" i="3"/>
  <c r="L215" i="3"/>
  <c r="L213" i="3"/>
  <c r="L211" i="3"/>
  <c r="L209" i="3"/>
  <c r="L207" i="3"/>
  <c r="L205" i="3"/>
  <c r="L203" i="3"/>
  <c r="L201" i="3"/>
  <c r="L199" i="3"/>
  <c r="L197" i="3"/>
  <c r="L195" i="3"/>
  <c r="K195" i="3"/>
  <c r="L191" i="3"/>
  <c r="K191" i="3"/>
  <c r="L193" i="3"/>
  <c r="K193" i="3"/>
  <c r="L189" i="3"/>
  <c r="K189" i="3"/>
  <c r="K194" i="3"/>
  <c r="L194" i="3"/>
  <c r="K190" i="3"/>
  <c r="L190" i="3"/>
  <c r="L57" i="3"/>
  <c r="L41" i="3"/>
  <c r="K33" i="3"/>
  <c r="L25" i="3"/>
  <c r="L16" i="3"/>
  <c r="K8" i="3"/>
  <c r="L183" i="3"/>
  <c r="L175" i="3"/>
  <c r="K67" i="3"/>
  <c r="K51" i="3"/>
  <c r="K43" i="3"/>
  <c r="K10" i="3"/>
  <c r="L188" i="3"/>
  <c r="L184" i="3"/>
  <c r="L180" i="3"/>
  <c r="L176" i="3"/>
  <c r="L172" i="3"/>
  <c r="L168" i="3"/>
  <c r="L164" i="3"/>
  <c r="L160" i="3"/>
  <c r="K158" i="3"/>
  <c r="L158" i="3"/>
  <c r="K156" i="3"/>
  <c r="L156" i="3"/>
  <c r="K154" i="3"/>
  <c r="L154" i="3"/>
  <c r="K152" i="3"/>
  <c r="L152" i="3"/>
  <c r="K150" i="3"/>
  <c r="L150" i="3"/>
  <c r="K148" i="3"/>
  <c r="L148" i="3"/>
  <c r="K146" i="3"/>
  <c r="L146" i="3"/>
  <c r="K144" i="3"/>
  <c r="L144" i="3"/>
  <c r="K142" i="3"/>
  <c r="L142" i="3"/>
  <c r="K140" i="3"/>
  <c r="L140" i="3"/>
  <c r="K138" i="3"/>
  <c r="L138" i="3"/>
  <c r="K136" i="3"/>
  <c r="L136" i="3"/>
  <c r="K134" i="3"/>
  <c r="L134" i="3"/>
  <c r="K132" i="3"/>
  <c r="L132" i="3"/>
  <c r="K130" i="3"/>
  <c r="L130" i="3"/>
  <c r="K128" i="3"/>
  <c r="L128" i="3"/>
  <c r="K126" i="3"/>
  <c r="L126" i="3"/>
  <c r="K124" i="3"/>
  <c r="L124" i="3"/>
  <c r="K122" i="3"/>
  <c r="L122" i="3"/>
  <c r="K120" i="3"/>
  <c r="L120" i="3"/>
  <c r="K118" i="3"/>
  <c r="L118" i="3"/>
  <c r="K116" i="3"/>
  <c r="L116" i="3"/>
  <c r="K114" i="3"/>
  <c r="L114" i="3"/>
  <c r="K112" i="3"/>
  <c r="L112" i="3"/>
  <c r="K110" i="3"/>
  <c r="L110" i="3"/>
  <c r="K108" i="3"/>
  <c r="L108" i="3"/>
  <c r="K106" i="3"/>
  <c r="L106" i="3"/>
  <c r="K104" i="3"/>
  <c r="L104" i="3"/>
  <c r="K102" i="3"/>
  <c r="L102" i="3"/>
  <c r="K100" i="3"/>
  <c r="L100" i="3"/>
  <c r="K98" i="3"/>
  <c r="L98" i="3"/>
  <c r="K96" i="3"/>
  <c r="L96" i="3"/>
  <c r="K94" i="3"/>
  <c r="L94" i="3"/>
  <c r="K92" i="3"/>
  <c r="L92" i="3"/>
  <c r="K90" i="3"/>
  <c r="L90" i="3"/>
  <c r="K85" i="3"/>
  <c r="K77" i="3"/>
  <c r="K69" i="3"/>
  <c r="K61" i="3"/>
  <c r="K53" i="3"/>
  <c r="K45" i="3"/>
  <c r="K37" i="3"/>
  <c r="K29" i="3"/>
  <c r="K21" i="3"/>
  <c r="K12" i="3"/>
  <c r="K4" i="3"/>
  <c r="K81" i="3"/>
  <c r="L73" i="3"/>
  <c r="K65" i="3"/>
  <c r="L49" i="3"/>
  <c r="L187" i="3"/>
  <c r="L179" i="3"/>
  <c r="L171" i="3"/>
  <c r="L167" i="3"/>
  <c r="L163" i="3"/>
  <c r="K83" i="3"/>
  <c r="K75" i="3"/>
  <c r="K59" i="3"/>
  <c r="K35" i="3"/>
  <c r="K27" i="3"/>
  <c r="K19" i="3"/>
  <c r="K187" i="3"/>
  <c r="K186" i="3"/>
  <c r="L185" i="3"/>
  <c r="K183" i="3"/>
  <c r="L182" i="3"/>
  <c r="L181" i="3"/>
  <c r="K179" i="3"/>
  <c r="L178" i="3"/>
  <c r="L177" i="3"/>
  <c r="K175" i="3"/>
  <c r="L174" i="3"/>
  <c r="L173" i="3"/>
  <c r="K171" i="3"/>
  <c r="K170" i="3"/>
  <c r="L169" i="3"/>
  <c r="K167" i="3"/>
  <c r="K166" i="3"/>
  <c r="L165" i="3"/>
  <c r="K163" i="3"/>
  <c r="L162" i="3"/>
  <c r="L161" i="3"/>
  <c r="K159" i="3"/>
  <c r="K157" i="3"/>
  <c r="L155" i="3"/>
  <c r="K153" i="3"/>
  <c r="K151" i="3"/>
  <c r="K149" i="3"/>
  <c r="L147" i="3"/>
  <c r="K145" i="3"/>
  <c r="K143" i="3"/>
  <c r="K141" i="3"/>
  <c r="L139" i="3"/>
  <c r="K137" i="3"/>
  <c r="K135" i="3"/>
  <c r="K133" i="3"/>
  <c r="L131" i="3"/>
  <c r="K129" i="3"/>
  <c r="K127" i="3"/>
  <c r="K125" i="3"/>
  <c r="L123" i="3"/>
  <c r="K121" i="3"/>
  <c r="K119" i="3"/>
  <c r="K117" i="3"/>
  <c r="L115" i="3"/>
  <c r="K113" i="3"/>
  <c r="K111" i="3"/>
  <c r="K109" i="3"/>
  <c r="L107" i="3"/>
  <c r="K105" i="3"/>
  <c r="K103" i="3"/>
  <c r="K101" i="3"/>
  <c r="L99" i="3"/>
  <c r="K97" i="3"/>
  <c r="K95" i="3"/>
  <c r="K93" i="3"/>
  <c r="L91" i="3"/>
  <c r="K89" i="3"/>
  <c r="K87" i="3"/>
  <c r="K79" i="3"/>
  <c r="L79" i="3"/>
  <c r="K73" i="3"/>
  <c r="K71" i="3"/>
  <c r="L71" i="3"/>
  <c r="K63" i="3"/>
  <c r="L55" i="3"/>
  <c r="K47" i="3"/>
  <c r="K41" i="3"/>
  <c r="K39" i="3"/>
  <c r="K31" i="3"/>
  <c r="K25" i="3"/>
  <c r="K23" i="3"/>
  <c r="K14" i="3"/>
  <c r="K6" i="3"/>
  <c r="L88" i="3"/>
  <c r="K86" i="3"/>
  <c r="L84" i="3"/>
  <c r="L82" i="3"/>
  <c r="L80" i="3"/>
  <c r="K78" i="3"/>
  <c r="L78" i="3"/>
  <c r="L76" i="3"/>
  <c r="K74" i="3"/>
  <c r="L72" i="3"/>
  <c r="K70" i="3"/>
  <c r="L68" i="3"/>
  <c r="K66" i="3"/>
  <c r="K64" i="3"/>
  <c r="K62" i="3"/>
  <c r="L60" i="3"/>
  <c r="K58" i="3"/>
  <c r="L56" i="3"/>
  <c r="K54" i="3"/>
  <c r="L52" i="3"/>
  <c r="L50" i="3"/>
  <c r="L48" i="3"/>
  <c r="K46" i="3"/>
  <c r="L46" i="3"/>
  <c r="L44" i="3"/>
  <c r="K42" i="3"/>
  <c r="K40" i="3"/>
  <c r="K38" i="3"/>
  <c r="L36" i="3"/>
  <c r="K34" i="3"/>
  <c r="L32" i="3"/>
  <c r="K30" i="3"/>
  <c r="L28" i="3"/>
  <c r="K26" i="3"/>
  <c r="K24" i="3"/>
  <c r="K22" i="3"/>
  <c r="L20" i="3"/>
  <c r="K17" i="3"/>
  <c r="K15" i="3"/>
  <c r="K13" i="3"/>
  <c r="L13" i="3"/>
  <c r="L11" i="3"/>
  <c r="K9" i="3"/>
  <c r="L7" i="3"/>
  <c r="K5" i="3"/>
  <c r="L3" i="3"/>
  <c r="N2" i="1"/>
  <c r="L30" i="3" l="1"/>
  <c r="K11" i="3"/>
  <c r="K44" i="3"/>
  <c r="K76" i="3"/>
  <c r="L170" i="3"/>
  <c r="L62" i="3"/>
  <c r="L6" i="3"/>
  <c r="L23" i="3"/>
  <c r="K60" i="3"/>
  <c r="K52" i="3"/>
  <c r="L93" i="3"/>
  <c r="L157" i="3"/>
  <c r="L5" i="3"/>
  <c r="L38" i="3"/>
  <c r="L70" i="3"/>
  <c r="L31" i="3"/>
  <c r="L81" i="3"/>
  <c r="L29" i="3"/>
  <c r="L85" i="3"/>
  <c r="L109" i="3"/>
  <c r="K84" i="3"/>
  <c r="L125" i="3"/>
  <c r="L22" i="3"/>
  <c r="L54" i="3"/>
  <c r="L86" i="3"/>
  <c r="K36" i="3"/>
  <c r="L35" i="3"/>
  <c r="L143" i="3"/>
  <c r="L21" i="3"/>
  <c r="K182" i="3"/>
  <c r="L43" i="3"/>
  <c r="L141" i="3"/>
  <c r="K7" i="3"/>
  <c r="K88" i="3"/>
  <c r="L111" i="3"/>
  <c r="K80" i="3"/>
  <c r="K55" i="3"/>
  <c r="L9" i="3"/>
  <c r="L26" i="3"/>
  <c r="L42" i="3"/>
  <c r="L58" i="3"/>
  <c r="L74" i="3"/>
  <c r="K3" i="3"/>
  <c r="L14" i="3"/>
  <c r="K49" i="3"/>
  <c r="K57" i="3"/>
  <c r="K68" i="3"/>
  <c r="L87" i="3"/>
  <c r="L19" i="3"/>
  <c r="L75" i="3"/>
  <c r="L65" i="3"/>
  <c r="L119" i="3"/>
  <c r="L151" i="3"/>
  <c r="L61" i="3"/>
  <c r="K82" i="3"/>
  <c r="K32" i="3"/>
  <c r="K56" i="3"/>
  <c r="L117" i="3"/>
  <c r="L149" i="3"/>
  <c r="K48" i="3"/>
  <c r="L95" i="3"/>
  <c r="L127" i="3"/>
  <c r="L159" i="3"/>
  <c r="K50" i="3"/>
  <c r="L17" i="3"/>
  <c r="L34" i="3"/>
  <c r="L66" i="3"/>
  <c r="K20" i="3"/>
  <c r="K28" i="3"/>
  <c r="L39" i="3"/>
  <c r="L47" i="3"/>
  <c r="L63" i="3"/>
  <c r="L59" i="3"/>
  <c r="L103" i="3"/>
  <c r="L135" i="3"/>
  <c r="L166" i="3"/>
  <c r="L53" i="3"/>
  <c r="L10" i="3"/>
  <c r="K72" i="3"/>
  <c r="L8" i="3"/>
  <c r="L33" i="3"/>
  <c r="L101" i="3"/>
  <c r="L133" i="3"/>
  <c r="K91" i="3"/>
  <c r="K107" i="3"/>
  <c r="K123" i="3"/>
  <c r="K139" i="3"/>
  <c r="K155" i="3"/>
  <c r="K174" i="3"/>
  <c r="K162" i="3"/>
  <c r="L15" i="3"/>
  <c r="L24" i="3"/>
  <c r="L40" i="3"/>
  <c r="L64" i="3"/>
  <c r="L83" i="3"/>
  <c r="L186" i="3"/>
  <c r="L12" i="3"/>
  <c r="L45" i="3"/>
  <c r="L77" i="3"/>
  <c r="L67" i="3"/>
  <c r="L89" i="3"/>
  <c r="L97" i="3"/>
  <c r="L105" i="3"/>
  <c r="L113" i="3"/>
  <c r="L121" i="3"/>
  <c r="L129" i="3"/>
  <c r="L137" i="3"/>
  <c r="L145" i="3"/>
  <c r="L153" i="3"/>
  <c r="K99" i="3"/>
  <c r="K115" i="3"/>
  <c r="K131" i="3"/>
  <c r="K147" i="3"/>
  <c r="K16" i="3"/>
  <c r="L27" i="3"/>
  <c r="L4" i="3"/>
  <c r="L37" i="3"/>
  <c r="L69" i="3"/>
  <c r="K178" i="3"/>
  <c r="L51" i="3"/>
  <c r="S2" i="1" l="1"/>
  <c r="A2" i="3" l="1"/>
  <c r="P2" i="3"/>
  <c r="F2" i="3"/>
  <c r="C2" i="3"/>
  <c r="K2" i="3"/>
  <c r="O2" i="3"/>
  <c r="R2" i="3"/>
  <c r="S2" i="3"/>
  <c r="T2" i="3"/>
  <c r="U2" i="3"/>
  <c r="N2" i="3"/>
  <c r="Q2" i="3" s="1"/>
  <c r="J2" i="3"/>
  <c r="H2" i="3"/>
  <c r="B2" i="3"/>
  <c r="I2" i="3"/>
  <c r="G2" i="3"/>
  <c r="E2" i="3"/>
  <c r="D2" i="3"/>
  <c r="L2" i="3" l="1"/>
</calcChain>
</file>

<file path=xl/sharedStrings.xml><?xml version="1.0" encoding="utf-8"?>
<sst xmlns="http://schemas.openxmlformats.org/spreadsheetml/2006/main" count="3218" uniqueCount="671">
  <si>
    <t>Nearest Camp</t>
  </si>
  <si>
    <t>Transect</t>
  </si>
  <si>
    <t>Observer</t>
  </si>
  <si>
    <t>No. Of Observers</t>
  </si>
  <si>
    <t>Species</t>
  </si>
  <si>
    <t>Sex</t>
  </si>
  <si>
    <t>Notes</t>
  </si>
  <si>
    <t>Time
(hh:mm)</t>
  </si>
  <si>
    <t>Rain
(0/1)</t>
  </si>
  <si>
    <t>Wind
(0/1)</t>
  </si>
  <si>
    <t>SVL
(mm)</t>
  </si>
  <si>
    <t>Tail Length
(mm)</t>
  </si>
  <si>
    <t>Mass
(g)</t>
  </si>
  <si>
    <t>Total Length
(mm)</t>
  </si>
  <si>
    <t>Coordinates North
(UTM)</t>
  </si>
  <si>
    <t>Coordinates East
(UTM)</t>
  </si>
  <si>
    <t>Date
(dd-mmm-yy)</t>
  </si>
  <si>
    <t>New Species?</t>
  </si>
  <si>
    <t>Year_HeOP</t>
  </si>
  <si>
    <t>Time_HeOP</t>
  </si>
  <si>
    <t>Camp</t>
  </si>
  <si>
    <t>Camp_HeOP</t>
  </si>
  <si>
    <t>Day_HeOP</t>
  </si>
  <si>
    <t>Transect_HeOP</t>
  </si>
  <si>
    <t>DistTrans_HeOP</t>
  </si>
  <si>
    <t>Observer_HeOP</t>
  </si>
  <si>
    <t>NoObs_HeOP</t>
  </si>
  <si>
    <t>Rain_HeOP</t>
  </si>
  <si>
    <t>Wind_HeOP</t>
  </si>
  <si>
    <t>Genus_HeOP</t>
  </si>
  <si>
    <t>Species_HeOP</t>
  </si>
  <si>
    <t>NoIndvs_HeOP</t>
  </si>
  <si>
    <t>SVL_HeOP</t>
  </si>
  <si>
    <t>TailL_HeOP</t>
  </si>
  <si>
    <t>Mass_HeOP</t>
  </si>
  <si>
    <t>TL_HeOP</t>
  </si>
  <si>
    <t>Sex_HeOP</t>
  </si>
  <si>
    <t>CoordN_HeOP</t>
  </si>
  <si>
    <t>CoordE_HeOP</t>
  </si>
  <si>
    <t>Notes_HeOP</t>
  </si>
  <si>
    <t>Conc Species
DB Manager</t>
  </si>
  <si>
    <t>Count
DB Manager</t>
  </si>
  <si>
    <t>Genus
DB Manager</t>
  </si>
  <si>
    <t>Species
DB Manager</t>
  </si>
  <si>
    <t>Rain / Wind</t>
  </si>
  <si>
    <t>Julian Day 2013</t>
  </si>
  <si>
    <t>Buenos Aires</t>
  </si>
  <si>
    <t>Guanales</t>
  </si>
  <si>
    <t>Santo Tomas</t>
  </si>
  <si>
    <t>El Danto</t>
  </si>
  <si>
    <t>El Cortecito</t>
  </si>
  <si>
    <t>Cantiles</t>
  </si>
  <si>
    <t>Base Camp</t>
  </si>
  <si>
    <t>Male</t>
  </si>
  <si>
    <t>Female</t>
  </si>
  <si>
    <t>Unknown</t>
  </si>
  <si>
    <t>2006 Day</t>
  </si>
  <si>
    <t>2007 Day</t>
  </si>
  <si>
    <t>2008 Day</t>
  </si>
  <si>
    <t>2009 Day</t>
  </si>
  <si>
    <t>2010 Day</t>
  </si>
  <si>
    <t>2011 Day</t>
  </si>
  <si>
    <t>2012 Day</t>
  </si>
  <si>
    <t>2006 Date</t>
  </si>
  <si>
    <t>2007 Date</t>
  </si>
  <si>
    <t>2008 Date</t>
  </si>
  <si>
    <t>2009 Date</t>
  </si>
  <si>
    <t>2010 Date</t>
  </si>
  <si>
    <t>2011 Date</t>
  </si>
  <si>
    <t>2012 Date</t>
  </si>
  <si>
    <t>BA1_SS1</t>
  </si>
  <si>
    <t>BA1_SS2</t>
  </si>
  <si>
    <t>BA1_SS3</t>
  </si>
  <si>
    <t>BA1_SS4</t>
  </si>
  <si>
    <t>BA1_SS5</t>
  </si>
  <si>
    <t>BA2_SS1</t>
  </si>
  <si>
    <t>BA2_SS2</t>
  </si>
  <si>
    <t>BA2_SS3</t>
  </si>
  <si>
    <t>BA2_SS4D</t>
  </si>
  <si>
    <t>BA2_SS5</t>
  </si>
  <si>
    <t>BA2_SS6</t>
  </si>
  <si>
    <t>BA3_SS1</t>
  </si>
  <si>
    <t>BA3_SS2</t>
  </si>
  <si>
    <t>BA4_SS1</t>
  </si>
  <si>
    <t>BA4_SS2</t>
  </si>
  <si>
    <t>BA4_SS3</t>
  </si>
  <si>
    <t>BA4_SS4</t>
  </si>
  <si>
    <t>BA4_SS5</t>
  </si>
  <si>
    <t>BA4_SS5D</t>
  </si>
  <si>
    <t>BC1_SS1</t>
  </si>
  <si>
    <t>BC1_SS2</t>
  </si>
  <si>
    <t>BC1_SS3</t>
  </si>
  <si>
    <t>BC1_SS4</t>
  </si>
  <si>
    <t>BC1_SS5</t>
  </si>
  <si>
    <t>BC1_SS6</t>
  </si>
  <si>
    <t>BC1_SS7</t>
  </si>
  <si>
    <t>BC1_SS8</t>
  </si>
  <si>
    <t>BC2_SS1</t>
  </si>
  <si>
    <t>BC2_SS2</t>
  </si>
  <si>
    <t>BC2_SS3</t>
  </si>
  <si>
    <t>BC2_SS4</t>
  </si>
  <si>
    <t>BC3_SS1</t>
  </si>
  <si>
    <t>BC3_SS2</t>
  </si>
  <si>
    <t>BC3_SS2D</t>
  </si>
  <si>
    <t>BC3_SS3</t>
  </si>
  <si>
    <t>BC3_SS4</t>
  </si>
  <si>
    <t>BC3_SS5</t>
  </si>
  <si>
    <t>BC3_SS6</t>
  </si>
  <si>
    <t>BC3_SS7</t>
  </si>
  <si>
    <t>BC4_SS1</t>
  </si>
  <si>
    <t>BC4_SS2</t>
  </si>
  <si>
    <t>BC4_SS3</t>
  </si>
  <si>
    <t>BC4_SS4</t>
  </si>
  <si>
    <t>BC4_SS5</t>
  </si>
  <si>
    <t>BC4_SS6</t>
  </si>
  <si>
    <t>CA2_SS1</t>
  </si>
  <si>
    <t>CA2_SS2</t>
  </si>
  <si>
    <t>CA2_SS3</t>
  </si>
  <si>
    <t>CA2_SS4</t>
  </si>
  <si>
    <t>CA2_SS5</t>
  </si>
  <si>
    <t>CA2_SS6</t>
  </si>
  <si>
    <t>CA2_SS7</t>
  </si>
  <si>
    <t>CA3_SS1</t>
  </si>
  <si>
    <t>CA3_SS2</t>
  </si>
  <si>
    <t>CA3_SS3</t>
  </si>
  <si>
    <t>CA4_SS1</t>
  </si>
  <si>
    <t>CA4_SS2</t>
  </si>
  <si>
    <t>CA4_SS3</t>
  </si>
  <si>
    <t>CA4_SS4</t>
  </si>
  <si>
    <t>CA5_SS1</t>
  </si>
  <si>
    <t>CA5_SS2</t>
  </si>
  <si>
    <t>CA5_SS3</t>
  </si>
  <si>
    <t>CA5_SS4</t>
  </si>
  <si>
    <t>CA5_SS5</t>
  </si>
  <si>
    <t>CA5_SS6</t>
  </si>
  <si>
    <t>CA5_SS7</t>
  </si>
  <si>
    <t>CA5_SS8</t>
  </si>
  <si>
    <t>CO1_SS1</t>
  </si>
  <si>
    <t>CO1_SS2</t>
  </si>
  <si>
    <t>CO1_SS3</t>
  </si>
  <si>
    <t>CO1_SS4</t>
  </si>
  <si>
    <t>CO1_SS5</t>
  </si>
  <si>
    <t>CO2_SS1</t>
  </si>
  <si>
    <t>CO2_SS2</t>
  </si>
  <si>
    <t>CO2_SS3</t>
  </si>
  <si>
    <t>CO3_SS1</t>
  </si>
  <si>
    <t>CO3_SS2</t>
  </si>
  <si>
    <t>CO3_SS3</t>
  </si>
  <si>
    <t>CO3_SS4</t>
  </si>
  <si>
    <t>CO3_SS5</t>
  </si>
  <si>
    <t>CO3_SS6</t>
  </si>
  <si>
    <t>CO4_SS0D</t>
  </si>
  <si>
    <t>CO4_SS1D</t>
  </si>
  <si>
    <t>CO4_SS2D</t>
  </si>
  <si>
    <t>CO4_SS3D</t>
  </si>
  <si>
    <t>CO4_SS4D</t>
  </si>
  <si>
    <t>CO4_SS5D</t>
  </si>
  <si>
    <t>DA0_SS1</t>
  </si>
  <si>
    <t>DA0_SS1D</t>
  </si>
  <si>
    <t>DA0_SS2</t>
  </si>
  <si>
    <t>DA0_SS3</t>
  </si>
  <si>
    <t>DA0_SS4</t>
  </si>
  <si>
    <t>DA0_SS5D</t>
  </si>
  <si>
    <t>DA0_SS6D</t>
  </si>
  <si>
    <t>DA1_SS1</t>
  </si>
  <si>
    <t>DA1_SS2</t>
  </si>
  <si>
    <t>DA1_SS3</t>
  </si>
  <si>
    <t>DA1_SS4</t>
  </si>
  <si>
    <t>DA1_SS5</t>
  </si>
  <si>
    <t>DA1_SS6</t>
  </si>
  <si>
    <t>DA2_SS2</t>
  </si>
  <si>
    <t>DA2_SS3</t>
  </si>
  <si>
    <t>DA2_SS4</t>
  </si>
  <si>
    <t>DA2_SS3D</t>
  </si>
  <si>
    <t>DA3_SS1</t>
  </si>
  <si>
    <t>DA3_SS2</t>
  </si>
  <si>
    <t>DA3_SS3</t>
  </si>
  <si>
    <t>DA4_SS1D</t>
  </si>
  <si>
    <t>GU1_SS1</t>
  </si>
  <si>
    <t>GU1_SS2</t>
  </si>
  <si>
    <t>GU1_SS3</t>
  </si>
  <si>
    <t>GU1_SS4</t>
  </si>
  <si>
    <t>GU1_SS5</t>
  </si>
  <si>
    <t>GU1_SS6</t>
  </si>
  <si>
    <t>GU1_SS7</t>
  </si>
  <si>
    <t>GU1_SS8</t>
  </si>
  <si>
    <t>GU2_SS1</t>
  </si>
  <si>
    <t>GU2_SS2</t>
  </si>
  <si>
    <t>GU2_SS3</t>
  </si>
  <si>
    <t>GU2_SS4</t>
  </si>
  <si>
    <t>GU2_SS5</t>
  </si>
  <si>
    <t>GU2_SS6</t>
  </si>
  <si>
    <t>GU2_SS7</t>
  </si>
  <si>
    <t>GU2_SS8</t>
  </si>
  <si>
    <t>GU3_SS1</t>
  </si>
  <si>
    <t>GU3_SS2</t>
  </si>
  <si>
    <t>GU3_SS3D</t>
  </si>
  <si>
    <t>GU4_SS1</t>
  </si>
  <si>
    <t>GU4_SS2</t>
  </si>
  <si>
    <t>GU4_SS3</t>
  </si>
  <si>
    <t>ST1A_SS1</t>
  </si>
  <si>
    <t>ST1A_SS2</t>
  </si>
  <si>
    <t>ST1B_SS3</t>
  </si>
  <si>
    <t>ST1B_SS4</t>
  </si>
  <si>
    <t>ST3_SS1</t>
  </si>
  <si>
    <t>ST3_SS2</t>
  </si>
  <si>
    <t>ST3_SS3</t>
  </si>
  <si>
    <t>ST3_SS4</t>
  </si>
  <si>
    <t>ST3_SS5</t>
  </si>
  <si>
    <t>ST3_SS6</t>
  </si>
  <si>
    <t>ST4_SS1</t>
  </si>
  <si>
    <t>ST4_SS2</t>
  </si>
  <si>
    <t>Site</t>
  </si>
  <si>
    <t>BA1</t>
  </si>
  <si>
    <t>BA2</t>
  </si>
  <si>
    <t>BA3</t>
  </si>
  <si>
    <t>BA4</t>
  </si>
  <si>
    <t>BC1</t>
  </si>
  <si>
    <t>BC2</t>
  </si>
  <si>
    <t>BC3</t>
  </si>
  <si>
    <t>BC4</t>
  </si>
  <si>
    <t>CA2</t>
  </si>
  <si>
    <t>CA3</t>
  </si>
  <si>
    <t>CA4</t>
  </si>
  <si>
    <t>CA5</t>
  </si>
  <si>
    <t>CO1</t>
  </si>
  <si>
    <t>CO2</t>
  </si>
  <si>
    <t>CO3</t>
  </si>
  <si>
    <t>CO4</t>
  </si>
  <si>
    <t>DA0</t>
  </si>
  <si>
    <t>DA1</t>
  </si>
  <si>
    <t>DA2</t>
  </si>
  <si>
    <t>DA3</t>
  </si>
  <si>
    <t>DA4</t>
  </si>
  <si>
    <t>GU1</t>
  </si>
  <si>
    <t>GU2</t>
  </si>
  <si>
    <t>GU3</t>
  </si>
  <si>
    <t>GU4</t>
  </si>
  <si>
    <t>ST1A</t>
  </si>
  <si>
    <t>ST1B</t>
  </si>
  <si>
    <t>ST3</t>
  </si>
  <si>
    <t>ST4</t>
  </si>
  <si>
    <t>Distance Along Transect (m)</t>
  </si>
  <si>
    <t>Jon Kolby</t>
  </si>
  <si>
    <t>Sara Ramirez</t>
  </si>
  <si>
    <t>Alex Laking</t>
  </si>
  <si>
    <t>Achyuthan Srikanthan</t>
  </si>
  <si>
    <t>John Worthington-Hill</t>
  </si>
  <si>
    <t>Guillaume Demare</t>
  </si>
  <si>
    <t>Alice Lett</t>
  </si>
  <si>
    <t>and prepare it for upload to the central database.</t>
  </si>
  <si>
    <r>
      <t xml:space="preserve">Please </t>
    </r>
    <r>
      <rPr>
        <b/>
        <u/>
        <sz val="11"/>
        <color indexed="10"/>
        <rFont val="Calibri"/>
        <family val="2"/>
      </rPr>
      <t>DO NOT</t>
    </r>
    <r>
      <rPr>
        <sz val="11"/>
        <color theme="1"/>
        <rFont val="Calibri"/>
        <family val="2"/>
        <scheme val="minor"/>
      </rPr>
      <t xml:space="preserve"> attempt to change this database or submit altered or reformatted versions.</t>
    </r>
  </si>
  <si>
    <t>The blue headed columns denote "occasion" data and the green headed columns individual</t>
  </si>
  <si>
    <t>"record" data.</t>
  </si>
  <si>
    <t>The button below is password protected and only to be used by the database manager.</t>
  </si>
  <si>
    <t>This data entry sheet is locked and cannot be changed.  This is to ensure data integrity for upload.</t>
  </si>
  <si>
    <t>If you have ANY questions or problems contact the database manager.</t>
  </si>
  <si>
    <t/>
  </si>
  <si>
    <t>Bolitoglossa  diaphora</t>
  </si>
  <si>
    <t>Bolitoglossa  dofleini</t>
  </si>
  <si>
    <t>Bufo  marinus</t>
  </si>
  <si>
    <t>Norops  sericeus</t>
  </si>
  <si>
    <t>Sceloporus  variabilis</t>
  </si>
  <si>
    <t>Sphenomorphus  incertus</t>
  </si>
  <si>
    <t>Stenorrhina  degenhardtii</t>
  </si>
  <si>
    <t>Unknown sp.</t>
  </si>
  <si>
    <t xml:space="preserve">Occasion data must be entered for each sighting (there is no option for number of individuals).  </t>
  </si>
  <si>
    <t>Please do not attempt to fix or change anything yourself.</t>
  </si>
  <si>
    <t xml:space="preserve">Operation Wallacea, Herp Opportunistic Mini-Database </t>
  </si>
  <si>
    <t>Welcome to the Herp Opportunistic mini-database.  This database is designed to receive data</t>
  </si>
  <si>
    <t>found dead on jungle training, preserved in ethanol</t>
  </si>
  <si>
    <t>found walking from transect 2 to base camp on side of the road n leaf litter</t>
  </si>
  <si>
    <t>found on way back from transect 1, before the main road</t>
  </si>
  <si>
    <t>escaped before measuring</t>
  </si>
  <si>
    <t>male and female found together</t>
  </si>
  <si>
    <t>road from ba to ba4</t>
  </si>
  <si>
    <t>river om BA4</t>
  </si>
  <si>
    <t>river on BA4</t>
  </si>
  <si>
    <t>on road to transect 1</t>
  </si>
  <si>
    <t>back from transect 1 before main road</t>
  </si>
  <si>
    <t>on main road to BA1</t>
  </si>
  <si>
    <t>road from BA3 to BA</t>
  </si>
  <si>
    <t xml:space="preserve">Bolitoglossa </t>
  </si>
  <si>
    <t xml:space="preserve"> diaphora</t>
  </si>
  <si>
    <t xml:space="preserve">Sphenomorphus </t>
  </si>
  <si>
    <t xml:space="preserve"> incertus</t>
  </si>
  <si>
    <t xml:space="preserve">Stenorrhina </t>
  </si>
  <si>
    <t xml:space="preserve"> degenhardtii</t>
  </si>
  <si>
    <t xml:space="preserve">Norops </t>
  </si>
  <si>
    <t xml:space="preserve"> sericeus</t>
  </si>
  <si>
    <t>Merlijn Jocque</t>
  </si>
  <si>
    <t>found in BA side for the road looks like C. laticeps but ash and peter also could not decide see photos: 2185, 2187, 2188</t>
  </si>
  <si>
    <t>BUC 3 GUA photos: 2390,2391, 2393</t>
  </si>
  <si>
    <t xml:space="preserve"> dofleini</t>
  </si>
  <si>
    <t xml:space="preserve">Bufo </t>
  </si>
  <si>
    <t xml:space="preserve"> marinus</t>
  </si>
  <si>
    <t xml:space="preserve">Sceloporus </t>
  </si>
  <si>
    <t xml:space="preserve"> variabilis</t>
  </si>
  <si>
    <t xml:space="preserve">Ninia </t>
  </si>
  <si>
    <t xml:space="preserve"> sebae</t>
  </si>
  <si>
    <t xml:space="preserve">Craugastor </t>
  </si>
  <si>
    <t xml:space="preserve"> rostralis</t>
  </si>
  <si>
    <t xml:space="preserve">Lithobates </t>
  </si>
  <si>
    <t xml:space="preserve"> maculatus</t>
  </si>
  <si>
    <t xml:space="preserve"> charadra</t>
  </si>
  <si>
    <t>CARiver</t>
  </si>
  <si>
    <t>Ash</t>
  </si>
  <si>
    <t>Norops amplisquamosis</t>
  </si>
  <si>
    <t>Venomous, so not handled for measurements</t>
  </si>
  <si>
    <t>In the camp near the kitchen</t>
  </si>
  <si>
    <t>BARiver</t>
  </si>
  <si>
    <t>Coniophanes imperialis</t>
  </si>
  <si>
    <t>BA2 site 3</t>
  </si>
  <si>
    <t>GURiver</t>
  </si>
  <si>
    <t>juvenile</t>
  </si>
  <si>
    <t>dead on road</t>
  </si>
  <si>
    <t>trail to transect 3</t>
  </si>
  <si>
    <t>juvenile; found by guide on road at night</t>
  </si>
  <si>
    <t>too heavy for pesola available</t>
  </si>
  <si>
    <t>photos of Achyuthan NDM9703, 9695, 9655</t>
  </si>
  <si>
    <t>gravid; found by guide at night around camp</t>
  </si>
  <si>
    <t>on the way to BA4;</t>
  </si>
  <si>
    <t>DNA sample invalid; found by different group on BA2</t>
  </si>
  <si>
    <t>not caught</t>
  </si>
  <si>
    <t>DNA: CRG 5 GD DNA; photos DSC 0451, 0454, 0455 (guillaume)</t>
  </si>
  <si>
    <t>DNA: PD 2 GD; juvenile; photos DSC 0457, 0459, 0460</t>
  </si>
  <si>
    <t>DNA: HS 5 GD; juvenile; photos DSC 0461, 0462, 0463</t>
  </si>
  <si>
    <t>DNA: CRG 6 GD BUC; photos DSC 0517, 0515, 0514</t>
  </si>
  <si>
    <t>too small for swab; DSC 0521, 0523</t>
  </si>
  <si>
    <t>juvenile if B. dolfeini</t>
  </si>
  <si>
    <t>DNA: CRG 7 GD BUC; escaped before pictures</t>
  </si>
  <si>
    <t>DNA: PD 3 GD; DSC 0530, 0532, 0534 (guillaume)</t>
  </si>
  <si>
    <t>DNA: HS 6 GD; juvenile; no pictures available</t>
  </si>
  <si>
    <t>DNA: CRG GD 12 BUC; DSC 0652, 0654, 0655 (guillaume)</t>
  </si>
  <si>
    <t>tail regeneration 11,9 mm</t>
  </si>
  <si>
    <t xml:space="preserve">Cerrophidion </t>
  </si>
  <si>
    <t>godmani</t>
  </si>
  <si>
    <t>amplisquamosis</t>
  </si>
  <si>
    <t xml:space="preserve">Duellmanohyla </t>
  </si>
  <si>
    <t xml:space="preserve"> soralia</t>
  </si>
  <si>
    <t xml:space="preserve">Micrurus </t>
  </si>
  <si>
    <t xml:space="preserve"> diastema</t>
  </si>
  <si>
    <t xml:space="preserve"> petersii</t>
  </si>
  <si>
    <t xml:space="preserve"> amplisquamosis</t>
  </si>
  <si>
    <t xml:space="preserve">Omoadiphas </t>
  </si>
  <si>
    <t xml:space="preserve"> aurula</t>
  </si>
  <si>
    <t xml:space="preserve"> malachiticus</t>
  </si>
  <si>
    <t xml:space="preserve">Drymobius </t>
  </si>
  <si>
    <t xml:space="preserve"> chloroticus</t>
  </si>
  <si>
    <t xml:space="preserve">Hyalinobatrachium </t>
  </si>
  <si>
    <t xml:space="preserve"> fleischmanni</t>
  </si>
  <si>
    <t xml:space="preserve">Imantodes </t>
  </si>
  <si>
    <t xml:space="preserve"> cenchoa</t>
  </si>
  <si>
    <t xml:space="preserve">Dryadophis </t>
  </si>
  <si>
    <t xml:space="preserve"> dorsalis</t>
  </si>
  <si>
    <t xml:space="preserve">Coniophanes </t>
  </si>
  <si>
    <t>imperialis</t>
  </si>
  <si>
    <t xml:space="preserve"> dunni</t>
  </si>
  <si>
    <t xml:space="preserve">Plectrohyla </t>
  </si>
  <si>
    <t xml:space="preserve"> dasypus</t>
  </si>
  <si>
    <t xml:space="preserve">Atropoides </t>
  </si>
  <si>
    <t xml:space="preserve"> nummifer</t>
  </si>
  <si>
    <t xml:space="preserve"> cusuco</t>
  </si>
  <si>
    <t>Swab sample - D363, Jul11, TO,DA, JWH</t>
  </si>
  <si>
    <t>White band phase</t>
  </si>
  <si>
    <t>Photo ref - 100-7597, 7602,7603</t>
  </si>
  <si>
    <t>Photo ref - 100-7755, 7788</t>
  </si>
  <si>
    <t>Photo ref - 100-7839</t>
  </si>
  <si>
    <t>In camp. Photo ref - 100-7773, 7779, 7780</t>
  </si>
  <si>
    <t>Josue Ramos</t>
  </si>
  <si>
    <t>base camp</t>
  </si>
  <si>
    <t>Base camp</t>
  </si>
  <si>
    <t>Duellmanohyla soralia</t>
  </si>
  <si>
    <t>gu4</t>
  </si>
  <si>
    <t>Craugastor milesi</t>
  </si>
  <si>
    <t>HD</t>
  </si>
  <si>
    <t>Michelle</t>
  </si>
  <si>
    <t>Ellie Appleby</t>
  </si>
  <si>
    <t>under trunc</t>
  </si>
  <si>
    <t>male</t>
  </si>
  <si>
    <t>in camp</t>
  </si>
  <si>
    <t>in camp (13-0284; 0292)</t>
  </si>
  <si>
    <t>juvenil, very small. In sun space (15: 0023-0033)</t>
  </si>
  <si>
    <t xml:space="preserve">near to the principal way to Buenos aires, juvenil. (15:0056-0057)  </t>
  </si>
  <si>
    <t>adult, near to the principal way to Buenos aires</t>
  </si>
  <si>
    <t>in camp, open area, aggressive (15: 0084)</t>
  </si>
  <si>
    <t>Metamorfic, over leaf.(16:0200-0201)</t>
  </si>
  <si>
    <t xml:space="preserve">adult female near stream, jum to the stream (defece action)(16:0204-0210) </t>
  </si>
  <si>
    <t>Calling  in small shrub (16jn:0213, 0217 and 0218 )</t>
  </si>
  <si>
    <t>over leaf in small shrub (16jn: 0226 and 0237 )</t>
  </si>
  <si>
    <t>Metamorfico (19jn: 0436 and 0437)</t>
  </si>
  <si>
    <t>Over three, 3 m height (19jn: 0438, 0440 and 0443)</t>
  </si>
  <si>
    <t>metamorfico. (19jn: 0444)</t>
  </si>
  <si>
    <t>over small fern. (0452, 0453 and )</t>
  </si>
  <si>
    <t>In sun space (21jn:0522-0555)</t>
  </si>
  <si>
    <t>repting in groung (21jn: 0592)</t>
  </si>
  <si>
    <t>Male, female and nest.</t>
  </si>
  <si>
    <t>in camp, open area, juvenil coloration (24jn:1076, 1077 and 1082)</t>
  </si>
  <si>
    <t>underground (24jn:1044)</t>
  </si>
  <si>
    <t>In camp (24jn: 1253)</t>
  </si>
  <si>
    <t xml:space="preserve">in camp (24jn: 1264, 1270) </t>
  </si>
  <si>
    <t>in camp, running (26jn: 1244 and 1267)</t>
  </si>
  <si>
    <t>in sun space (26jn: 1269, 1279 and 1294)</t>
  </si>
  <si>
    <t>27jn: 1561, 1529</t>
  </si>
  <si>
    <t>In rock (27jn: 1511 )</t>
  </si>
  <si>
    <t>sleeping 3 m high in bush (27jn: 1475 and 1476)</t>
  </si>
  <si>
    <t>sleeping  (27jn: 1478)</t>
  </si>
  <si>
    <t>30jn: 2059 and 2101</t>
  </si>
  <si>
    <t>30jn: 2172</t>
  </si>
  <si>
    <t>sleeping, 30:jn2371</t>
  </si>
  <si>
    <t>near the camp, in small palm (Geonoma sp.) (30jn: 2275 and 2324)</t>
  </si>
  <si>
    <t>New Species??? over leaf of Chamaedoera sp. 30jn: 2341</t>
  </si>
  <si>
    <t>in high tree, jump. (30jn: 2206)</t>
  </si>
  <si>
    <t>escape</t>
  </si>
  <si>
    <t>1jl: 2410</t>
  </si>
  <si>
    <t>1jul: 2413</t>
  </si>
  <si>
    <t>escape. (1jul: 2415)</t>
  </si>
  <si>
    <t>1jl: 2422</t>
  </si>
  <si>
    <t>sleeping</t>
  </si>
  <si>
    <t>in camp, 5 mts high in tree. (2jl:2621 and 2962)</t>
  </si>
  <si>
    <t>in small plam. (2jl: 2477)</t>
  </si>
  <si>
    <t>juvenil, fast movement over ground. (4jl: 3066)</t>
  </si>
  <si>
    <t>4jl: 3390</t>
  </si>
  <si>
    <t>gravid, (4jl: 3449)</t>
  </si>
  <si>
    <t>5jl: 3457, 3459.</t>
  </si>
  <si>
    <t>inside hole, previus change skin. (5jl: 3538)</t>
  </si>
  <si>
    <t>changing skin (6jl: 3753)</t>
  </si>
  <si>
    <t>7jl: 3988</t>
  </si>
  <si>
    <t xml:space="preserve">in camp. (8jl: 4051, 4052 and 4055 </t>
  </si>
  <si>
    <t xml:space="preserve">DNAC: CRG7) 8jl: 4057, 4058 and 4062 </t>
  </si>
  <si>
    <t>in camp,  8jl: 4075, 4076 and 4077 (DNAC: GRG7)</t>
  </si>
  <si>
    <t xml:space="preserve">DNAC: CRG8 </t>
  </si>
  <si>
    <t xml:space="preserve">DNAC: CRG9 (8JL: 4079, 4080 and 4081 </t>
  </si>
  <si>
    <t>9jl: 4096</t>
  </si>
  <si>
    <t>near the cusuco (river9jl: 4110)</t>
  </si>
  <si>
    <t>near the cusuco river (9jl: 4115)</t>
  </si>
  <si>
    <t>near the river (9jl: 4118)</t>
  </si>
  <si>
    <t>9jl: 4124</t>
  </si>
  <si>
    <t>Metamorphic (9jl: 4131)</t>
  </si>
  <si>
    <t>jump to river (9jl: 4134)</t>
  </si>
  <si>
    <t>11jl: 4093</t>
  </si>
  <si>
    <t>en cusuco river, chitrid efects????  11jl: 4103</t>
  </si>
  <si>
    <t>in climber (12jl: 4121)</t>
  </si>
  <si>
    <t>mudando de piel. Jlca: 0102.</t>
  </si>
  <si>
    <t>near cantiles river</t>
  </si>
  <si>
    <t>near cantiles river  river (17jlca: 4856)</t>
  </si>
  <si>
    <t>near cantiles river 17jl: 4948</t>
  </si>
  <si>
    <t>17jl: 5046</t>
  </si>
  <si>
    <t>17jl: 5230</t>
  </si>
  <si>
    <t>in camp (18jl: 0004)</t>
  </si>
  <si>
    <t>in camp small stream (18jl: 0008)</t>
  </si>
  <si>
    <t>in camp small stream (18jl: 0010)</t>
  </si>
  <si>
    <t>metamorphic (18jl: 0012)</t>
  </si>
  <si>
    <t>18jl: 0015</t>
  </si>
  <si>
    <t>metamorphic (18jl: 0017)</t>
  </si>
  <si>
    <t>near the small stream in camp, under trunk. (18jl: 0124)</t>
  </si>
  <si>
    <t>under trunk in small stream in camp. (20jl: 0374)</t>
  </si>
  <si>
    <t xml:space="preserve">across the way. </t>
  </si>
  <si>
    <t>calling in bromelia un in tree</t>
  </si>
  <si>
    <t>calling in bromelia up in tree</t>
  </si>
  <si>
    <t>over leaf (21jl: 5385)</t>
  </si>
  <si>
    <t>12jl: 5388</t>
  </si>
  <si>
    <t>21jl; 5389</t>
  </si>
  <si>
    <t>sleep in vertical posicion. (21jl: 5390)</t>
  </si>
  <si>
    <t>21jl: 5394</t>
  </si>
  <si>
    <t>21jl: 5397</t>
  </si>
  <si>
    <t>metamorphic</t>
  </si>
  <si>
    <t>21jl: 5410</t>
  </si>
  <si>
    <t>22:jl: 5490</t>
  </si>
  <si>
    <t>19jn: 0436</t>
  </si>
  <si>
    <t>19jn: 0440</t>
  </si>
  <si>
    <t>19jn: 0451</t>
  </si>
  <si>
    <t>in small bush</t>
  </si>
  <si>
    <t>gravid</t>
  </si>
  <si>
    <t>ds1eabc</t>
  </si>
  <si>
    <t>ds2eabc</t>
  </si>
  <si>
    <t>ph1cabc, gravid</t>
  </si>
  <si>
    <t>ph2eabc</t>
  </si>
  <si>
    <t>no swabs</t>
  </si>
  <si>
    <t>CORiver</t>
  </si>
  <si>
    <t>Tom Brown</t>
  </si>
  <si>
    <t>large adult</t>
  </si>
  <si>
    <t>on path from radio to river in camp</t>
  </si>
  <si>
    <t>in vegetation overhanging river next to path from radio to river in camp</t>
  </si>
  <si>
    <t>Metamorph</t>
  </si>
  <si>
    <t xml:space="preserve">Geophis </t>
  </si>
  <si>
    <t xml:space="preserve"> nephrodrymus</t>
  </si>
  <si>
    <t xml:space="preserve">Mastigodryas </t>
  </si>
  <si>
    <t xml:space="preserve"> chac</t>
  </si>
  <si>
    <t xml:space="preserve">Tantilla </t>
  </si>
  <si>
    <t xml:space="preserve"> schistosa</t>
  </si>
  <si>
    <t xml:space="preserve"> sp.</t>
  </si>
  <si>
    <t xml:space="preserve">Rhadinaea </t>
  </si>
  <si>
    <t xml:space="preserve"> montecristi</t>
  </si>
  <si>
    <t xml:space="preserve"> espinali</t>
  </si>
  <si>
    <t xml:space="preserve">Ptychohyla </t>
  </si>
  <si>
    <t>hypomyckter</t>
  </si>
  <si>
    <t>soralia</t>
  </si>
  <si>
    <t>cf conanti</t>
  </si>
  <si>
    <t xml:space="preserve"> hypomykter</t>
  </si>
  <si>
    <t xml:space="preserve">Sphaenomorphus </t>
  </si>
  <si>
    <t>incertus</t>
  </si>
  <si>
    <t xml:space="preserve">Leptophis </t>
  </si>
  <si>
    <t xml:space="preserve"> ahaetulla</t>
  </si>
  <si>
    <t xml:space="preserve">Adelphicos </t>
  </si>
  <si>
    <t xml:space="preserve"> quadrivirgatus</t>
  </si>
  <si>
    <t xml:space="preserve"> ocelloscapularis</t>
  </si>
  <si>
    <t xml:space="preserve">Unknown </t>
  </si>
  <si>
    <t>sp.</t>
  </si>
  <si>
    <t xml:space="preserve"> conanti</t>
  </si>
  <si>
    <t xml:space="preserve">Bothriechis </t>
  </si>
  <si>
    <t xml:space="preserve"> marchi</t>
  </si>
  <si>
    <t xml:space="preserve"> diademata</t>
  </si>
  <si>
    <t xml:space="preserve"> exquisita</t>
  </si>
  <si>
    <t xml:space="preserve">Mesaspis </t>
  </si>
  <si>
    <t xml:space="preserve"> moreletii</t>
  </si>
  <si>
    <t xml:space="preserve"> johnmeyerii</t>
  </si>
  <si>
    <t xml:space="preserve"> godmani</t>
  </si>
  <si>
    <t xml:space="preserve">Oedipina </t>
  </si>
  <si>
    <t xml:space="preserve"> tomasi</t>
  </si>
  <si>
    <t xml:space="preserve">Isthmohyla </t>
  </si>
  <si>
    <t xml:space="preserve"> melacaena</t>
  </si>
  <si>
    <t xml:space="preserve">Bromeliahyla </t>
  </si>
  <si>
    <t xml:space="preserve"> bromeliacia</t>
  </si>
  <si>
    <t>milesi</t>
  </si>
  <si>
    <t xml:space="preserve"> kinkelini</t>
  </si>
  <si>
    <t xml:space="preserve"> milesi</t>
  </si>
  <si>
    <t>Victor Bocanegra</t>
  </si>
  <si>
    <t>DS 3</t>
  </si>
  <si>
    <t>CRAU2GUCYBYB photos, 0380, 0378, 0377</t>
  </si>
  <si>
    <t>on path to tents just after sand bag bridge Photos:DSC_0049,DSC_0050,DSC_0047,Nikon D90,Jon Kolby</t>
  </si>
  <si>
    <t>under Sara's hammock in camp Photos:DSC_0066,DSC_0054,DSC_0056,Nikon D90,Jon Kolby</t>
  </si>
  <si>
    <t>sitting across transect Photos:DSC_0314,DSC_0383,DSC_0353,Nikon D90,Jon Kolby</t>
  </si>
  <si>
    <t>large adult Photos:DSC_0853,DSC_0873,DSC_0877,Nikon D90,Jon Kolby</t>
  </si>
  <si>
    <t>sat on leaf in camp Photos:100-0229,100-0230,100-0231,Sony DSC,Tom Brown</t>
  </si>
  <si>
    <t>DS 37 Leaf Photos:100-0229,100-0230,100-0231,Sony DSC,Tom Brown</t>
  </si>
  <si>
    <t>Ground Photos:9023,9024,9025,Nikon coolpix,Sian Joinson</t>
  </si>
  <si>
    <t>DS 38 Leaf Photos:9031,9032,9033,Nikon coolpix,Sian Joinson</t>
  </si>
  <si>
    <t>DS39 Leaf Photos:9037,9041,9039,Nikon coolpix,Sian Joinson</t>
  </si>
  <si>
    <t>DS 40 Leaf 0.5m perp. Distance from transect Photos:9042,9043,9044,Nikon coolpix,Sian Joinson</t>
  </si>
  <si>
    <t>DS 41 Leaf Photos:9045,9046,9048,Nikon coolpix,Sian Joinson</t>
  </si>
  <si>
    <t>DS45 Leaf Perp dist from transect 1.5m Photos:9049,9050,9051,Nikon coolpix,Sian Joinson</t>
  </si>
  <si>
    <t>DS42 Leaf Photos:9053,9054,9056,Nikon coolpix,Sian Joinson</t>
  </si>
  <si>
    <t>DS 43 Leaf Photos:9057,9058,9059,Nikon coolpix,Sian Joinson</t>
  </si>
  <si>
    <t>DS 44 Leaf Photos:9060,9062,9063,Nikon coolpix,Sian Joinson</t>
  </si>
  <si>
    <t>PD 8 Leaf 1.5m perp dist from transect Photos:9065,9067,9068,Nikon coolpix,Sian Joinson</t>
  </si>
  <si>
    <t>DS 46 Leaf Photos:100-0253,100-0255,100-0257,Sony DSC,Tom Brown</t>
  </si>
  <si>
    <t xml:space="preserve"> Photos:DSC_0950,DSC_0951,DSC_0956,Nikon D90,Jon Kolby</t>
  </si>
  <si>
    <t>Peter Taylor</t>
  </si>
  <si>
    <t>Snake basking in sun 2 meters off Guanales Camp trail along pine duff littered ridge. Active but not aggressive when captured. Found by: P. Taylor</t>
  </si>
  <si>
    <t>Perched on wire 2 meters above ground in kitchen area at Base Camp Found by: Cooking staff</t>
  </si>
  <si>
    <t>Adult male lizard observed on bare rock wall at look out point above short cut to BCT2. Found by: P. Taylor</t>
  </si>
  <si>
    <t>Juvenile lizard observed in same few square meters of rock wall. Found by: P. Taylor</t>
  </si>
  <si>
    <t>Lizard found in center of Base Camp area in garden/bromeliad area. Found by: Reuven Yosef</t>
  </si>
  <si>
    <t>Lizard also found in center of Base Camp area in garden/bromeliad area. Found by: Student</t>
  </si>
  <si>
    <t>Lizard found on wood framework structure near entrance road to Base Camp Found by: Student</t>
  </si>
  <si>
    <t>Lizard found in middle of Base Camp compound on wood pole 1 meter high by bromeliad garden. Found by: P. Taylor</t>
  </si>
  <si>
    <t>A very large specimen (near record length = 1489mm, Cusuco male, J. Kolby/P. Taylor 2011: BCT4 1500M). This snake basking at transect edge. Elevation 1862M. Location extension of BCT4. Found by: P. Taylor</t>
  </si>
  <si>
    <t>Lizard sunning on log by trail edge; classic situation for species in tree-fall gap. Found by: "Ash" Srikanthan</t>
  </si>
  <si>
    <t>*DNA (belly scute clippings) and fecal sample taken; specimen #1. Snake observed crossing transect trail. Tubed and handled for above sampling and fine data collection. Found by: P. Taylor</t>
  </si>
  <si>
    <t>Incomplete tail; 59mm of 72 total. No GPS; however location approx 250M down stream from Cantiles River above camp at 250M trail point. Found by: Josua Ramos</t>
  </si>
  <si>
    <t>Salamander found off  BT4 transect 5 meters from river on a dry night. Animal was resting on plant stem 20cms off ground.  Found by: Steve Green</t>
  </si>
  <si>
    <t>Snake found in Camp near kitchen area (8 meters). Contained recently consumed meal which upon manually induced regurgitation proved to be an adult Craugaster species; probably C. rostralis. Images collected. Found by: Guides "at Camp"</t>
  </si>
  <si>
    <t>Lizard collected in Camp by "trenches" on ground. Adult Norops. Found by: P. Taylor</t>
  </si>
  <si>
    <t xml:space="preserve"> capito</t>
  </si>
  <si>
    <t>Honduras, 2014</t>
  </si>
  <si>
    <t>Adelphicos quadrivirgatus</t>
  </si>
  <si>
    <t>Atropoides mexicanus</t>
  </si>
  <si>
    <t>Basiliscus vittatus</t>
  </si>
  <si>
    <t>Bolitoglossa conanti</t>
  </si>
  <si>
    <t>Bolitoglossa diaphora</t>
  </si>
  <si>
    <t>Bolitoglossa dofleini</t>
  </si>
  <si>
    <t>Bolitoglossa dunni</t>
  </si>
  <si>
    <t>Bolitoglossa mexicana</t>
  </si>
  <si>
    <t>Bolitoglossa nympha</t>
  </si>
  <si>
    <t>Bothriechis marchi</t>
  </si>
  <si>
    <t>Bothriechis schlegelii</t>
  </si>
  <si>
    <t>Bothrops asper</t>
  </si>
  <si>
    <t>Bromeliahyla bromeliacia</t>
  </si>
  <si>
    <t>Bromeliahyla sp.</t>
  </si>
  <si>
    <t>Celestus montanus</t>
  </si>
  <si>
    <t>Cerrophidion wilsonii</t>
  </si>
  <si>
    <t>Chaunus marinus</t>
  </si>
  <si>
    <t>Colubridae sp.</t>
  </si>
  <si>
    <t>Coniophanes sp.</t>
  </si>
  <si>
    <t>Corytophanes cristatus</t>
  </si>
  <si>
    <t>Corytophanes sp.</t>
  </si>
  <si>
    <t>Craugastor chac</t>
  </si>
  <si>
    <t>Craugastor charadra</t>
  </si>
  <si>
    <t>Craugastor coffeus</t>
  </si>
  <si>
    <t>Craugastor laevissimus</t>
  </si>
  <si>
    <t>Craugastor laticeps</t>
  </si>
  <si>
    <t>Craugastor rostralis</t>
  </si>
  <si>
    <t>Craugastor sp.</t>
  </si>
  <si>
    <t>Cryptotriton nasalis</t>
  </si>
  <si>
    <t>Dendrophidion nuchale</t>
  </si>
  <si>
    <t>Dryadophis melanolomus</t>
  </si>
  <si>
    <t>Drymarchon melanurus</t>
  </si>
  <si>
    <t>Drymobius chloroticus</t>
  </si>
  <si>
    <t>Drymobius margaritiferus</t>
  </si>
  <si>
    <t>Geophis nephrodrymus</t>
  </si>
  <si>
    <t>Geophis sp.</t>
  </si>
  <si>
    <t>Hemidactylus angulatus</t>
  </si>
  <si>
    <t>Holcosus festivus</t>
  </si>
  <si>
    <t>Holcosus undulatus</t>
  </si>
  <si>
    <t>Hyalinobatrachium fleischmanni</t>
  </si>
  <si>
    <t>Hylidae sp.</t>
  </si>
  <si>
    <t>Imantodes cenchoa</t>
  </si>
  <si>
    <t>Incilius valliceps</t>
  </si>
  <si>
    <t>Isthmohyla melacaena</t>
  </si>
  <si>
    <t>Lampropeltis triangulumhondurensis</t>
  </si>
  <si>
    <t>Lepidophyma flavimaculatum</t>
  </si>
  <si>
    <t>Leptodeira septentrionalis</t>
  </si>
  <si>
    <t>Leptophis ahaetulla</t>
  </si>
  <si>
    <t>Lithobates maculatus</t>
  </si>
  <si>
    <t>Mastigodryas dorsalis</t>
  </si>
  <si>
    <t>Mesaspis morelettii</t>
  </si>
  <si>
    <t>Micrurus diastema</t>
  </si>
  <si>
    <t>Micrurus nigrocinctus</t>
  </si>
  <si>
    <t>Ninia diademata</t>
  </si>
  <si>
    <t>Ninia espinali</t>
  </si>
  <si>
    <t>Ninia sebae</t>
  </si>
  <si>
    <t>Norops biporcatus</t>
  </si>
  <si>
    <t>Norops capito</t>
  </si>
  <si>
    <t>Norops cryptolimifrons</t>
  </si>
  <si>
    <t>Norops cusuco</t>
  </si>
  <si>
    <t>Norops johnmeyerii</t>
  </si>
  <si>
    <t>Norops lemurinus</t>
  </si>
  <si>
    <t>Norops ocelloscapularis</t>
  </si>
  <si>
    <t>Norops petersii</t>
  </si>
  <si>
    <t>Norops rodriguezii</t>
  </si>
  <si>
    <t>Norops sericeus</t>
  </si>
  <si>
    <t>Norops sp.</t>
  </si>
  <si>
    <t>Norops tropidonotus</t>
  </si>
  <si>
    <t>Norops uniformis</t>
  </si>
  <si>
    <t>Nototriton brodiei</t>
  </si>
  <si>
    <t>Nototriton sp.</t>
  </si>
  <si>
    <t>Oedipina sp.</t>
  </si>
  <si>
    <t>Oedipina tomasi</t>
  </si>
  <si>
    <t>Omoadiphas aurula</t>
  </si>
  <si>
    <t>Oxybelis aeneus</t>
  </si>
  <si>
    <t>Oxyrhopus petola</t>
  </si>
  <si>
    <t>Plectrohyla dasypus</t>
  </si>
  <si>
    <t>Plectrohyla exquisita</t>
  </si>
  <si>
    <t>Plectrohyla sp.</t>
  </si>
  <si>
    <t>Pliocercus elapoides</t>
  </si>
  <si>
    <t>Pseustes poecilonotus</t>
  </si>
  <si>
    <t>Ptychohyla hypomykter</t>
  </si>
  <si>
    <t>Rana maculata</t>
  </si>
  <si>
    <t>Rhadinaea kinkelini</t>
  </si>
  <si>
    <t>Rhadinaea montecristi</t>
  </si>
  <si>
    <t>Rhadinaea sp.</t>
  </si>
  <si>
    <t>Rhadinia pegosalita</t>
  </si>
  <si>
    <t>Scaphiodontophis annulatus</t>
  </si>
  <si>
    <t>Scapularis sp.</t>
  </si>
  <si>
    <t>Sceloporus olloporus</t>
  </si>
  <si>
    <t>Sceloporus schmidti</t>
  </si>
  <si>
    <t>Sibon dimidiatus</t>
  </si>
  <si>
    <t>Sibon nebulatus</t>
  </si>
  <si>
    <t>Sibon sp.</t>
  </si>
  <si>
    <t>Smilisca baudinii</t>
  </si>
  <si>
    <t>Sphaerodactylus continentalis</t>
  </si>
  <si>
    <t>Sphenomorphus cherriei</t>
  </si>
  <si>
    <t>Sphenomorphus incertus</t>
  </si>
  <si>
    <t>Sphenomorphus sp.</t>
  </si>
  <si>
    <t>Spilotes pullatus</t>
  </si>
  <si>
    <t>Stenorrhina degenhardtii</t>
  </si>
  <si>
    <t>Tantilla schistosa</t>
  </si>
  <si>
    <t>Tantilla taeniata</t>
  </si>
  <si>
    <t>Tropidodipsas sartorii</t>
  </si>
  <si>
    <t>Date 2014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</si>
</sst>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[$-409]d\-mmm\-yy;@"/>
    <numFmt numFmtId="165" formatCode="h:mm;@"/>
    <numFmt numFmtId="166" formatCode="0.0000"/>
  </numFmts>
  <fonts count="7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6"/>
      <color indexed="8"/>
      <name val="Calibri"/>
      <family val="2"/>
    </font>
    <font>
      <b/>
      <u/>
      <sz val="11"/>
      <color indexed="10"/>
      <name val="Calibri"/>
      <family val="2"/>
    </font>
    <font>
      <sz val="11"/>
      <name val="Calibri"/>
      <family val="2"/>
    </font>
    <font>
      <sz val="8"/>
      <name val="Calibri"/>
      <family val="2"/>
    </font>
    <font>
      <sz val="11"/>
      <color rgb="FF000000"/>
      <name val="Calibri"/>
      <family val="2"/>
    </font>
  </fonts>
  <fills count="9">
    <fill>
      <patternFill patternType="none"/>
    </fill>
    <fill>
      <patternFill patternType="gray125"/>
    </fill>
    <fill>
      <patternFill patternType="solid">
        <fgColor indexed="3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59999389629810485"/>
        <bgColor indexed="64"/>
      </patternFill>
    </fill>
  </fills>
  <borders count="12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64">
    <xf numFmtId="0" fontId="0" fillId="0" borderId="0" xfId="0"/>
    <xf numFmtId="0" fontId="0" fillId="0" borderId="0" xfId="0" applyAlignment="1">
      <alignment wrapText="1"/>
    </xf>
    <xf numFmtId="15" fontId="0" fillId="0" borderId="0" xfId="0" applyNumberFormat="1"/>
    <xf numFmtId="0" fontId="0" fillId="2" borderId="1" xfId="0" applyFill="1" applyBorder="1" applyAlignment="1">
      <alignment wrapText="1"/>
    </xf>
    <xf numFmtId="15" fontId="0" fillId="2" borderId="1" xfId="0" applyNumberFormat="1" applyFill="1" applyBorder="1"/>
    <xf numFmtId="0" fontId="0" fillId="2" borderId="1" xfId="0" applyFill="1" applyBorder="1"/>
    <xf numFmtId="0" fontId="0" fillId="0" borderId="2" xfId="0" applyBorder="1" applyAlignment="1">
      <alignment wrapText="1"/>
    </xf>
    <xf numFmtId="0" fontId="0" fillId="2" borderId="3" xfId="0" applyFill="1" applyBorder="1" applyAlignment="1">
      <alignment wrapText="1"/>
    </xf>
    <xf numFmtId="0" fontId="0" fillId="0" borderId="4" xfId="0" applyBorder="1" applyAlignment="1">
      <alignment wrapText="1"/>
    </xf>
    <xf numFmtId="0" fontId="0" fillId="0" borderId="5" xfId="0" applyBorder="1" applyAlignment="1">
      <alignment wrapText="1"/>
    </xf>
    <xf numFmtId="0" fontId="0" fillId="0" borderId="6" xfId="0" applyBorder="1"/>
    <xf numFmtId="0" fontId="0" fillId="0" borderId="0" xfId="0" applyBorder="1"/>
    <xf numFmtId="0" fontId="0" fillId="0" borderId="7" xfId="0" applyBorder="1"/>
    <xf numFmtId="0" fontId="0" fillId="0" borderId="8" xfId="0" applyBorder="1"/>
    <xf numFmtId="0" fontId="0" fillId="2" borderId="9" xfId="0" applyFill="1" applyBorder="1"/>
    <xf numFmtId="0" fontId="0" fillId="0" borderId="10" xfId="0" applyBorder="1"/>
    <xf numFmtId="15" fontId="0" fillId="2" borderId="9" xfId="0" applyNumberFormat="1" applyFill="1" applyBorder="1"/>
    <xf numFmtId="0" fontId="0" fillId="0" borderId="11" xfId="0" applyBorder="1"/>
    <xf numFmtId="0" fontId="0" fillId="0" borderId="0" xfId="0" applyFill="1"/>
    <xf numFmtId="0" fontId="1" fillId="0" borderId="0" xfId="0" applyFont="1" applyFill="1" applyAlignment="1">
      <alignment wrapText="1"/>
    </xf>
    <xf numFmtId="0" fontId="0" fillId="0" borderId="0" xfId="0" applyFill="1" applyAlignment="1">
      <alignment wrapText="1"/>
    </xf>
    <xf numFmtId="49" fontId="0" fillId="0" borderId="0" xfId="0" applyNumberFormat="1" applyAlignment="1"/>
    <xf numFmtId="0" fontId="2" fillId="5" borderId="0" xfId="0" applyFont="1" applyFill="1" applyBorder="1"/>
    <xf numFmtId="0" fontId="0" fillId="5" borderId="0" xfId="0" applyFill="1" applyBorder="1"/>
    <xf numFmtId="0" fontId="0" fillId="5" borderId="0" xfId="0" applyFill="1"/>
    <xf numFmtId="0" fontId="0" fillId="0" borderId="0" xfId="0" applyAlignment="1" applyProtection="1">
      <alignment horizontal="center" vertical="center"/>
    </xf>
    <xf numFmtId="0" fontId="0" fillId="0" borderId="0" xfId="0" applyAlignment="1" applyProtection="1">
      <alignment horizontal="center" vertical="center"/>
      <protection locked="0"/>
    </xf>
    <xf numFmtId="49" fontId="0" fillId="0" borderId="0" xfId="0" applyNumberFormat="1" applyAlignment="1" applyProtection="1">
      <protection locked="0"/>
    </xf>
    <xf numFmtId="0" fontId="0" fillId="0" borderId="0" xfId="0" applyAlignment="1" applyProtection="1">
      <protection locked="0"/>
    </xf>
    <xf numFmtId="164" fontId="0" fillId="0" borderId="0" xfId="0" applyNumberFormat="1" applyAlignment="1" applyProtection="1">
      <protection locked="0"/>
    </xf>
    <xf numFmtId="165" fontId="0" fillId="0" borderId="0" xfId="0" applyNumberFormat="1" applyAlignment="1" applyProtection="1">
      <protection locked="0"/>
    </xf>
    <xf numFmtId="1" fontId="0" fillId="0" borderId="0" xfId="0" applyNumberFormat="1" applyAlignment="1" applyProtection="1">
      <protection locked="0"/>
    </xf>
    <xf numFmtId="2" fontId="0" fillId="0" borderId="0" xfId="0" applyNumberFormat="1" applyAlignment="1" applyProtection="1">
      <protection locked="0"/>
    </xf>
    <xf numFmtId="1" fontId="0" fillId="0" borderId="0" xfId="0" applyNumberFormat="1" applyAlignment="1"/>
    <xf numFmtId="164" fontId="0" fillId="2" borderId="0" xfId="0" applyNumberFormat="1" applyFill="1" applyAlignment="1">
      <alignment horizontal="center" vertical="center"/>
    </xf>
    <xf numFmtId="165" fontId="0" fillId="2" borderId="0" xfId="0" applyNumberFormat="1" applyFill="1" applyAlignment="1">
      <alignment horizontal="center" vertical="center"/>
    </xf>
    <xf numFmtId="49" fontId="0" fillId="2" borderId="0" xfId="0" applyNumberFormat="1" applyFill="1" applyAlignment="1">
      <alignment horizontal="center" vertical="center"/>
    </xf>
    <xf numFmtId="1" fontId="0" fillId="2" borderId="0" xfId="0" applyNumberFormat="1" applyFill="1" applyAlignment="1">
      <alignment horizontal="center" vertical="center"/>
    </xf>
    <xf numFmtId="49" fontId="0" fillId="4" borderId="0" xfId="0" applyNumberFormat="1" applyFill="1" applyAlignment="1">
      <alignment horizontal="center" vertical="center"/>
    </xf>
    <xf numFmtId="1" fontId="0" fillId="3" borderId="0" xfId="0" applyNumberFormat="1" applyFill="1" applyAlignment="1">
      <alignment horizontal="center" vertical="center"/>
    </xf>
    <xf numFmtId="2" fontId="0" fillId="3" borderId="0" xfId="0" applyNumberFormat="1" applyFill="1" applyAlignment="1">
      <alignment horizontal="center" vertical="center"/>
    </xf>
    <xf numFmtId="49" fontId="0" fillId="3" borderId="0" xfId="0" applyNumberFormat="1" applyFill="1" applyAlignment="1">
      <alignment horizontal="center" vertical="center"/>
    </xf>
    <xf numFmtId="166" fontId="0" fillId="3" borderId="0" xfId="0" applyNumberFormat="1" applyFill="1" applyAlignment="1">
      <alignment horizontal="center" vertical="center"/>
    </xf>
    <xf numFmtId="0" fontId="0" fillId="0" borderId="0" xfId="0" applyAlignment="1"/>
    <xf numFmtId="164" fontId="0" fillId="0" borderId="0" xfId="0" applyNumberFormat="1" applyAlignment="1"/>
    <xf numFmtId="165" fontId="0" fillId="0" borderId="0" xfId="0" applyNumberFormat="1" applyAlignment="1"/>
    <xf numFmtId="2" fontId="0" fillId="0" borderId="0" xfId="0" applyNumberFormat="1" applyAlignment="1"/>
    <xf numFmtId="166" fontId="0" fillId="0" borderId="0" xfId="0" applyNumberFormat="1" applyAlignment="1"/>
    <xf numFmtId="49" fontId="4" fillId="7" borderId="0" xfId="0" applyNumberFormat="1" applyFont="1" applyFill="1" applyAlignment="1" applyProtection="1">
      <alignment horizontal="center" vertical="center" wrapText="1"/>
    </xf>
    <xf numFmtId="49" fontId="0" fillId="7" borderId="0" xfId="0" applyNumberFormat="1" applyFill="1" applyAlignment="1" applyProtection="1">
      <alignment horizontal="center" vertical="center" wrapText="1"/>
    </xf>
    <xf numFmtId="2" fontId="0" fillId="7" borderId="0" xfId="0" applyNumberFormat="1" applyFill="1" applyAlignment="1" applyProtection="1">
      <alignment horizontal="center" vertical="center" wrapText="1"/>
    </xf>
    <xf numFmtId="49" fontId="0" fillId="7" borderId="0" xfId="0" applyNumberFormat="1" applyFill="1" applyAlignment="1" applyProtection="1">
      <alignment horizontal="center" vertical="center"/>
    </xf>
    <xf numFmtId="1" fontId="0" fillId="7" borderId="0" xfId="0" applyNumberFormat="1" applyFill="1" applyAlignment="1" applyProtection="1">
      <alignment horizontal="center" vertical="center"/>
    </xf>
    <xf numFmtId="49" fontId="0" fillId="6" borderId="0" xfId="0" applyNumberFormat="1" applyFill="1" applyAlignment="1" applyProtection="1">
      <alignment horizontal="center" vertical="center" wrapText="1"/>
    </xf>
    <xf numFmtId="164" fontId="0" fillId="8" borderId="0" xfId="0" applyNumberFormat="1" applyFill="1" applyAlignment="1" applyProtection="1">
      <alignment horizontal="center" vertical="center" wrapText="1"/>
    </xf>
    <xf numFmtId="165" fontId="0" fillId="8" borderId="0" xfId="0" applyNumberFormat="1" applyFill="1" applyAlignment="1" applyProtection="1">
      <alignment horizontal="center" vertical="center" wrapText="1"/>
    </xf>
    <xf numFmtId="49" fontId="0" fillId="8" borderId="0" xfId="0" applyNumberFormat="1" applyFill="1" applyAlignment="1" applyProtection="1">
      <alignment horizontal="center" vertical="center" wrapText="1"/>
    </xf>
    <xf numFmtId="1" fontId="0" fillId="8" borderId="0" xfId="0" applyNumberFormat="1" applyFill="1" applyAlignment="1" applyProtection="1">
      <alignment horizontal="center" vertical="center" wrapText="1"/>
    </xf>
    <xf numFmtId="0" fontId="0" fillId="6" borderId="0" xfId="0" applyFill="1" applyAlignment="1" applyProtection="1">
      <alignment horizontal="center" vertical="center" wrapText="1"/>
    </xf>
    <xf numFmtId="2" fontId="0" fillId="6" borderId="0" xfId="0" applyNumberFormat="1" applyFill="1" applyAlignment="1" applyProtection="1">
      <alignment horizontal="center" vertical="center" wrapText="1"/>
    </xf>
    <xf numFmtId="1" fontId="0" fillId="7" borderId="0" xfId="0" applyNumberFormat="1" applyFill="1" applyAlignment="1" applyProtection="1">
      <alignment horizontal="center" vertical="center" wrapText="1"/>
    </xf>
    <xf numFmtId="49" fontId="4" fillId="6" borderId="0" xfId="0" applyNumberFormat="1" applyFont="1" applyFill="1" applyAlignment="1" applyProtection="1">
      <alignment horizontal="center" vertical="center" wrapText="1"/>
    </xf>
    <xf numFmtId="0" fontId="0" fillId="7" borderId="0" xfId="0" applyFill="1" applyAlignment="1" applyProtection="1">
      <alignment horizontal="center" vertical="center" wrapText="1"/>
    </xf>
    <xf numFmtId="0" fontId="0" fillId="0" borderId="0" xfId="0" quotePrefix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hyperlink" Target="http://opwall.com/" TargetMode="External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262217</xdr:colOff>
      <xdr:row>0</xdr:row>
      <xdr:rowOff>66676</xdr:rowOff>
    </xdr:from>
    <xdr:to>
      <xdr:col>14</xdr:col>
      <xdr:colOff>586068</xdr:colOff>
      <xdr:row>24</xdr:row>
      <xdr:rowOff>77882</xdr:rowOff>
    </xdr:to>
    <xdr:sp macro="" textlink="">
      <xdr:nvSpPr>
        <xdr:cNvPr id="7" name="Rounded Rectangle 6"/>
        <xdr:cNvSpPr/>
      </xdr:nvSpPr>
      <xdr:spPr>
        <a:xfrm>
          <a:off x="262217" y="66676"/>
          <a:ext cx="8858251" cy="4735606"/>
        </a:xfrm>
        <a:prstGeom prst="roundRect">
          <a:avLst/>
        </a:prstGeom>
        <a:gradFill flip="none" rotWithShape="1">
          <a:gsLst>
            <a:gs pos="63000">
              <a:schemeClr val="accent1">
                <a:tint val="66000"/>
                <a:satMod val="160000"/>
                <a:alpha val="0"/>
              </a:schemeClr>
            </a:gs>
            <a:gs pos="100000">
              <a:schemeClr val="accent1">
                <a:tint val="44500"/>
                <a:satMod val="160000"/>
              </a:schemeClr>
            </a:gs>
            <a:gs pos="100000">
              <a:schemeClr val="accent1">
                <a:tint val="23500"/>
                <a:satMod val="160000"/>
              </a:schemeClr>
            </a:gs>
          </a:gsLst>
          <a:path path="circle">
            <a:fillToRect l="50000" t="50000" r="50000" b="50000"/>
          </a:path>
          <a:tileRect/>
        </a:gra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US"/>
        </a:p>
      </xdr:txBody>
    </xdr:sp>
    <xdr:clientData/>
  </xdr:twoCellAnchor>
  <xdr:twoCellAnchor editAs="oneCell">
    <xdr:from>
      <xdr:col>2</xdr:col>
      <xdr:colOff>200025</xdr:colOff>
      <xdr:row>20</xdr:row>
      <xdr:rowOff>95250</xdr:rowOff>
    </xdr:from>
    <xdr:to>
      <xdr:col>3</xdr:col>
      <xdr:colOff>266700</xdr:colOff>
      <xdr:row>22</xdr:row>
      <xdr:rowOff>9525</xdr:rowOff>
    </xdr:to>
    <xdr:pic>
      <xdr:nvPicPr>
        <xdr:cNvPr id="3078" name="Picture 3"/>
        <xdr:cNvPicPr>
          <a:picLocks noChangeAspect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419225" y="4057650"/>
          <a:ext cx="676275" cy="2952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10</xdr:col>
      <xdr:colOff>419100</xdr:colOff>
      <xdr:row>20</xdr:row>
      <xdr:rowOff>104775</xdr:rowOff>
    </xdr:from>
    <xdr:to>
      <xdr:col>12</xdr:col>
      <xdr:colOff>514350</xdr:colOff>
      <xdr:row>21</xdr:row>
      <xdr:rowOff>180975</xdr:rowOff>
    </xdr:to>
    <xdr:pic>
      <xdr:nvPicPr>
        <xdr:cNvPr id="3079" name="Picture 5">
          <a:hlinkClick xmlns:r="http://schemas.openxmlformats.org/officeDocument/2006/relationships" r:id="rId2"/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6515100" y="4067175"/>
          <a:ext cx="1314450" cy="2667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590550</xdr:colOff>
          <xdr:row>20</xdr:row>
          <xdr:rowOff>0</xdr:rowOff>
        </xdr:from>
        <xdr:to>
          <xdr:col>6</xdr:col>
          <xdr:colOff>419100</xdr:colOff>
          <xdr:row>22</xdr:row>
          <xdr:rowOff>9525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Prepare for Upload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76200</xdr:colOff>
          <xdr:row>20</xdr:row>
          <xdr:rowOff>0</xdr:rowOff>
        </xdr:from>
        <xdr:to>
          <xdr:col>9</xdr:col>
          <xdr:colOff>514350</xdr:colOff>
          <xdr:row>22</xdr:row>
          <xdr:rowOff>9525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Lock WorkBook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2:R35"/>
  <sheetViews>
    <sheetView zoomScaleNormal="100" workbookViewId="0">
      <selection activeCell="G31" sqref="G31"/>
    </sheetView>
  </sheetViews>
  <sheetFormatPr defaultRowHeight="15" x14ac:dyDescent="0.25"/>
  <cols>
    <col min="1" max="16384" width="9.140625" style="24"/>
  </cols>
  <sheetData>
    <row r="2" spans="4:4" ht="21" x14ac:dyDescent="0.35">
      <c r="D2" s="22" t="s">
        <v>268</v>
      </c>
    </row>
    <row r="3" spans="4:4" ht="21" x14ac:dyDescent="0.35">
      <c r="D3" s="22" t="s">
        <v>565</v>
      </c>
    </row>
    <row r="4" spans="4:4" x14ac:dyDescent="0.25">
      <c r="D4" s="23" t="s">
        <v>269</v>
      </c>
    </row>
    <row r="5" spans="4:4" x14ac:dyDescent="0.25">
      <c r="D5" s="23" t="s">
        <v>250</v>
      </c>
    </row>
    <row r="6" spans="4:4" x14ac:dyDescent="0.25">
      <c r="D6" s="23"/>
    </row>
    <row r="7" spans="4:4" x14ac:dyDescent="0.25">
      <c r="D7" s="23" t="s">
        <v>255</v>
      </c>
    </row>
    <row r="8" spans="4:4" x14ac:dyDescent="0.25">
      <c r="D8" s="23"/>
    </row>
    <row r="9" spans="4:4" x14ac:dyDescent="0.25">
      <c r="D9" s="23" t="s">
        <v>251</v>
      </c>
    </row>
    <row r="10" spans="4:4" x14ac:dyDescent="0.25">
      <c r="D10" s="23"/>
    </row>
    <row r="11" spans="4:4" x14ac:dyDescent="0.25">
      <c r="D11" s="23" t="s">
        <v>252</v>
      </c>
    </row>
    <row r="12" spans="4:4" x14ac:dyDescent="0.25">
      <c r="D12" s="23" t="s">
        <v>253</v>
      </c>
    </row>
    <row r="13" spans="4:4" x14ac:dyDescent="0.25">
      <c r="D13" s="23"/>
    </row>
    <row r="14" spans="4:4" x14ac:dyDescent="0.25">
      <c r="D14" s="23" t="s">
        <v>266</v>
      </c>
    </row>
    <row r="15" spans="4:4" x14ac:dyDescent="0.25">
      <c r="D15" s="23"/>
    </row>
    <row r="16" spans="4:4" x14ac:dyDescent="0.25">
      <c r="D16" s="23" t="s">
        <v>254</v>
      </c>
    </row>
    <row r="18" spans="1:18" x14ac:dyDescent="0.25">
      <c r="D18" s="23" t="s">
        <v>256</v>
      </c>
    </row>
    <row r="19" spans="1:18" x14ac:dyDescent="0.25">
      <c r="D19" s="24" t="s">
        <v>267</v>
      </c>
    </row>
    <row r="26" spans="1:18" ht="60" x14ac:dyDescent="0.25">
      <c r="A26" s="54" t="s">
        <v>16</v>
      </c>
      <c r="B26" s="55" t="s">
        <v>7</v>
      </c>
      <c r="C26" s="56" t="s">
        <v>0</v>
      </c>
      <c r="D26" s="56" t="s">
        <v>1</v>
      </c>
      <c r="E26" s="57" t="s">
        <v>242</v>
      </c>
      <c r="F26" s="56" t="s">
        <v>2</v>
      </c>
      <c r="G26" s="57" t="s">
        <v>3</v>
      </c>
      <c r="H26" s="57" t="s">
        <v>8</v>
      </c>
      <c r="I26" s="57" t="s">
        <v>9</v>
      </c>
      <c r="J26" s="48" t="s">
        <v>4</v>
      </c>
      <c r="K26" s="49" t="s">
        <v>17</v>
      </c>
      <c r="L26" s="50" t="s">
        <v>10</v>
      </c>
      <c r="M26" s="50" t="s">
        <v>11</v>
      </c>
      <c r="N26" s="50" t="s">
        <v>12</v>
      </c>
      <c r="O26" s="51" t="s">
        <v>5</v>
      </c>
      <c r="P26" s="52" t="s">
        <v>14</v>
      </c>
      <c r="Q26" s="52" t="s">
        <v>15</v>
      </c>
      <c r="R26" s="51" t="s">
        <v>6</v>
      </c>
    </row>
    <row r="27" spans="1:18" x14ac:dyDescent="0.25">
      <c r="A27" s="29">
        <v>41453</v>
      </c>
      <c r="B27" s="30">
        <v>0.87361111111111101</v>
      </c>
      <c r="C27" s="27" t="s">
        <v>52</v>
      </c>
      <c r="D27" s="27" t="s">
        <v>220</v>
      </c>
      <c r="E27" s="31">
        <v>2256</v>
      </c>
      <c r="F27" s="27" t="s">
        <v>249</v>
      </c>
      <c r="G27" s="31">
        <v>12</v>
      </c>
      <c r="H27" s="31">
        <v>0</v>
      </c>
      <c r="I27" s="31">
        <v>0</v>
      </c>
      <c r="J27" s="27" t="s">
        <v>258</v>
      </c>
      <c r="K27" s="27"/>
      <c r="L27" s="32">
        <v>41.5</v>
      </c>
      <c r="M27" s="32">
        <v>25.83</v>
      </c>
      <c r="N27" s="32"/>
      <c r="O27" s="27" t="s">
        <v>55</v>
      </c>
      <c r="P27" s="31"/>
      <c r="Q27" s="31"/>
      <c r="R27" s="27"/>
    </row>
    <row r="28" spans="1:18" x14ac:dyDescent="0.25">
      <c r="A28" s="29">
        <v>41455</v>
      </c>
      <c r="B28" s="30">
        <v>0.32291666666666669</v>
      </c>
      <c r="C28" s="27"/>
      <c r="D28" s="27" t="s">
        <v>217</v>
      </c>
      <c r="E28" s="31">
        <v>1</v>
      </c>
      <c r="F28" s="27" t="s">
        <v>290</v>
      </c>
      <c r="G28" s="31">
        <v>1</v>
      </c>
      <c r="H28" s="31">
        <v>0</v>
      </c>
      <c r="I28" s="31">
        <v>0</v>
      </c>
      <c r="J28" s="27" t="s">
        <v>263</v>
      </c>
      <c r="K28" s="27"/>
      <c r="L28" s="32"/>
      <c r="M28" s="32"/>
      <c r="N28" s="32"/>
      <c r="O28" s="27" t="s">
        <v>55</v>
      </c>
      <c r="P28" s="31"/>
      <c r="Q28" s="31"/>
      <c r="R28" s="27"/>
    </row>
    <row r="29" spans="1:18" x14ac:dyDescent="0.25">
      <c r="A29" s="29">
        <v>41456</v>
      </c>
      <c r="B29" s="30"/>
      <c r="C29" s="27" t="s">
        <v>52</v>
      </c>
      <c r="D29" s="27"/>
      <c r="E29" s="31"/>
      <c r="F29" s="27" t="s">
        <v>249</v>
      </c>
      <c r="G29" s="31"/>
      <c r="H29" s="31"/>
      <c r="I29" s="31"/>
      <c r="J29" s="27" t="s">
        <v>264</v>
      </c>
      <c r="K29" s="27"/>
      <c r="L29" s="32"/>
      <c r="M29" s="32"/>
      <c r="N29" s="32"/>
      <c r="O29" s="27" t="s">
        <v>55</v>
      </c>
      <c r="P29" s="31"/>
      <c r="Q29" s="31"/>
      <c r="R29" s="27" t="s">
        <v>270</v>
      </c>
    </row>
    <row r="30" spans="1:18" x14ac:dyDescent="0.25">
      <c r="A30" s="29">
        <v>41457</v>
      </c>
      <c r="B30" s="30">
        <v>0.33333333333333331</v>
      </c>
      <c r="C30" s="27" t="s">
        <v>52</v>
      </c>
      <c r="D30" s="27"/>
      <c r="E30" s="31"/>
      <c r="F30" s="27" t="s">
        <v>249</v>
      </c>
      <c r="G30" s="31">
        <v>1</v>
      </c>
      <c r="H30" s="31">
        <v>0</v>
      </c>
      <c r="I30" s="31">
        <v>0</v>
      </c>
      <c r="J30" s="27" t="s">
        <v>261</v>
      </c>
      <c r="K30" s="27"/>
      <c r="L30" s="32"/>
      <c r="M30" s="32"/>
      <c r="N30" s="32"/>
      <c r="O30" s="27" t="s">
        <v>53</v>
      </c>
      <c r="P30" s="31"/>
      <c r="Q30" s="31"/>
      <c r="R30" s="27"/>
    </row>
    <row r="31" spans="1:18" x14ac:dyDescent="0.25">
      <c r="A31" s="29">
        <v>41461</v>
      </c>
      <c r="B31" s="30"/>
      <c r="C31" s="27" t="s">
        <v>52</v>
      </c>
      <c r="D31" s="27"/>
      <c r="E31" s="31"/>
      <c r="F31" s="27" t="s">
        <v>249</v>
      </c>
      <c r="G31" s="31">
        <v>1</v>
      </c>
      <c r="H31" s="31">
        <v>0</v>
      </c>
      <c r="I31" s="31">
        <v>0</v>
      </c>
      <c r="J31" s="27" t="s">
        <v>264</v>
      </c>
      <c r="K31" s="27"/>
      <c r="L31" s="32"/>
      <c r="M31" s="32"/>
      <c r="N31" s="32"/>
      <c r="O31" s="27" t="s">
        <v>55</v>
      </c>
      <c r="P31" s="31"/>
      <c r="Q31" s="31"/>
      <c r="R31" s="27"/>
    </row>
    <row r="32" spans="1:18" x14ac:dyDescent="0.25">
      <c r="A32" s="29">
        <v>41462</v>
      </c>
      <c r="B32" s="30">
        <v>0.47916666666666669</v>
      </c>
      <c r="C32" s="27" t="s">
        <v>52</v>
      </c>
      <c r="D32" s="27"/>
      <c r="E32" s="31"/>
      <c r="F32" s="27" t="s">
        <v>249</v>
      </c>
      <c r="G32" s="31">
        <v>3</v>
      </c>
      <c r="H32" s="31">
        <v>0</v>
      </c>
      <c r="I32" s="31">
        <v>0</v>
      </c>
      <c r="J32" s="27" t="s">
        <v>259</v>
      </c>
      <c r="K32" s="27"/>
      <c r="L32" s="32">
        <v>54.43</v>
      </c>
      <c r="M32" s="32">
        <v>40.75</v>
      </c>
      <c r="N32" s="32"/>
      <c r="O32" s="27" t="s">
        <v>55</v>
      </c>
      <c r="P32" s="31"/>
      <c r="Q32" s="31"/>
      <c r="R32" s="27" t="s">
        <v>271</v>
      </c>
    </row>
    <row r="33" spans="1:18" x14ac:dyDescent="0.25">
      <c r="A33" s="29">
        <v>41465</v>
      </c>
      <c r="B33" s="30">
        <v>0.9194444444444444</v>
      </c>
      <c r="C33" s="27" t="s">
        <v>46</v>
      </c>
      <c r="D33" s="27"/>
      <c r="E33" s="31"/>
      <c r="F33" s="27" t="s">
        <v>249</v>
      </c>
      <c r="G33" s="31">
        <v>8</v>
      </c>
      <c r="H33" s="31">
        <v>0</v>
      </c>
      <c r="I33" s="31">
        <v>0</v>
      </c>
      <c r="J33" s="27" t="s">
        <v>260</v>
      </c>
      <c r="K33" s="27"/>
      <c r="L33" s="32">
        <v>142.83000000000001</v>
      </c>
      <c r="M33" s="32"/>
      <c r="N33" s="32"/>
      <c r="O33" s="27" t="s">
        <v>55</v>
      </c>
      <c r="P33" s="31"/>
      <c r="Q33" s="31"/>
      <c r="R33" s="27" t="s">
        <v>272</v>
      </c>
    </row>
    <row r="34" spans="1:18" x14ac:dyDescent="0.25">
      <c r="A34" s="29">
        <v>41466</v>
      </c>
      <c r="B34" s="30">
        <v>0.45694444444444443</v>
      </c>
      <c r="C34" s="27" t="s">
        <v>46</v>
      </c>
      <c r="D34" s="27" t="s">
        <v>213</v>
      </c>
      <c r="E34" s="31">
        <v>1200</v>
      </c>
      <c r="F34" s="27" t="s">
        <v>249</v>
      </c>
      <c r="G34" s="31">
        <v>2</v>
      </c>
      <c r="H34" s="31">
        <v>0</v>
      </c>
      <c r="I34" s="31">
        <v>0</v>
      </c>
      <c r="J34" s="27" t="s">
        <v>262</v>
      </c>
      <c r="K34" s="27"/>
      <c r="L34" s="32">
        <v>64.680000000000007</v>
      </c>
      <c r="M34" s="32">
        <v>82.49</v>
      </c>
      <c r="N34" s="32"/>
      <c r="O34" s="27" t="s">
        <v>54</v>
      </c>
      <c r="P34" s="31"/>
      <c r="Q34" s="31"/>
      <c r="R34" s="27" t="s">
        <v>274</v>
      </c>
    </row>
    <row r="35" spans="1:18" x14ac:dyDescent="0.25">
      <c r="A35" s="29">
        <v>41466</v>
      </c>
      <c r="B35" s="30">
        <v>0.45694444444444443</v>
      </c>
      <c r="C35" s="27" t="s">
        <v>46</v>
      </c>
      <c r="D35" s="27" t="s">
        <v>213</v>
      </c>
      <c r="E35" s="31">
        <v>1200</v>
      </c>
      <c r="F35" s="27" t="s">
        <v>249</v>
      </c>
      <c r="G35" s="31">
        <v>2</v>
      </c>
      <c r="H35" s="31">
        <v>0</v>
      </c>
      <c r="I35" s="31">
        <v>0</v>
      </c>
      <c r="J35" s="27" t="s">
        <v>262</v>
      </c>
      <c r="K35" s="27"/>
      <c r="L35" s="32"/>
      <c r="M35" s="32"/>
      <c r="N35" s="32"/>
      <c r="O35" s="27" t="s">
        <v>53</v>
      </c>
      <c r="P35" s="31"/>
      <c r="Q35" s="31"/>
      <c r="R35" s="27" t="s">
        <v>273</v>
      </c>
    </row>
  </sheetData>
  <phoneticPr fontId="5" type="noConversion"/>
  <dataValidations count="12">
    <dataValidation showInputMessage="1" showErrorMessage="1" sqref="F26:F35"/>
    <dataValidation type="list" allowBlank="1" showInputMessage="1" showErrorMessage="1" sqref="J27:J35">
      <formula1>Species</formula1>
    </dataValidation>
    <dataValidation type="whole" showInputMessage="1" showErrorMessage="1" sqref="I27:I35">
      <formula1>0</formula1>
      <formula2>1</formula2>
    </dataValidation>
    <dataValidation type="time" showInputMessage="1" showErrorMessage="1" errorTitle="Time Input" error="Time must be input as 24hr format: 00:00 e.g. 3:17om would be 15:17" sqref="B27:B35">
      <formula1>0</formula1>
      <formula2>0.999305555555556</formula2>
    </dataValidation>
    <dataValidation type="whole" allowBlank="1" showInputMessage="1" showErrorMessage="1" sqref="H27:H35">
      <formula1>0</formula1>
      <formula2>1</formula2>
    </dataValidation>
    <dataValidation type="whole" allowBlank="1" showInputMessage="1" showErrorMessage="1" sqref="G27:G35">
      <formula1>0</formula1>
      <formula2>30</formula2>
    </dataValidation>
    <dataValidation type="whole" allowBlank="1" showInputMessage="1" showErrorMessage="1" sqref="E27:E35">
      <formula1>0</formula1>
      <formula2>4000</formula2>
    </dataValidation>
    <dataValidation type="list" showInputMessage="1" showErrorMessage="1" sqref="D27:D35">
      <formula1>Transect</formula1>
    </dataValidation>
    <dataValidation type="list" showInputMessage="1" showErrorMessage="1" sqref="C27:C35">
      <formula1>Camp</formula1>
    </dataValidation>
    <dataValidation type="list" showInputMessage="1" showErrorMessage="1" sqref="A27:A35">
      <formula1>Date2013</formula1>
    </dataValidation>
    <dataValidation type="decimal" showInputMessage="1" showErrorMessage="1" sqref="L27:N35">
      <formula1>0</formula1>
      <formula2>5000</formula2>
    </dataValidation>
    <dataValidation type="list" showInputMessage="1" showErrorMessage="1" sqref="O27:O35">
      <formula1>Sex</formula1>
    </dataValidation>
  </dataValidations>
  <pageMargins left="0.7" right="0.7" top="0.75" bottom="0.75" header="0.3" footer="0.3"/>
  <pageSetup orientation="portrait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4" name="Button 3">
              <controlPr defaultSize="0" print="0" autoFill="0" autoPict="0" macro="[0]!Comp_Prep_Op">
                <anchor moveWithCells="1" sizeWithCells="1">
                  <from>
                    <xdr:col>3</xdr:col>
                    <xdr:colOff>590550</xdr:colOff>
                    <xdr:row>20</xdr:row>
                    <xdr:rowOff>0</xdr:rowOff>
                  </from>
                  <to>
                    <xdr:col>6</xdr:col>
                    <xdr:colOff>419100</xdr:colOff>
                    <xdr:row>22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5" name="Button 4">
              <controlPr defaultSize="0" print="0" autoFill="0" autoPict="0" macro="[0]!LockWB">
                <anchor moveWithCells="1" sizeWithCells="1">
                  <from>
                    <xdr:col>7</xdr:col>
                    <xdr:colOff>76200</xdr:colOff>
                    <xdr:row>20</xdr:row>
                    <xdr:rowOff>0</xdr:rowOff>
                  </from>
                  <to>
                    <xdr:col>9</xdr:col>
                    <xdr:colOff>514350</xdr:colOff>
                    <xdr:row>22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A2"/>
  <sheetViews>
    <sheetView tabSelected="1" zoomScaleNormal="100" workbookViewId="0">
      <pane ySplit="1" topLeftCell="A2" activePane="bottomLeft" state="frozen"/>
      <selection pane="bottomLeft" activeCell="B7" sqref="B7"/>
    </sheetView>
  </sheetViews>
  <sheetFormatPr defaultRowHeight="15" x14ac:dyDescent="0.25"/>
  <cols>
    <col min="1" max="1" width="13.7109375" style="29" customWidth="1"/>
    <col min="2" max="2" width="11.42578125" style="30" bestFit="1" customWidth="1"/>
    <col min="3" max="3" width="16.85546875" style="27" customWidth="1"/>
    <col min="4" max="4" width="14.5703125" style="27" bestFit="1" customWidth="1"/>
    <col min="5" max="5" width="15.28515625" style="31" bestFit="1" customWidth="1"/>
    <col min="6" max="6" width="15.28515625" style="27" bestFit="1" customWidth="1"/>
    <col min="7" max="7" width="13.140625" style="31" bestFit="1" customWidth="1"/>
    <col min="8" max="8" width="10.85546875" style="31" bestFit="1" customWidth="1"/>
    <col min="9" max="9" width="11.7109375" style="31" bestFit="1" customWidth="1"/>
    <col min="10" max="10" width="16.7109375" style="27" bestFit="1" customWidth="1"/>
    <col min="11" max="11" width="16.7109375" style="27" customWidth="1"/>
    <col min="12" max="13" width="16.7109375" style="28" customWidth="1"/>
    <col min="14" max="15" width="16.7109375" style="27" customWidth="1"/>
    <col min="16" max="16" width="10.140625" style="32" bestFit="1" customWidth="1"/>
    <col min="17" max="17" width="16.7109375" style="32" bestFit="1" customWidth="1"/>
    <col min="18" max="18" width="9" style="32" bestFit="1" customWidth="1"/>
    <col min="19" max="19" width="18.140625" style="32" bestFit="1" customWidth="1"/>
    <col min="20" max="20" width="10.140625" style="27" bestFit="1" customWidth="1"/>
    <col min="21" max="21" width="13.85546875" style="31" bestFit="1" customWidth="1"/>
    <col min="22" max="22" width="13.42578125" style="31" bestFit="1" customWidth="1"/>
    <col min="23" max="23" width="28.42578125" style="27" customWidth="1"/>
    <col min="24" max="16384" width="9.140625" style="28"/>
  </cols>
  <sheetData>
    <row r="1" spans="1:27" s="25" customFormat="1" ht="45" x14ac:dyDescent="0.25">
      <c r="A1" s="54" t="s">
        <v>16</v>
      </c>
      <c r="B1" s="55" t="s">
        <v>7</v>
      </c>
      <c r="C1" s="56" t="s">
        <v>0</v>
      </c>
      <c r="D1" s="56" t="s">
        <v>1</v>
      </c>
      <c r="E1" s="57" t="s">
        <v>242</v>
      </c>
      <c r="F1" s="56" t="s">
        <v>2</v>
      </c>
      <c r="G1" s="57" t="s">
        <v>3</v>
      </c>
      <c r="H1" s="57" t="s">
        <v>8</v>
      </c>
      <c r="I1" s="57" t="s">
        <v>9</v>
      </c>
      <c r="J1" s="48" t="s">
        <v>4</v>
      </c>
      <c r="K1" s="49" t="s">
        <v>17</v>
      </c>
      <c r="L1" s="58" t="s">
        <v>40</v>
      </c>
      <c r="M1" s="58" t="s">
        <v>41</v>
      </c>
      <c r="N1" s="53" t="s">
        <v>42</v>
      </c>
      <c r="O1" s="53" t="s">
        <v>43</v>
      </c>
      <c r="P1" s="50" t="s">
        <v>10</v>
      </c>
      <c r="Q1" s="50" t="s">
        <v>11</v>
      </c>
      <c r="R1" s="50" t="s">
        <v>12</v>
      </c>
      <c r="S1" s="59" t="s">
        <v>13</v>
      </c>
      <c r="T1" s="49" t="s">
        <v>5</v>
      </c>
      <c r="U1" s="60" t="s">
        <v>14</v>
      </c>
      <c r="V1" s="60" t="s">
        <v>15</v>
      </c>
      <c r="W1" s="49" t="s">
        <v>6</v>
      </c>
      <c r="X1" s="26"/>
      <c r="Y1" s="26"/>
      <c r="Z1" s="26"/>
      <c r="AA1" s="26"/>
    </row>
    <row r="2" spans="1:27" x14ac:dyDescent="0.25">
      <c r="L2" s="28" t="str">
        <f>IF(ISBLANK(J2),CONCATENATE(J2,K2),J2)</f>
        <v/>
      </c>
      <c r="M2" s="28" t="str">
        <f>IF(AND(ISBLANK(J2),ISBLANK(K2)),"",FIND(" ",L2))</f>
        <v/>
      </c>
      <c r="N2" s="27" t="str">
        <f>IF(AND(ISBLANK(J2),ISBLANK(K2)),"",MID(L2,1,M2))</f>
        <v/>
      </c>
      <c r="O2" s="27" t="str">
        <f>IF(AND(ISBLANK(J2),ISBLANK(K2)),"",MID(L2,M2+1,99))</f>
        <v/>
      </c>
      <c r="S2" s="32" t="str">
        <f>IF(ISBLANK(P2),"",IF(ISBLANK(Q2),P2,P2+Q2))</f>
        <v/>
      </c>
    </row>
  </sheetData>
  <phoneticPr fontId="5" type="noConversion"/>
  <dataValidations count="12">
    <dataValidation type="list" showInputMessage="1" showErrorMessage="1" sqref="T2:T65260">
      <formula1>Sex</formula1>
    </dataValidation>
    <dataValidation type="decimal" showInputMessage="1" showErrorMessage="1" sqref="P2:R65260">
      <formula1>0</formula1>
      <formula2>5000</formula2>
    </dataValidation>
    <dataValidation type="list" showInputMessage="1" showErrorMessage="1" sqref="A2:A65260">
      <formula1>Date2013</formula1>
    </dataValidation>
    <dataValidation type="list" showInputMessage="1" showErrorMessage="1" sqref="C2:C65260">
      <formula1>Camp</formula1>
    </dataValidation>
    <dataValidation type="list" showInputMessage="1" showErrorMessage="1" sqref="D2:D65260">
      <formula1>Transect</formula1>
    </dataValidation>
    <dataValidation type="whole" allowBlank="1" showInputMessage="1" showErrorMessage="1" sqref="E2:E65260">
      <formula1>0</formula1>
      <formula2>4000</formula2>
    </dataValidation>
    <dataValidation type="whole" allowBlank="1" showInputMessage="1" showErrorMessage="1" sqref="G2:G65260">
      <formula1>0</formula1>
      <formula2>30</formula2>
    </dataValidation>
    <dataValidation type="whole" allowBlank="1" showInputMessage="1" showErrorMessage="1" sqref="H2:H65260">
      <formula1>0</formula1>
      <formula2>1</formula2>
    </dataValidation>
    <dataValidation type="time" showInputMessage="1" showErrorMessage="1" errorTitle="Time Input" error="Time must be input as 24hr format: 00:00 e.g. 3:17om would be 15:17" sqref="B2:B65260">
      <formula1>0</formula1>
      <formula2>0.999305555555556</formula2>
    </dataValidation>
    <dataValidation type="whole" showInputMessage="1" showErrorMessage="1" sqref="I2:I65260">
      <formula1>0</formula1>
      <formula2>1</formula2>
    </dataValidation>
    <dataValidation type="list" allowBlank="1" showInputMessage="1" showErrorMessage="1" sqref="J2:J65260">
      <formula1>Species</formula1>
    </dataValidation>
    <dataValidation showInputMessage="1" showErrorMessage="1" sqref="F1:F1048576"/>
  </dataValidations>
  <pageMargins left="0.7" right="0.7" top="0.75" bottom="0.75" header="0.3" footer="0.3"/>
  <pageSetup orientation="portrait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U2000"/>
  <sheetViews>
    <sheetView topLeftCell="G1" workbookViewId="0">
      <selection activeCell="M10" sqref="M10"/>
    </sheetView>
  </sheetViews>
  <sheetFormatPr defaultRowHeight="15" x14ac:dyDescent="0.25"/>
  <cols>
    <col min="1" max="1" width="9.140625" style="33"/>
    <col min="2" max="2" width="13.7109375" style="44" customWidth="1"/>
    <col min="3" max="3" width="11.42578125" style="45" bestFit="1" customWidth="1"/>
    <col min="4" max="4" width="16.85546875" style="21" customWidth="1"/>
    <col min="5" max="5" width="14.5703125" style="21" bestFit="1" customWidth="1"/>
    <col min="6" max="6" width="15.28515625" style="33" bestFit="1" customWidth="1"/>
    <col min="7" max="7" width="15.28515625" style="21" bestFit="1" customWidth="1"/>
    <col min="8" max="8" width="13.140625" style="33" bestFit="1" customWidth="1"/>
    <col min="9" max="9" width="10.85546875" style="33" bestFit="1" customWidth="1"/>
    <col min="10" max="10" width="11.7109375" style="33" bestFit="1" customWidth="1"/>
    <col min="11" max="12" width="16.7109375" style="21" customWidth="1"/>
    <col min="13" max="13" width="9.28515625" style="33" bestFit="1" customWidth="1"/>
    <col min="14" max="14" width="11" style="46" bestFit="1" customWidth="1"/>
    <col min="15" max="15" width="11.42578125" style="46" bestFit="1" customWidth="1"/>
    <col min="16" max="16" width="8.85546875" style="46" bestFit="1" customWidth="1"/>
    <col min="17" max="17" width="10.140625" style="21" bestFit="1" customWidth="1"/>
    <col min="18" max="18" width="13.85546875" style="47" bestFit="1" customWidth="1"/>
    <col min="19" max="19" width="13.42578125" style="33" bestFit="1" customWidth="1"/>
    <col min="20" max="20" width="12.28515625" style="33" bestFit="1" customWidth="1"/>
    <col min="21" max="21" width="10.140625" style="21" bestFit="1" customWidth="1"/>
    <col min="22" max="16384" width="9.140625" style="43"/>
  </cols>
  <sheetData>
    <row r="1" spans="1:21" ht="30" x14ac:dyDescent="0.25">
      <c r="A1" s="33" t="s">
        <v>18</v>
      </c>
      <c r="B1" s="54" t="s">
        <v>22</v>
      </c>
      <c r="C1" s="55" t="s">
        <v>19</v>
      </c>
      <c r="D1" s="56" t="s">
        <v>21</v>
      </c>
      <c r="E1" s="56" t="s">
        <v>23</v>
      </c>
      <c r="F1" s="57" t="s">
        <v>24</v>
      </c>
      <c r="G1" s="56" t="s">
        <v>25</v>
      </c>
      <c r="H1" s="57" t="s">
        <v>26</v>
      </c>
      <c r="I1" s="57" t="s">
        <v>27</v>
      </c>
      <c r="J1" s="57" t="s">
        <v>28</v>
      </c>
      <c r="K1" s="61" t="s">
        <v>29</v>
      </c>
      <c r="L1" s="53" t="s">
        <v>30</v>
      </c>
      <c r="M1" s="62" t="s">
        <v>31</v>
      </c>
      <c r="N1" s="62" t="s">
        <v>32</v>
      </c>
      <c r="O1" s="49" t="s">
        <v>33</v>
      </c>
      <c r="P1" s="49" t="s">
        <v>34</v>
      </c>
      <c r="Q1" s="59" t="s">
        <v>35</v>
      </c>
      <c r="R1" s="50" t="s">
        <v>36</v>
      </c>
      <c r="S1" s="50" t="s">
        <v>37</v>
      </c>
      <c r="T1" s="50" t="s">
        <v>38</v>
      </c>
      <c r="U1" s="49" t="s">
        <v>39</v>
      </c>
    </row>
    <row r="2" spans="1:21" x14ac:dyDescent="0.25">
      <c r="A2" s="33" t="str">
        <f>IF(ISBLANK(Data!A2),"",YEAR(Data!A2))</f>
        <v/>
      </c>
      <c r="B2" s="44" t="str">
        <f>IF(ISBLANK(Data!A2),"",Data!A2)</f>
        <v/>
      </c>
      <c r="C2" s="45" t="str">
        <f>IF(ISBLANK(Data!B2),"",Data!B2)</f>
        <v/>
      </c>
      <c r="D2" s="21" t="str">
        <f>IF(ISBLANK(Data!C2),"",Data!C2)</f>
        <v/>
      </c>
      <c r="E2" s="21" t="str">
        <f>IF(ISBLANK(Data!D2),"",Data!D2)</f>
        <v/>
      </c>
      <c r="F2" s="33" t="str">
        <f>IF(ISBLANK(Data!E2),"",Data!E2)</f>
        <v/>
      </c>
      <c r="G2" s="21" t="str">
        <f>IF(ISBLANK(Data!F2),"",Data!F2)</f>
        <v/>
      </c>
      <c r="H2" s="33" t="str">
        <f>IF(ISBLANK(Data!G2),"",Data!G2)</f>
        <v/>
      </c>
      <c r="I2" s="33" t="str">
        <f>IF(ISBLANK(Data!H2),"",Data!H2)</f>
        <v/>
      </c>
      <c r="J2" s="33" t="str">
        <f>IF(ISBLANK(Data!I2),"",Data!I2)</f>
        <v/>
      </c>
      <c r="K2" s="21" t="str">
        <f>IF(ISBLANK(Data!N2),"",Data!N2)</f>
        <v/>
      </c>
      <c r="L2" s="21" t="str">
        <f>IF(ISBLANK(Data!O2),"",Data!O2)</f>
        <v/>
      </c>
      <c r="N2" s="46" t="str">
        <f>IF(ISBLANK(Data!P2),"",Data!P2)</f>
        <v/>
      </c>
      <c r="O2" s="46" t="str">
        <f>IF(ISBLANK(Data!Q2),"",Data!Q2)</f>
        <v/>
      </c>
      <c r="P2" s="46" t="str">
        <f>IF(ISBLANK(Data!R2),"",Data!R2)</f>
        <v/>
      </c>
      <c r="Q2" s="46" t="str">
        <f>IF(N2="","",IF(O2="",N2,N2+O2))</f>
        <v/>
      </c>
      <c r="R2" s="47" t="str">
        <f>IF(ISBLANK(Data!T2),"",Data!T2)</f>
        <v/>
      </c>
      <c r="S2" s="33" t="str">
        <f>IF(ISBLANK(Data!U2),"",Data!U2)</f>
        <v/>
      </c>
      <c r="T2" s="33" t="str">
        <f>IF(ISBLANK(Data!V2),"",Data!V2)</f>
        <v/>
      </c>
      <c r="U2" s="21" t="str">
        <f>IF(ISBLANK(Data!W2),"",Data!W2)</f>
        <v/>
      </c>
    </row>
    <row r="3" spans="1:21" x14ac:dyDescent="0.25">
      <c r="A3" s="33" t="e">
        <f>IF(ISBLANK(Data!#REF!),"",YEAR(Data!#REF!))</f>
        <v>#REF!</v>
      </c>
      <c r="B3" s="44" t="e">
        <f>IF(ISBLANK(Data!#REF!),"",Data!#REF!)</f>
        <v>#REF!</v>
      </c>
      <c r="C3" s="45" t="e">
        <f>IF(ISBLANK(Data!#REF!),"",Data!#REF!)</f>
        <v>#REF!</v>
      </c>
      <c r="D3" s="21" t="e">
        <f>IF(ISBLANK(Data!#REF!),"",Data!#REF!)</f>
        <v>#REF!</v>
      </c>
      <c r="E3" s="21" t="e">
        <f>IF(ISBLANK(Data!#REF!),"",Data!#REF!)</f>
        <v>#REF!</v>
      </c>
      <c r="F3" s="33" t="e">
        <f>IF(ISBLANK(Data!#REF!),"",Data!#REF!)</f>
        <v>#REF!</v>
      </c>
      <c r="G3" s="21" t="e">
        <f>IF(ISBLANK(Data!#REF!),"",Data!#REF!)</f>
        <v>#REF!</v>
      </c>
      <c r="H3" s="33" t="e">
        <f>IF(ISBLANK(Data!#REF!),"",Data!#REF!)</f>
        <v>#REF!</v>
      </c>
      <c r="I3" s="33" t="e">
        <f>IF(ISBLANK(Data!#REF!),"",Data!#REF!)</f>
        <v>#REF!</v>
      </c>
      <c r="J3" s="33" t="e">
        <f>IF(ISBLANK(Data!#REF!),"",Data!#REF!)</f>
        <v>#REF!</v>
      </c>
      <c r="K3" s="21" t="e">
        <f>IF(ISBLANK(Data!#REF!),"",Data!#REF!)</f>
        <v>#REF!</v>
      </c>
      <c r="L3" s="21" t="e">
        <f>IF(ISBLANK(Data!#REF!),"",Data!#REF!)</f>
        <v>#REF!</v>
      </c>
      <c r="N3" s="46" t="e">
        <f>IF(ISBLANK(Data!#REF!),"",Data!#REF!)</f>
        <v>#REF!</v>
      </c>
      <c r="O3" s="46" t="e">
        <f>IF(ISBLANK(Data!#REF!),"",Data!#REF!)</f>
        <v>#REF!</v>
      </c>
      <c r="P3" s="46" t="e">
        <f>IF(ISBLANK(Data!#REF!),"",Data!#REF!)</f>
        <v>#REF!</v>
      </c>
      <c r="Q3" s="46" t="e">
        <f t="shared" ref="Q3:Q66" si="0">IF(N3="","",IF(O3="",N3,N3+O3))</f>
        <v>#REF!</v>
      </c>
      <c r="R3" s="47" t="e">
        <f>IF(ISBLANK(Data!#REF!),"",Data!#REF!)</f>
        <v>#REF!</v>
      </c>
      <c r="S3" s="33" t="e">
        <f>IF(ISBLANK(Data!#REF!),"",Data!#REF!)</f>
        <v>#REF!</v>
      </c>
      <c r="T3" s="33" t="e">
        <f>IF(ISBLANK(Data!#REF!),"",Data!#REF!)</f>
        <v>#REF!</v>
      </c>
      <c r="U3" s="21" t="e">
        <f>IF(ISBLANK(Data!#REF!),"",Data!#REF!)</f>
        <v>#REF!</v>
      </c>
    </row>
    <row r="4" spans="1:21" x14ac:dyDescent="0.25">
      <c r="A4" s="33" t="e">
        <f>IF(ISBLANK(Data!#REF!),"",YEAR(Data!#REF!))</f>
        <v>#REF!</v>
      </c>
      <c r="B4" s="44" t="e">
        <f>IF(ISBLANK(Data!#REF!),"",Data!#REF!)</f>
        <v>#REF!</v>
      </c>
      <c r="C4" s="45" t="e">
        <f>IF(ISBLANK(Data!#REF!),"",Data!#REF!)</f>
        <v>#REF!</v>
      </c>
      <c r="D4" s="21" t="e">
        <f>IF(ISBLANK(Data!#REF!),"",Data!#REF!)</f>
        <v>#REF!</v>
      </c>
      <c r="E4" s="21" t="e">
        <f>IF(ISBLANK(Data!#REF!),"",Data!#REF!)</f>
        <v>#REF!</v>
      </c>
      <c r="F4" s="33" t="e">
        <f>IF(ISBLANK(Data!#REF!),"",Data!#REF!)</f>
        <v>#REF!</v>
      </c>
      <c r="G4" s="21" t="e">
        <f>IF(ISBLANK(Data!#REF!),"",Data!#REF!)</f>
        <v>#REF!</v>
      </c>
      <c r="H4" s="33" t="e">
        <f>IF(ISBLANK(Data!#REF!),"",Data!#REF!)</f>
        <v>#REF!</v>
      </c>
      <c r="I4" s="33" t="e">
        <f>IF(ISBLANK(Data!#REF!),"",Data!#REF!)</f>
        <v>#REF!</v>
      </c>
      <c r="J4" s="33" t="e">
        <f>IF(ISBLANK(Data!#REF!),"",Data!#REF!)</f>
        <v>#REF!</v>
      </c>
      <c r="K4" s="21" t="e">
        <f>IF(ISBLANK(Data!#REF!),"",Data!#REF!)</f>
        <v>#REF!</v>
      </c>
      <c r="L4" s="21" t="e">
        <f>IF(ISBLANK(Data!#REF!),"",Data!#REF!)</f>
        <v>#REF!</v>
      </c>
      <c r="N4" s="46" t="e">
        <f>IF(ISBLANK(Data!#REF!),"",Data!#REF!)</f>
        <v>#REF!</v>
      </c>
      <c r="O4" s="46" t="e">
        <f>IF(ISBLANK(Data!#REF!),"",Data!#REF!)</f>
        <v>#REF!</v>
      </c>
      <c r="P4" s="46" t="e">
        <f>IF(ISBLANK(Data!#REF!),"",Data!#REF!)</f>
        <v>#REF!</v>
      </c>
      <c r="Q4" s="46" t="e">
        <f t="shared" si="0"/>
        <v>#REF!</v>
      </c>
      <c r="R4" s="47" t="e">
        <f>IF(ISBLANK(Data!#REF!),"",Data!#REF!)</f>
        <v>#REF!</v>
      </c>
      <c r="S4" s="33" t="e">
        <f>IF(ISBLANK(Data!#REF!),"",Data!#REF!)</f>
        <v>#REF!</v>
      </c>
      <c r="T4" s="33" t="e">
        <f>IF(ISBLANK(Data!#REF!),"",Data!#REF!)</f>
        <v>#REF!</v>
      </c>
      <c r="U4" s="21" t="e">
        <f>IF(ISBLANK(Data!#REF!),"",Data!#REF!)</f>
        <v>#REF!</v>
      </c>
    </row>
    <row r="5" spans="1:21" x14ac:dyDescent="0.25">
      <c r="A5" s="33" t="e">
        <f>IF(ISBLANK(Data!#REF!),"",YEAR(Data!#REF!))</f>
        <v>#REF!</v>
      </c>
      <c r="B5" s="44" t="e">
        <f>IF(ISBLANK(Data!#REF!),"",Data!#REF!)</f>
        <v>#REF!</v>
      </c>
      <c r="C5" s="45" t="e">
        <f>IF(ISBLANK(Data!#REF!),"",Data!#REF!)</f>
        <v>#REF!</v>
      </c>
      <c r="D5" s="21" t="e">
        <f>IF(ISBLANK(Data!#REF!),"",Data!#REF!)</f>
        <v>#REF!</v>
      </c>
      <c r="E5" s="21" t="e">
        <f>IF(ISBLANK(Data!#REF!),"",Data!#REF!)</f>
        <v>#REF!</v>
      </c>
      <c r="F5" s="33" t="e">
        <f>IF(ISBLANK(Data!#REF!),"",Data!#REF!)</f>
        <v>#REF!</v>
      </c>
      <c r="G5" s="21" t="e">
        <f>IF(ISBLANK(Data!#REF!),"",Data!#REF!)</f>
        <v>#REF!</v>
      </c>
      <c r="H5" s="33" t="e">
        <f>IF(ISBLANK(Data!#REF!),"",Data!#REF!)</f>
        <v>#REF!</v>
      </c>
      <c r="I5" s="33" t="e">
        <f>IF(ISBLANK(Data!#REF!),"",Data!#REF!)</f>
        <v>#REF!</v>
      </c>
      <c r="J5" s="33" t="e">
        <f>IF(ISBLANK(Data!#REF!),"",Data!#REF!)</f>
        <v>#REF!</v>
      </c>
      <c r="K5" s="21" t="e">
        <f>IF(ISBLANK(Data!#REF!),"",Data!#REF!)</f>
        <v>#REF!</v>
      </c>
      <c r="L5" s="21" t="e">
        <f>IF(ISBLANK(Data!#REF!),"",Data!#REF!)</f>
        <v>#REF!</v>
      </c>
      <c r="N5" s="46" t="e">
        <f>IF(ISBLANK(Data!#REF!),"",Data!#REF!)</f>
        <v>#REF!</v>
      </c>
      <c r="O5" s="46" t="e">
        <f>IF(ISBLANK(Data!#REF!),"",Data!#REF!)</f>
        <v>#REF!</v>
      </c>
      <c r="P5" s="46" t="e">
        <f>IF(ISBLANK(Data!#REF!),"",Data!#REF!)</f>
        <v>#REF!</v>
      </c>
      <c r="Q5" s="46" t="e">
        <f t="shared" si="0"/>
        <v>#REF!</v>
      </c>
      <c r="R5" s="47" t="e">
        <f>IF(ISBLANK(Data!#REF!),"",Data!#REF!)</f>
        <v>#REF!</v>
      </c>
      <c r="S5" s="33" t="e">
        <f>IF(ISBLANK(Data!#REF!),"",Data!#REF!)</f>
        <v>#REF!</v>
      </c>
      <c r="T5" s="33" t="e">
        <f>IF(ISBLANK(Data!#REF!),"",Data!#REF!)</f>
        <v>#REF!</v>
      </c>
      <c r="U5" s="21" t="e">
        <f>IF(ISBLANK(Data!#REF!),"",Data!#REF!)</f>
        <v>#REF!</v>
      </c>
    </row>
    <row r="6" spans="1:21" x14ac:dyDescent="0.25">
      <c r="A6" s="33" t="e">
        <f>IF(ISBLANK(Data!#REF!),"",YEAR(Data!#REF!))</f>
        <v>#REF!</v>
      </c>
      <c r="B6" s="44" t="e">
        <f>IF(ISBLANK(Data!#REF!),"",Data!#REF!)</f>
        <v>#REF!</v>
      </c>
      <c r="C6" s="45" t="e">
        <f>IF(ISBLANK(Data!#REF!),"",Data!#REF!)</f>
        <v>#REF!</v>
      </c>
      <c r="D6" s="21" t="e">
        <f>IF(ISBLANK(Data!#REF!),"",Data!#REF!)</f>
        <v>#REF!</v>
      </c>
      <c r="E6" s="21" t="e">
        <f>IF(ISBLANK(Data!#REF!),"",Data!#REF!)</f>
        <v>#REF!</v>
      </c>
      <c r="F6" s="33" t="e">
        <f>IF(ISBLANK(Data!#REF!),"",Data!#REF!)</f>
        <v>#REF!</v>
      </c>
      <c r="G6" s="21" t="e">
        <f>IF(ISBLANK(Data!#REF!),"",Data!#REF!)</f>
        <v>#REF!</v>
      </c>
      <c r="H6" s="33" t="e">
        <f>IF(ISBLANK(Data!#REF!),"",Data!#REF!)</f>
        <v>#REF!</v>
      </c>
      <c r="I6" s="33" t="e">
        <f>IF(ISBLANK(Data!#REF!),"",Data!#REF!)</f>
        <v>#REF!</v>
      </c>
      <c r="J6" s="33" t="e">
        <f>IF(ISBLANK(Data!#REF!),"",Data!#REF!)</f>
        <v>#REF!</v>
      </c>
      <c r="K6" s="21" t="e">
        <f>IF(ISBLANK(Data!#REF!),"",Data!#REF!)</f>
        <v>#REF!</v>
      </c>
      <c r="L6" s="21" t="e">
        <f>IF(ISBLANK(Data!#REF!),"",Data!#REF!)</f>
        <v>#REF!</v>
      </c>
      <c r="N6" s="46" t="e">
        <f>IF(ISBLANK(Data!#REF!),"",Data!#REF!)</f>
        <v>#REF!</v>
      </c>
      <c r="O6" s="46" t="e">
        <f>IF(ISBLANK(Data!#REF!),"",Data!#REF!)</f>
        <v>#REF!</v>
      </c>
      <c r="P6" s="46" t="e">
        <f>IF(ISBLANK(Data!#REF!),"",Data!#REF!)</f>
        <v>#REF!</v>
      </c>
      <c r="Q6" s="46" t="e">
        <f t="shared" si="0"/>
        <v>#REF!</v>
      </c>
      <c r="R6" s="47" t="e">
        <f>IF(ISBLANK(Data!#REF!),"",Data!#REF!)</f>
        <v>#REF!</v>
      </c>
      <c r="S6" s="33" t="e">
        <f>IF(ISBLANK(Data!#REF!),"",Data!#REF!)</f>
        <v>#REF!</v>
      </c>
      <c r="T6" s="33" t="e">
        <f>IF(ISBLANK(Data!#REF!),"",Data!#REF!)</f>
        <v>#REF!</v>
      </c>
      <c r="U6" s="21" t="e">
        <f>IF(ISBLANK(Data!#REF!),"",Data!#REF!)</f>
        <v>#REF!</v>
      </c>
    </row>
    <row r="7" spans="1:21" x14ac:dyDescent="0.25">
      <c r="A7" s="33" t="e">
        <f>IF(ISBLANK(Data!#REF!),"",YEAR(Data!#REF!))</f>
        <v>#REF!</v>
      </c>
      <c r="B7" s="44" t="e">
        <f>IF(ISBLANK(Data!#REF!),"",Data!#REF!)</f>
        <v>#REF!</v>
      </c>
      <c r="C7" s="45" t="e">
        <f>IF(ISBLANK(Data!#REF!),"",Data!#REF!)</f>
        <v>#REF!</v>
      </c>
      <c r="D7" s="21" t="e">
        <f>IF(ISBLANK(Data!#REF!),"",Data!#REF!)</f>
        <v>#REF!</v>
      </c>
      <c r="E7" s="21" t="e">
        <f>IF(ISBLANK(Data!#REF!),"",Data!#REF!)</f>
        <v>#REF!</v>
      </c>
      <c r="F7" s="33" t="e">
        <f>IF(ISBLANK(Data!#REF!),"",Data!#REF!)</f>
        <v>#REF!</v>
      </c>
      <c r="G7" s="21" t="e">
        <f>IF(ISBLANK(Data!#REF!),"",Data!#REF!)</f>
        <v>#REF!</v>
      </c>
      <c r="H7" s="33" t="e">
        <f>IF(ISBLANK(Data!#REF!),"",Data!#REF!)</f>
        <v>#REF!</v>
      </c>
      <c r="I7" s="33" t="e">
        <f>IF(ISBLANK(Data!#REF!),"",Data!#REF!)</f>
        <v>#REF!</v>
      </c>
      <c r="J7" s="33" t="e">
        <f>IF(ISBLANK(Data!#REF!),"",Data!#REF!)</f>
        <v>#REF!</v>
      </c>
      <c r="K7" s="21" t="e">
        <f>IF(ISBLANK(Data!#REF!),"",Data!#REF!)</f>
        <v>#REF!</v>
      </c>
      <c r="L7" s="21" t="e">
        <f>IF(ISBLANK(Data!#REF!),"",Data!#REF!)</f>
        <v>#REF!</v>
      </c>
      <c r="N7" s="46" t="e">
        <f>IF(ISBLANK(Data!#REF!),"",Data!#REF!)</f>
        <v>#REF!</v>
      </c>
      <c r="O7" s="46" t="e">
        <f>IF(ISBLANK(Data!#REF!),"",Data!#REF!)</f>
        <v>#REF!</v>
      </c>
      <c r="P7" s="46" t="e">
        <f>IF(ISBLANK(Data!#REF!),"",Data!#REF!)</f>
        <v>#REF!</v>
      </c>
      <c r="Q7" s="46" t="e">
        <f t="shared" si="0"/>
        <v>#REF!</v>
      </c>
      <c r="R7" s="47" t="e">
        <f>IF(ISBLANK(Data!#REF!),"",Data!#REF!)</f>
        <v>#REF!</v>
      </c>
      <c r="S7" s="33" t="e">
        <f>IF(ISBLANK(Data!#REF!),"",Data!#REF!)</f>
        <v>#REF!</v>
      </c>
      <c r="T7" s="33" t="e">
        <f>IF(ISBLANK(Data!#REF!),"",Data!#REF!)</f>
        <v>#REF!</v>
      </c>
      <c r="U7" s="21" t="e">
        <f>IF(ISBLANK(Data!#REF!),"",Data!#REF!)</f>
        <v>#REF!</v>
      </c>
    </row>
    <row r="8" spans="1:21" x14ac:dyDescent="0.25">
      <c r="A8" s="33" t="e">
        <f>IF(ISBLANK(Data!#REF!),"",YEAR(Data!#REF!))</f>
        <v>#REF!</v>
      </c>
      <c r="B8" s="44" t="e">
        <f>IF(ISBLANK(Data!#REF!),"",Data!#REF!)</f>
        <v>#REF!</v>
      </c>
      <c r="C8" s="45" t="e">
        <f>IF(ISBLANK(Data!#REF!),"",Data!#REF!)</f>
        <v>#REF!</v>
      </c>
      <c r="D8" s="21" t="e">
        <f>IF(ISBLANK(Data!#REF!),"",Data!#REF!)</f>
        <v>#REF!</v>
      </c>
      <c r="E8" s="21" t="e">
        <f>IF(ISBLANK(Data!#REF!),"",Data!#REF!)</f>
        <v>#REF!</v>
      </c>
      <c r="F8" s="33" t="e">
        <f>IF(ISBLANK(Data!#REF!),"",Data!#REF!)</f>
        <v>#REF!</v>
      </c>
      <c r="G8" s="21" t="e">
        <f>IF(ISBLANK(Data!#REF!),"",Data!#REF!)</f>
        <v>#REF!</v>
      </c>
      <c r="H8" s="33" t="e">
        <f>IF(ISBLANK(Data!#REF!),"",Data!#REF!)</f>
        <v>#REF!</v>
      </c>
      <c r="I8" s="33" t="e">
        <f>IF(ISBLANK(Data!#REF!),"",Data!#REF!)</f>
        <v>#REF!</v>
      </c>
      <c r="J8" s="33" t="e">
        <f>IF(ISBLANK(Data!#REF!),"",Data!#REF!)</f>
        <v>#REF!</v>
      </c>
      <c r="K8" s="21" t="e">
        <f>IF(ISBLANK(Data!#REF!),"",Data!#REF!)</f>
        <v>#REF!</v>
      </c>
      <c r="L8" s="21" t="e">
        <f>IF(ISBLANK(Data!#REF!),"",Data!#REF!)</f>
        <v>#REF!</v>
      </c>
      <c r="N8" s="46" t="e">
        <f>IF(ISBLANK(Data!#REF!),"",Data!#REF!)</f>
        <v>#REF!</v>
      </c>
      <c r="O8" s="46" t="e">
        <f>IF(ISBLANK(Data!#REF!),"",Data!#REF!)</f>
        <v>#REF!</v>
      </c>
      <c r="P8" s="46" t="e">
        <f>IF(ISBLANK(Data!#REF!),"",Data!#REF!)</f>
        <v>#REF!</v>
      </c>
      <c r="Q8" s="46" t="e">
        <f t="shared" si="0"/>
        <v>#REF!</v>
      </c>
      <c r="R8" s="47" t="e">
        <f>IF(ISBLANK(Data!#REF!),"",Data!#REF!)</f>
        <v>#REF!</v>
      </c>
      <c r="S8" s="33" t="e">
        <f>IF(ISBLANK(Data!#REF!),"",Data!#REF!)</f>
        <v>#REF!</v>
      </c>
      <c r="T8" s="33" t="e">
        <f>IF(ISBLANK(Data!#REF!),"",Data!#REF!)</f>
        <v>#REF!</v>
      </c>
      <c r="U8" s="21" t="e">
        <f>IF(ISBLANK(Data!#REF!),"",Data!#REF!)</f>
        <v>#REF!</v>
      </c>
    </row>
    <row r="9" spans="1:21" x14ac:dyDescent="0.25">
      <c r="A9" s="33" t="e">
        <f>IF(ISBLANK(Data!#REF!),"",YEAR(Data!#REF!))</f>
        <v>#REF!</v>
      </c>
      <c r="B9" s="44" t="e">
        <f>IF(ISBLANK(Data!#REF!),"",Data!#REF!)</f>
        <v>#REF!</v>
      </c>
      <c r="C9" s="45" t="e">
        <f>IF(ISBLANK(Data!#REF!),"",Data!#REF!)</f>
        <v>#REF!</v>
      </c>
      <c r="D9" s="21" t="e">
        <f>IF(ISBLANK(Data!#REF!),"",Data!#REF!)</f>
        <v>#REF!</v>
      </c>
      <c r="E9" s="21" t="e">
        <f>IF(ISBLANK(Data!#REF!),"",Data!#REF!)</f>
        <v>#REF!</v>
      </c>
      <c r="F9" s="33" t="e">
        <f>IF(ISBLANK(Data!#REF!),"",Data!#REF!)</f>
        <v>#REF!</v>
      </c>
      <c r="G9" s="21" t="e">
        <f>IF(ISBLANK(Data!#REF!),"",Data!#REF!)</f>
        <v>#REF!</v>
      </c>
      <c r="H9" s="33" t="e">
        <f>IF(ISBLANK(Data!#REF!),"",Data!#REF!)</f>
        <v>#REF!</v>
      </c>
      <c r="I9" s="33" t="e">
        <f>IF(ISBLANK(Data!#REF!),"",Data!#REF!)</f>
        <v>#REF!</v>
      </c>
      <c r="J9" s="33" t="e">
        <f>IF(ISBLANK(Data!#REF!),"",Data!#REF!)</f>
        <v>#REF!</v>
      </c>
      <c r="K9" s="21" t="e">
        <f>IF(ISBLANK(Data!#REF!),"",Data!#REF!)</f>
        <v>#REF!</v>
      </c>
      <c r="L9" s="21" t="e">
        <f>IF(ISBLANK(Data!#REF!),"",Data!#REF!)</f>
        <v>#REF!</v>
      </c>
      <c r="N9" s="46" t="e">
        <f>IF(ISBLANK(Data!#REF!),"",Data!#REF!)</f>
        <v>#REF!</v>
      </c>
      <c r="O9" s="46" t="e">
        <f>IF(ISBLANK(Data!#REF!),"",Data!#REF!)</f>
        <v>#REF!</v>
      </c>
      <c r="P9" s="46" t="e">
        <f>IF(ISBLANK(Data!#REF!),"",Data!#REF!)</f>
        <v>#REF!</v>
      </c>
      <c r="Q9" s="46" t="e">
        <f t="shared" si="0"/>
        <v>#REF!</v>
      </c>
      <c r="R9" s="47" t="e">
        <f>IF(ISBLANK(Data!#REF!),"",Data!#REF!)</f>
        <v>#REF!</v>
      </c>
      <c r="S9" s="33" t="e">
        <f>IF(ISBLANK(Data!#REF!),"",Data!#REF!)</f>
        <v>#REF!</v>
      </c>
      <c r="T9" s="33" t="e">
        <f>IF(ISBLANK(Data!#REF!),"",Data!#REF!)</f>
        <v>#REF!</v>
      </c>
      <c r="U9" s="21" t="e">
        <f>IF(ISBLANK(Data!#REF!),"",Data!#REF!)</f>
        <v>#REF!</v>
      </c>
    </row>
    <row r="10" spans="1:21" x14ac:dyDescent="0.25">
      <c r="A10" s="33" t="e">
        <f>IF(ISBLANK(Data!#REF!),"",YEAR(Data!#REF!))</f>
        <v>#REF!</v>
      </c>
      <c r="B10" s="44" t="e">
        <f>IF(ISBLANK(Data!#REF!),"",Data!#REF!)</f>
        <v>#REF!</v>
      </c>
      <c r="C10" s="45" t="e">
        <f>IF(ISBLANK(Data!#REF!),"",Data!#REF!)</f>
        <v>#REF!</v>
      </c>
      <c r="D10" s="21" t="e">
        <f>IF(ISBLANK(Data!#REF!),"",Data!#REF!)</f>
        <v>#REF!</v>
      </c>
      <c r="E10" s="21" t="e">
        <f>IF(ISBLANK(Data!#REF!),"",Data!#REF!)</f>
        <v>#REF!</v>
      </c>
      <c r="F10" s="33" t="e">
        <f>IF(ISBLANK(Data!#REF!),"",Data!#REF!)</f>
        <v>#REF!</v>
      </c>
      <c r="G10" s="21" t="e">
        <f>IF(ISBLANK(Data!#REF!),"",Data!#REF!)</f>
        <v>#REF!</v>
      </c>
      <c r="H10" s="33" t="e">
        <f>IF(ISBLANK(Data!#REF!),"",Data!#REF!)</f>
        <v>#REF!</v>
      </c>
      <c r="I10" s="33" t="e">
        <f>IF(ISBLANK(Data!#REF!),"",Data!#REF!)</f>
        <v>#REF!</v>
      </c>
      <c r="J10" s="33" t="e">
        <f>IF(ISBLANK(Data!#REF!),"",Data!#REF!)</f>
        <v>#REF!</v>
      </c>
      <c r="K10" s="21" t="e">
        <f>IF(ISBLANK(Data!#REF!),"",Data!#REF!)</f>
        <v>#REF!</v>
      </c>
      <c r="L10" s="21" t="e">
        <f>IF(ISBLANK(Data!#REF!),"",Data!#REF!)</f>
        <v>#REF!</v>
      </c>
      <c r="N10" s="46" t="e">
        <f>IF(ISBLANK(Data!#REF!),"",Data!#REF!)</f>
        <v>#REF!</v>
      </c>
      <c r="O10" s="46" t="e">
        <f>IF(ISBLANK(Data!#REF!),"",Data!#REF!)</f>
        <v>#REF!</v>
      </c>
      <c r="P10" s="46" t="e">
        <f>IF(ISBLANK(Data!#REF!),"",Data!#REF!)</f>
        <v>#REF!</v>
      </c>
      <c r="Q10" s="46" t="e">
        <f t="shared" si="0"/>
        <v>#REF!</v>
      </c>
      <c r="R10" s="47" t="e">
        <f>IF(ISBLANK(Data!#REF!),"",Data!#REF!)</f>
        <v>#REF!</v>
      </c>
      <c r="S10" s="33" t="e">
        <f>IF(ISBLANK(Data!#REF!),"",Data!#REF!)</f>
        <v>#REF!</v>
      </c>
      <c r="T10" s="33" t="e">
        <f>IF(ISBLANK(Data!#REF!),"",Data!#REF!)</f>
        <v>#REF!</v>
      </c>
      <c r="U10" s="21" t="e">
        <f>IF(ISBLANK(Data!#REF!),"",Data!#REF!)</f>
        <v>#REF!</v>
      </c>
    </row>
    <row r="11" spans="1:21" x14ac:dyDescent="0.25">
      <c r="A11" s="33" t="e">
        <f>IF(ISBLANK(Data!#REF!),"",YEAR(Data!#REF!))</f>
        <v>#REF!</v>
      </c>
      <c r="B11" s="44" t="e">
        <f>IF(ISBLANK(Data!#REF!),"",Data!#REF!)</f>
        <v>#REF!</v>
      </c>
      <c r="C11" s="45" t="e">
        <f>IF(ISBLANK(Data!#REF!),"",Data!#REF!)</f>
        <v>#REF!</v>
      </c>
      <c r="D11" s="21" t="e">
        <f>IF(ISBLANK(Data!#REF!),"",Data!#REF!)</f>
        <v>#REF!</v>
      </c>
      <c r="E11" s="21" t="e">
        <f>IF(ISBLANK(Data!#REF!),"",Data!#REF!)</f>
        <v>#REF!</v>
      </c>
      <c r="F11" s="33" t="e">
        <f>IF(ISBLANK(Data!#REF!),"",Data!#REF!)</f>
        <v>#REF!</v>
      </c>
      <c r="G11" s="21" t="e">
        <f>IF(ISBLANK(Data!#REF!),"",Data!#REF!)</f>
        <v>#REF!</v>
      </c>
      <c r="H11" s="33" t="e">
        <f>IF(ISBLANK(Data!#REF!),"",Data!#REF!)</f>
        <v>#REF!</v>
      </c>
      <c r="I11" s="33" t="e">
        <f>IF(ISBLANK(Data!#REF!),"",Data!#REF!)</f>
        <v>#REF!</v>
      </c>
      <c r="J11" s="33" t="e">
        <f>IF(ISBLANK(Data!#REF!),"",Data!#REF!)</f>
        <v>#REF!</v>
      </c>
      <c r="K11" s="21" t="e">
        <f>IF(ISBLANK(Data!#REF!),"",Data!#REF!)</f>
        <v>#REF!</v>
      </c>
      <c r="L11" s="21" t="e">
        <f>IF(ISBLANK(Data!#REF!),"",Data!#REF!)</f>
        <v>#REF!</v>
      </c>
      <c r="N11" s="46" t="e">
        <f>IF(ISBLANK(Data!#REF!),"",Data!#REF!)</f>
        <v>#REF!</v>
      </c>
      <c r="O11" s="46" t="e">
        <f>IF(ISBLANK(Data!#REF!),"",Data!#REF!)</f>
        <v>#REF!</v>
      </c>
      <c r="P11" s="46" t="e">
        <f>IF(ISBLANK(Data!#REF!),"",Data!#REF!)</f>
        <v>#REF!</v>
      </c>
      <c r="Q11" s="46" t="e">
        <f t="shared" si="0"/>
        <v>#REF!</v>
      </c>
      <c r="R11" s="47" t="e">
        <f>IF(ISBLANK(Data!#REF!),"",Data!#REF!)</f>
        <v>#REF!</v>
      </c>
      <c r="S11" s="33" t="e">
        <f>IF(ISBLANK(Data!#REF!),"",Data!#REF!)</f>
        <v>#REF!</v>
      </c>
      <c r="T11" s="33" t="e">
        <f>IF(ISBLANK(Data!#REF!),"",Data!#REF!)</f>
        <v>#REF!</v>
      </c>
      <c r="U11" s="21" t="e">
        <f>IF(ISBLANK(Data!#REF!),"",Data!#REF!)</f>
        <v>#REF!</v>
      </c>
    </row>
    <row r="12" spans="1:21" x14ac:dyDescent="0.25">
      <c r="A12" s="33" t="e">
        <f>IF(ISBLANK(Data!#REF!),"",YEAR(Data!#REF!))</f>
        <v>#REF!</v>
      </c>
      <c r="B12" s="44" t="e">
        <f>IF(ISBLANK(Data!#REF!),"",Data!#REF!)</f>
        <v>#REF!</v>
      </c>
      <c r="C12" s="45" t="e">
        <f>IF(ISBLANK(Data!#REF!),"",Data!#REF!)</f>
        <v>#REF!</v>
      </c>
      <c r="D12" s="21" t="e">
        <f>IF(ISBLANK(Data!#REF!),"",Data!#REF!)</f>
        <v>#REF!</v>
      </c>
      <c r="E12" s="21" t="e">
        <f>IF(ISBLANK(Data!#REF!),"",Data!#REF!)</f>
        <v>#REF!</v>
      </c>
      <c r="F12" s="33" t="e">
        <f>IF(ISBLANK(Data!#REF!),"",Data!#REF!)</f>
        <v>#REF!</v>
      </c>
      <c r="G12" s="21" t="e">
        <f>IF(ISBLANK(Data!#REF!),"",Data!#REF!)</f>
        <v>#REF!</v>
      </c>
      <c r="H12" s="33" t="e">
        <f>IF(ISBLANK(Data!#REF!),"",Data!#REF!)</f>
        <v>#REF!</v>
      </c>
      <c r="I12" s="33" t="e">
        <f>IF(ISBLANK(Data!#REF!),"",Data!#REF!)</f>
        <v>#REF!</v>
      </c>
      <c r="J12" s="33" t="e">
        <f>IF(ISBLANK(Data!#REF!),"",Data!#REF!)</f>
        <v>#REF!</v>
      </c>
      <c r="K12" s="21" t="e">
        <f>IF(ISBLANK(Data!#REF!),"",Data!#REF!)</f>
        <v>#REF!</v>
      </c>
      <c r="L12" s="21" t="e">
        <f>IF(ISBLANK(Data!#REF!),"",Data!#REF!)</f>
        <v>#REF!</v>
      </c>
      <c r="N12" s="46" t="e">
        <f>IF(ISBLANK(Data!#REF!),"",Data!#REF!)</f>
        <v>#REF!</v>
      </c>
      <c r="O12" s="46" t="e">
        <f>IF(ISBLANK(Data!#REF!),"",Data!#REF!)</f>
        <v>#REF!</v>
      </c>
      <c r="P12" s="46" t="e">
        <f>IF(ISBLANK(Data!#REF!),"",Data!#REF!)</f>
        <v>#REF!</v>
      </c>
      <c r="Q12" s="46" t="e">
        <f t="shared" si="0"/>
        <v>#REF!</v>
      </c>
      <c r="R12" s="47" t="e">
        <f>IF(ISBLANK(Data!#REF!),"",Data!#REF!)</f>
        <v>#REF!</v>
      </c>
      <c r="S12" s="33" t="e">
        <f>IF(ISBLANK(Data!#REF!),"",Data!#REF!)</f>
        <v>#REF!</v>
      </c>
      <c r="T12" s="33" t="e">
        <f>IF(ISBLANK(Data!#REF!),"",Data!#REF!)</f>
        <v>#REF!</v>
      </c>
      <c r="U12" s="21" t="e">
        <f>IF(ISBLANK(Data!#REF!),"",Data!#REF!)</f>
        <v>#REF!</v>
      </c>
    </row>
    <row r="13" spans="1:21" x14ac:dyDescent="0.25">
      <c r="A13" s="33" t="e">
        <f>IF(ISBLANK(Data!#REF!),"",YEAR(Data!#REF!))</f>
        <v>#REF!</v>
      </c>
      <c r="B13" s="44" t="e">
        <f>IF(ISBLANK(Data!#REF!),"",Data!#REF!)</f>
        <v>#REF!</v>
      </c>
      <c r="C13" s="45" t="e">
        <f>IF(ISBLANK(Data!#REF!),"",Data!#REF!)</f>
        <v>#REF!</v>
      </c>
      <c r="D13" s="21" t="e">
        <f>IF(ISBLANK(Data!#REF!),"",Data!#REF!)</f>
        <v>#REF!</v>
      </c>
      <c r="E13" s="21" t="e">
        <f>IF(ISBLANK(Data!#REF!),"",Data!#REF!)</f>
        <v>#REF!</v>
      </c>
      <c r="F13" s="33" t="e">
        <f>IF(ISBLANK(Data!#REF!),"",Data!#REF!)</f>
        <v>#REF!</v>
      </c>
      <c r="G13" s="21" t="e">
        <f>IF(ISBLANK(Data!#REF!),"",Data!#REF!)</f>
        <v>#REF!</v>
      </c>
      <c r="H13" s="33" t="e">
        <f>IF(ISBLANK(Data!#REF!),"",Data!#REF!)</f>
        <v>#REF!</v>
      </c>
      <c r="I13" s="33" t="e">
        <f>IF(ISBLANK(Data!#REF!),"",Data!#REF!)</f>
        <v>#REF!</v>
      </c>
      <c r="J13" s="33" t="e">
        <f>IF(ISBLANK(Data!#REF!),"",Data!#REF!)</f>
        <v>#REF!</v>
      </c>
      <c r="K13" s="21" t="e">
        <f>IF(ISBLANK(Data!#REF!),"",Data!#REF!)</f>
        <v>#REF!</v>
      </c>
      <c r="L13" s="21" t="e">
        <f>IF(ISBLANK(Data!#REF!),"",Data!#REF!)</f>
        <v>#REF!</v>
      </c>
      <c r="N13" s="46" t="e">
        <f>IF(ISBLANK(Data!#REF!),"",Data!#REF!)</f>
        <v>#REF!</v>
      </c>
      <c r="O13" s="46" t="e">
        <f>IF(ISBLANK(Data!#REF!),"",Data!#REF!)</f>
        <v>#REF!</v>
      </c>
      <c r="P13" s="46" t="e">
        <f>IF(ISBLANK(Data!#REF!),"",Data!#REF!)</f>
        <v>#REF!</v>
      </c>
      <c r="Q13" s="46" t="e">
        <f t="shared" si="0"/>
        <v>#REF!</v>
      </c>
      <c r="R13" s="47" t="e">
        <f>IF(ISBLANK(Data!#REF!),"",Data!#REF!)</f>
        <v>#REF!</v>
      </c>
      <c r="S13" s="33" t="e">
        <f>IF(ISBLANK(Data!#REF!),"",Data!#REF!)</f>
        <v>#REF!</v>
      </c>
      <c r="T13" s="33" t="e">
        <f>IF(ISBLANK(Data!#REF!),"",Data!#REF!)</f>
        <v>#REF!</v>
      </c>
      <c r="U13" s="21" t="e">
        <f>IF(ISBLANK(Data!#REF!),"",Data!#REF!)</f>
        <v>#REF!</v>
      </c>
    </row>
    <row r="14" spans="1:21" x14ac:dyDescent="0.25">
      <c r="A14" s="33" t="e">
        <f>IF(ISBLANK(Data!#REF!),"",YEAR(Data!#REF!))</f>
        <v>#REF!</v>
      </c>
      <c r="B14" s="44" t="e">
        <f>IF(ISBLANK(Data!#REF!),"",Data!#REF!)</f>
        <v>#REF!</v>
      </c>
      <c r="C14" s="45" t="e">
        <f>IF(ISBLANK(Data!#REF!),"",Data!#REF!)</f>
        <v>#REF!</v>
      </c>
      <c r="D14" s="21" t="e">
        <f>IF(ISBLANK(Data!#REF!),"",Data!#REF!)</f>
        <v>#REF!</v>
      </c>
      <c r="E14" s="21" t="e">
        <f>IF(ISBLANK(Data!#REF!),"",Data!#REF!)</f>
        <v>#REF!</v>
      </c>
      <c r="F14" s="33" t="e">
        <f>IF(ISBLANK(Data!#REF!),"",Data!#REF!)</f>
        <v>#REF!</v>
      </c>
      <c r="G14" s="21" t="e">
        <f>IF(ISBLANK(Data!#REF!),"",Data!#REF!)</f>
        <v>#REF!</v>
      </c>
      <c r="H14" s="33" t="e">
        <f>IF(ISBLANK(Data!#REF!),"",Data!#REF!)</f>
        <v>#REF!</v>
      </c>
      <c r="I14" s="33" t="e">
        <f>IF(ISBLANK(Data!#REF!),"",Data!#REF!)</f>
        <v>#REF!</v>
      </c>
      <c r="J14" s="33" t="e">
        <f>IF(ISBLANK(Data!#REF!),"",Data!#REF!)</f>
        <v>#REF!</v>
      </c>
      <c r="K14" s="21" t="e">
        <f>IF(ISBLANK(Data!#REF!),"",Data!#REF!)</f>
        <v>#REF!</v>
      </c>
      <c r="L14" s="21" t="e">
        <f>IF(ISBLANK(Data!#REF!),"",Data!#REF!)</f>
        <v>#REF!</v>
      </c>
      <c r="N14" s="46" t="e">
        <f>IF(ISBLANK(Data!#REF!),"",Data!#REF!)</f>
        <v>#REF!</v>
      </c>
      <c r="O14" s="46" t="e">
        <f>IF(ISBLANK(Data!#REF!),"",Data!#REF!)</f>
        <v>#REF!</v>
      </c>
      <c r="P14" s="46" t="e">
        <f>IF(ISBLANK(Data!#REF!),"",Data!#REF!)</f>
        <v>#REF!</v>
      </c>
      <c r="Q14" s="46" t="e">
        <f t="shared" si="0"/>
        <v>#REF!</v>
      </c>
      <c r="R14" s="47" t="e">
        <f>IF(ISBLANK(Data!#REF!),"",Data!#REF!)</f>
        <v>#REF!</v>
      </c>
      <c r="S14" s="33" t="e">
        <f>IF(ISBLANK(Data!#REF!),"",Data!#REF!)</f>
        <v>#REF!</v>
      </c>
      <c r="T14" s="33" t="e">
        <f>IF(ISBLANK(Data!#REF!),"",Data!#REF!)</f>
        <v>#REF!</v>
      </c>
      <c r="U14" s="21" t="e">
        <f>IF(ISBLANK(Data!#REF!),"",Data!#REF!)</f>
        <v>#REF!</v>
      </c>
    </row>
    <row r="15" spans="1:21" x14ac:dyDescent="0.25">
      <c r="A15" s="33" t="e">
        <f>IF(ISBLANK(Data!#REF!),"",YEAR(Data!#REF!))</f>
        <v>#REF!</v>
      </c>
      <c r="B15" s="44" t="e">
        <f>IF(ISBLANK(Data!#REF!),"",Data!#REF!)</f>
        <v>#REF!</v>
      </c>
      <c r="C15" s="45" t="e">
        <f>IF(ISBLANK(Data!#REF!),"",Data!#REF!)</f>
        <v>#REF!</v>
      </c>
      <c r="D15" s="21" t="e">
        <f>IF(ISBLANK(Data!#REF!),"",Data!#REF!)</f>
        <v>#REF!</v>
      </c>
      <c r="E15" s="21" t="e">
        <f>IF(ISBLANK(Data!#REF!),"",Data!#REF!)</f>
        <v>#REF!</v>
      </c>
      <c r="F15" s="33" t="e">
        <f>IF(ISBLANK(Data!#REF!),"",Data!#REF!)</f>
        <v>#REF!</v>
      </c>
      <c r="G15" s="21" t="e">
        <f>IF(ISBLANK(Data!#REF!),"",Data!#REF!)</f>
        <v>#REF!</v>
      </c>
      <c r="H15" s="33" t="e">
        <f>IF(ISBLANK(Data!#REF!),"",Data!#REF!)</f>
        <v>#REF!</v>
      </c>
      <c r="I15" s="33" t="e">
        <f>IF(ISBLANK(Data!#REF!),"",Data!#REF!)</f>
        <v>#REF!</v>
      </c>
      <c r="J15" s="33" t="e">
        <f>IF(ISBLANK(Data!#REF!),"",Data!#REF!)</f>
        <v>#REF!</v>
      </c>
      <c r="K15" s="21" t="e">
        <f>IF(ISBLANK(Data!#REF!),"",Data!#REF!)</f>
        <v>#REF!</v>
      </c>
      <c r="L15" s="21" t="e">
        <f>IF(ISBLANK(Data!#REF!),"",Data!#REF!)</f>
        <v>#REF!</v>
      </c>
      <c r="N15" s="46" t="e">
        <f>IF(ISBLANK(Data!#REF!),"",Data!#REF!)</f>
        <v>#REF!</v>
      </c>
      <c r="O15" s="46" t="e">
        <f>IF(ISBLANK(Data!#REF!),"",Data!#REF!)</f>
        <v>#REF!</v>
      </c>
      <c r="P15" s="46" t="e">
        <f>IF(ISBLANK(Data!#REF!),"",Data!#REF!)</f>
        <v>#REF!</v>
      </c>
      <c r="Q15" s="46" t="e">
        <f t="shared" si="0"/>
        <v>#REF!</v>
      </c>
      <c r="R15" s="47" t="e">
        <f>IF(ISBLANK(Data!#REF!),"",Data!#REF!)</f>
        <v>#REF!</v>
      </c>
      <c r="S15" s="33" t="e">
        <f>IF(ISBLANK(Data!#REF!),"",Data!#REF!)</f>
        <v>#REF!</v>
      </c>
      <c r="T15" s="33" t="e">
        <f>IF(ISBLANK(Data!#REF!),"",Data!#REF!)</f>
        <v>#REF!</v>
      </c>
      <c r="U15" s="21" t="e">
        <f>IF(ISBLANK(Data!#REF!),"",Data!#REF!)</f>
        <v>#REF!</v>
      </c>
    </row>
    <row r="16" spans="1:21" x14ac:dyDescent="0.25">
      <c r="A16" s="33" t="e">
        <f>IF(ISBLANK(Data!#REF!),"",YEAR(Data!#REF!))</f>
        <v>#REF!</v>
      </c>
      <c r="B16" s="44" t="e">
        <f>IF(ISBLANK(Data!#REF!),"",Data!#REF!)</f>
        <v>#REF!</v>
      </c>
      <c r="C16" s="45" t="e">
        <f>IF(ISBLANK(Data!#REF!),"",Data!#REF!)</f>
        <v>#REF!</v>
      </c>
      <c r="D16" s="21" t="e">
        <f>IF(ISBLANK(Data!#REF!),"",Data!#REF!)</f>
        <v>#REF!</v>
      </c>
      <c r="E16" s="21" t="e">
        <f>IF(ISBLANK(Data!#REF!),"",Data!#REF!)</f>
        <v>#REF!</v>
      </c>
      <c r="F16" s="33" t="e">
        <f>IF(ISBLANK(Data!#REF!),"",Data!#REF!)</f>
        <v>#REF!</v>
      </c>
      <c r="G16" s="21" t="e">
        <f>IF(ISBLANK(Data!#REF!),"",Data!#REF!)</f>
        <v>#REF!</v>
      </c>
      <c r="H16" s="33" t="e">
        <f>IF(ISBLANK(Data!#REF!),"",Data!#REF!)</f>
        <v>#REF!</v>
      </c>
      <c r="I16" s="33" t="e">
        <f>IF(ISBLANK(Data!#REF!),"",Data!#REF!)</f>
        <v>#REF!</v>
      </c>
      <c r="J16" s="33" t="e">
        <f>IF(ISBLANK(Data!#REF!),"",Data!#REF!)</f>
        <v>#REF!</v>
      </c>
      <c r="K16" s="21" t="e">
        <f>IF(ISBLANK(Data!#REF!),"",Data!#REF!)</f>
        <v>#REF!</v>
      </c>
      <c r="L16" s="21" t="e">
        <f>IF(ISBLANK(Data!#REF!),"",Data!#REF!)</f>
        <v>#REF!</v>
      </c>
      <c r="N16" s="46" t="e">
        <f>IF(ISBLANK(Data!#REF!),"",Data!#REF!)</f>
        <v>#REF!</v>
      </c>
      <c r="O16" s="46" t="e">
        <f>IF(ISBLANK(Data!#REF!),"",Data!#REF!)</f>
        <v>#REF!</v>
      </c>
      <c r="P16" s="46" t="e">
        <f>IF(ISBLANK(Data!#REF!),"",Data!#REF!)</f>
        <v>#REF!</v>
      </c>
      <c r="Q16" s="46" t="e">
        <f t="shared" si="0"/>
        <v>#REF!</v>
      </c>
      <c r="R16" s="47" t="e">
        <f>IF(ISBLANK(Data!#REF!),"",Data!#REF!)</f>
        <v>#REF!</v>
      </c>
      <c r="S16" s="33" t="e">
        <f>IF(ISBLANK(Data!#REF!),"",Data!#REF!)</f>
        <v>#REF!</v>
      </c>
      <c r="T16" s="33" t="e">
        <f>IF(ISBLANK(Data!#REF!),"",Data!#REF!)</f>
        <v>#REF!</v>
      </c>
      <c r="U16" s="21" t="e">
        <f>IF(ISBLANK(Data!#REF!),"",Data!#REF!)</f>
        <v>#REF!</v>
      </c>
    </row>
    <row r="17" spans="1:21" x14ac:dyDescent="0.25">
      <c r="A17" s="33" t="e">
        <f>IF(ISBLANK(Data!#REF!),"",YEAR(Data!#REF!))</f>
        <v>#REF!</v>
      </c>
      <c r="B17" s="44" t="e">
        <f>IF(ISBLANK(Data!#REF!),"",Data!#REF!)</f>
        <v>#REF!</v>
      </c>
      <c r="C17" s="45" t="e">
        <f>IF(ISBLANK(Data!#REF!),"",Data!#REF!)</f>
        <v>#REF!</v>
      </c>
      <c r="D17" s="21" t="e">
        <f>IF(ISBLANK(Data!#REF!),"",Data!#REF!)</f>
        <v>#REF!</v>
      </c>
      <c r="E17" s="21" t="e">
        <f>IF(ISBLANK(Data!#REF!),"",Data!#REF!)</f>
        <v>#REF!</v>
      </c>
      <c r="F17" s="33" t="e">
        <f>IF(ISBLANK(Data!#REF!),"",Data!#REF!)</f>
        <v>#REF!</v>
      </c>
      <c r="G17" s="21" t="e">
        <f>IF(ISBLANK(Data!#REF!),"",Data!#REF!)</f>
        <v>#REF!</v>
      </c>
      <c r="H17" s="33" t="e">
        <f>IF(ISBLANK(Data!#REF!),"",Data!#REF!)</f>
        <v>#REF!</v>
      </c>
      <c r="I17" s="33" t="e">
        <f>IF(ISBLANK(Data!#REF!),"",Data!#REF!)</f>
        <v>#REF!</v>
      </c>
      <c r="J17" s="33" t="e">
        <f>IF(ISBLANK(Data!#REF!),"",Data!#REF!)</f>
        <v>#REF!</v>
      </c>
      <c r="K17" s="21" t="e">
        <f>IF(ISBLANK(Data!#REF!),"",Data!#REF!)</f>
        <v>#REF!</v>
      </c>
      <c r="L17" s="21" t="e">
        <f>IF(ISBLANK(Data!#REF!),"",Data!#REF!)</f>
        <v>#REF!</v>
      </c>
      <c r="N17" s="46" t="e">
        <f>IF(ISBLANK(Data!#REF!),"",Data!#REF!)</f>
        <v>#REF!</v>
      </c>
      <c r="O17" s="46" t="e">
        <f>IF(ISBLANK(Data!#REF!),"",Data!#REF!)</f>
        <v>#REF!</v>
      </c>
      <c r="P17" s="46" t="e">
        <f>IF(ISBLANK(Data!#REF!),"",Data!#REF!)</f>
        <v>#REF!</v>
      </c>
      <c r="Q17" s="46" t="e">
        <f t="shared" si="0"/>
        <v>#REF!</v>
      </c>
      <c r="R17" s="47" t="e">
        <f>IF(ISBLANK(Data!#REF!),"",Data!#REF!)</f>
        <v>#REF!</v>
      </c>
      <c r="S17" s="33" t="e">
        <f>IF(ISBLANK(Data!#REF!),"",Data!#REF!)</f>
        <v>#REF!</v>
      </c>
      <c r="T17" s="33" t="e">
        <f>IF(ISBLANK(Data!#REF!),"",Data!#REF!)</f>
        <v>#REF!</v>
      </c>
      <c r="U17" s="21" t="e">
        <f>IF(ISBLANK(Data!#REF!),"",Data!#REF!)</f>
        <v>#REF!</v>
      </c>
    </row>
    <row r="18" spans="1:21" x14ac:dyDescent="0.25">
      <c r="A18" s="33" t="e">
        <f>IF(ISBLANK(Data!#REF!),"",YEAR(Data!#REF!))</f>
        <v>#REF!</v>
      </c>
      <c r="B18" s="44" t="e">
        <f>IF(ISBLANK(Data!#REF!),"",Data!#REF!)</f>
        <v>#REF!</v>
      </c>
      <c r="C18" s="45" t="e">
        <f>IF(ISBLANK(Data!#REF!),"",Data!#REF!)</f>
        <v>#REF!</v>
      </c>
      <c r="D18" s="21" t="e">
        <f>IF(ISBLANK(Data!#REF!),"",Data!#REF!)</f>
        <v>#REF!</v>
      </c>
      <c r="E18" s="21" t="e">
        <f>IF(ISBLANK(Data!#REF!),"",Data!#REF!)</f>
        <v>#REF!</v>
      </c>
      <c r="F18" s="33" t="e">
        <f>IF(ISBLANK(Data!#REF!),"",Data!#REF!)</f>
        <v>#REF!</v>
      </c>
      <c r="G18" s="21" t="e">
        <f>IF(ISBLANK(Data!#REF!),"",Data!#REF!)</f>
        <v>#REF!</v>
      </c>
      <c r="H18" s="33" t="e">
        <f>IF(ISBLANK(Data!#REF!),"",Data!#REF!)</f>
        <v>#REF!</v>
      </c>
      <c r="I18" s="33" t="e">
        <f>IF(ISBLANK(Data!#REF!),"",Data!#REF!)</f>
        <v>#REF!</v>
      </c>
      <c r="J18" s="33" t="e">
        <f>IF(ISBLANK(Data!#REF!),"",Data!#REF!)</f>
        <v>#REF!</v>
      </c>
      <c r="K18" s="21" t="e">
        <f>IF(ISBLANK(Data!#REF!),"",Data!#REF!)</f>
        <v>#REF!</v>
      </c>
      <c r="L18" s="21" t="e">
        <f>IF(ISBLANK(Data!#REF!),"",Data!#REF!)</f>
        <v>#REF!</v>
      </c>
      <c r="N18" s="46" t="e">
        <f>IF(ISBLANK(Data!#REF!),"",Data!#REF!)</f>
        <v>#REF!</v>
      </c>
      <c r="O18" s="46" t="e">
        <f>IF(ISBLANK(Data!#REF!),"",Data!#REF!)</f>
        <v>#REF!</v>
      </c>
      <c r="P18" s="46" t="e">
        <f>IF(ISBLANK(Data!#REF!),"",Data!#REF!)</f>
        <v>#REF!</v>
      </c>
      <c r="Q18" s="46" t="e">
        <f t="shared" si="0"/>
        <v>#REF!</v>
      </c>
      <c r="R18" s="47" t="e">
        <f>IF(ISBLANK(Data!#REF!),"",Data!#REF!)</f>
        <v>#REF!</v>
      </c>
      <c r="S18" s="33" t="e">
        <f>IF(ISBLANK(Data!#REF!),"",Data!#REF!)</f>
        <v>#REF!</v>
      </c>
      <c r="T18" s="33" t="e">
        <f>IF(ISBLANK(Data!#REF!),"",Data!#REF!)</f>
        <v>#REF!</v>
      </c>
      <c r="U18" s="21" t="e">
        <f>IF(ISBLANK(Data!#REF!),"",Data!#REF!)</f>
        <v>#REF!</v>
      </c>
    </row>
    <row r="19" spans="1:21" x14ac:dyDescent="0.25">
      <c r="A19" s="33" t="e">
        <f>IF(ISBLANK(Data!#REF!),"",YEAR(Data!#REF!))</f>
        <v>#REF!</v>
      </c>
      <c r="B19" s="44" t="e">
        <f>IF(ISBLANK(Data!#REF!),"",Data!#REF!)</f>
        <v>#REF!</v>
      </c>
      <c r="C19" s="45" t="e">
        <f>IF(ISBLANK(Data!#REF!),"",Data!#REF!)</f>
        <v>#REF!</v>
      </c>
      <c r="D19" s="21" t="e">
        <f>IF(ISBLANK(Data!#REF!),"",Data!#REF!)</f>
        <v>#REF!</v>
      </c>
      <c r="E19" s="21" t="e">
        <f>IF(ISBLANK(Data!#REF!),"",Data!#REF!)</f>
        <v>#REF!</v>
      </c>
      <c r="F19" s="33" t="e">
        <f>IF(ISBLANK(Data!#REF!),"",Data!#REF!)</f>
        <v>#REF!</v>
      </c>
      <c r="G19" s="21" t="e">
        <f>IF(ISBLANK(Data!#REF!),"",Data!#REF!)</f>
        <v>#REF!</v>
      </c>
      <c r="H19" s="33" t="e">
        <f>IF(ISBLANK(Data!#REF!),"",Data!#REF!)</f>
        <v>#REF!</v>
      </c>
      <c r="I19" s="33" t="e">
        <f>IF(ISBLANK(Data!#REF!),"",Data!#REF!)</f>
        <v>#REF!</v>
      </c>
      <c r="J19" s="33" t="e">
        <f>IF(ISBLANK(Data!#REF!),"",Data!#REF!)</f>
        <v>#REF!</v>
      </c>
      <c r="K19" s="21" t="e">
        <f>IF(ISBLANK(Data!#REF!),"",Data!#REF!)</f>
        <v>#REF!</v>
      </c>
      <c r="L19" s="21" t="e">
        <f>IF(ISBLANK(Data!#REF!),"",Data!#REF!)</f>
        <v>#REF!</v>
      </c>
      <c r="N19" s="46" t="e">
        <f>IF(ISBLANK(Data!#REF!),"",Data!#REF!)</f>
        <v>#REF!</v>
      </c>
      <c r="O19" s="46" t="e">
        <f>IF(ISBLANK(Data!#REF!),"",Data!#REF!)</f>
        <v>#REF!</v>
      </c>
      <c r="P19" s="46" t="e">
        <f>IF(ISBLANK(Data!#REF!),"",Data!#REF!)</f>
        <v>#REF!</v>
      </c>
      <c r="Q19" s="46" t="e">
        <f t="shared" si="0"/>
        <v>#REF!</v>
      </c>
      <c r="R19" s="47" t="e">
        <f>IF(ISBLANK(Data!#REF!),"",Data!#REF!)</f>
        <v>#REF!</v>
      </c>
      <c r="S19" s="33" t="e">
        <f>IF(ISBLANK(Data!#REF!),"",Data!#REF!)</f>
        <v>#REF!</v>
      </c>
      <c r="T19" s="33" t="e">
        <f>IF(ISBLANK(Data!#REF!),"",Data!#REF!)</f>
        <v>#REF!</v>
      </c>
      <c r="U19" s="21" t="e">
        <f>IF(ISBLANK(Data!#REF!),"",Data!#REF!)</f>
        <v>#REF!</v>
      </c>
    </row>
    <row r="20" spans="1:21" x14ac:dyDescent="0.25">
      <c r="A20" s="33" t="e">
        <f>IF(ISBLANK(Data!#REF!),"",YEAR(Data!#REF!))</f>
        <v>#REF!</v>
      </c>
      <c r="B20" s="44" t="e">
        <f>IF(ISBLANK(Data!#REF!),"",Data!#REF!)</f>
        <v>#REF!</v>
      </c>
      <c r="C20" s="45" t="e">
        <f>IF(ISBLANK(Data!#REF!),"",Data!#REF!)</f>
        <v>#REF!</v>
      </c>
      <c r="D20" s="21" t="e">
        <f>IF(ISBLANK(Data!#REF!),"",Data!#REF!)</f>
        <v>#REF!</v>
      </c>
      <c r="E20" s="21" t="e">
        <f>IF(ISBLANK(Data!#REF!),"",Data!#REF!)</f>
        <v>#REF!</v>
      </c>
      <c r="F20" s="33" t="e">
        <f>IF(ISBLANK(Data!#REF!),"",Data!#REF!)</f>
        <v>#REF!</v>
      </c>
      <c r="G20" s="21" t="e">
        <f>IF(ISBLANK(Data!#REF!),"",Data!#REF!)</f>
        <v>#REF!</v>
      </c>
      <c r="H20" s="33" t="e">
        <f>IF(ISBLANK(Data!#REF!),"",Data!#REF!)</f>
        <v>#REF!</v>
      </c>
      <c r="I20" s="33" t="e">
        <f>IF(ISBLANK(Data!#REF!),"",Data!#REF!)</f>
        <v>#REF!</v>
      </c>
      <c r="J20" s="33" t="e">
        <f>IF(ISBLANK(Data!#REF!),"",Data!#REF!)</f>
        <v>#REF!</v>
      </c>
      <c r="K20" s="21" t="e">
        <f>IF(ISBLANK(Data!#REF!),"",Data!#REF!)</f>
        <v>#REF!</v>
      </c>
      <c r="L20" s="21" t="e">
        <f>IF(ISBLANK(Data!#REF!),"",Data!#REF!)</f>
        <v>#REF!</v>
      </c>
      <c r="N20" s="46" t="e">
        <f>IF(ISBLANK(Data!#REF!),"",Data!#REF!)</f>
        <v>#REF!</v>
      </c>
      <c r="O20" s="46" t="e">
        <f>IF(ISBLANK(Data!#REF!),"",Data!#REF!)</f>
        <v>#REF!</v>
      </c>
      <c r="P20" s="46" t="e">
        <f>IF(ISBLANK(Data!#REF!),"",Data!#REF!)</f>
        <v>#REF!</v>
      </c>
      <c r="Q20" s="46" t="e">
        <f t="shared" si="0"/>
        <v>#REF!</v>
      </c>
      <c r="R20" s="47" t="e">
        <f>IF(ISBLANK(Data!#REF!),"",Data!#REF!)</f>
        <v>#REF!</v>
      </c>
      <c r="S20" s="33" t="e">
        <f>IF(ISBLANK(Data!#REF!),"",Data!#REF!)</f>
        <v>#REF!</v>
      </c>
      <c r="T20" s="33" t="e">
        <f>IF(ISBLANK(Data!#REF!),"",Data!#REF!)</f>
        <v>#REF!</v>
      </c>
      <c r="U20" s="21" t="e">
        <f>IF(ISBLANK(Data!#REF!),"",Data!#REF!)</f>
        <v>#REF!</v>
      </c>
    </row>
    <row r="21" spans="1:21" x14ac:dyDescent="0.25">
      <c r="A21" s="33" t="e">
        <f>IF(ISBLANK(Data!#REF!),"",YEAR(Data!#REF!))</f>
        <v>#REF!</v>
      </c>
      <c r="B21" s="44" t="e">
        <f>IF(ISBLANK(Data!#REF!),"",Data!#REF!)</f>
        <v>#REF!</v>
      </c>
      <c r="C21" s="45" t="e">
        <f>IF(ISBLANK(Data!#REF!),"",Data!#REF!)</f>
        <v>#REF!</v>
      </c>
      <c r="D21" s="21" t="e">
        <f>IF(ISBLANK(Data!#REF!),"",Data!#REF!)</f>
        <v>#REF!</v>
      </c>
      <c r="E21" s="21" t="e">
        <f>IF(ISBLANK(Data!#REF!),"",Data!#REF!)</f>
        <v>#REF!</v>
      </c>
      <c r="F21" s="33" t="e">
        <f>IF(ISBLANK(Data!#REF!),"",Data!#REF!)</f>
        <v>#REF!</v>
      </c>
      <c r="G21" s="21" t="e">
        <f>IF(ISBLANK(Data!#REF!),"",Data!#REF!)</f>
        <v>#REF!</v>
      </c>
      <c r="H21" s="33" t="e">
        <f>IF(ISBLANK(Data!#REF!),"",Data!#REF!)</f>
        <v>#REF!</v>
      </c>
      <c r="I21" s="33" t="e">
        <f>IF(ISBLANK(Data!#REF!),"",Data!#REF!)</f>
        <v>#REF!</v>
      </c>
      <c r="J21" s="33" t="e">
        <f>IF(ISBLANK(Data!#REF!),"",Data!#REF!)</f>
        <v>#REF!</v>
      </c>
      <c r="K21" s="21" t="e">
        <f>IF(ISBLANK(Data!#REF!),"",Data!#REF!)</f>
        <v>#REF!</v>
      </c>
      <c r="L21" s="21" t="e">
        <f>IF(ISBLANK(Data!#REF!),"",Data!#REF!)</f>
        <v>#REF!</v>
      </c>
      <c r="N21" s="46" t="e">
        <f>IF(ISBLANK(Data!#REF!),"",Data!#REF!)</f>
        <v>#REF!</v>
      </c>
      <c r="O21" s="46" t="e">
        <f>IF(ISBLANK(Data!#REF!),"",Data!#REF!)</f>
        <v>#REF!</v>
      </c>
      <c r="P21" s="46" t="e">
        <f>IF(ISBLANK(Data!#REF!),"",Data!#REF!)</f>
        <v>#REF!</v>
      </c>
      <c r="Q21" s="46" t="e">
        <f t="shared" si="0"/>
        <v>#REF!</v>
      </c>
      <c r="R21" s="47" t="e">
        <f>IF(ISBLANK(Data!#REF!),"",Data!#REF!)</f>
        <v>#REF!</v>
      </c>
      <c r="S21" s="33" t="e">
        <f>IF(ISBLANK(Data!#REF!),"",Data!#REF!)</f>
        <v>#REF!</v>
      </c>
      <c r="T21" s="33" t="e">
        <f>IF(ISBLANK(Data!#REF!),"",Data!#REF!)</f>
        <v>#REF!</v>
      </c>
      <c r="U21" s="21" t="e">
        <f>IF(ISBLANK(Data!#REF!),"",Data!#REF!)</f>
        <v>#REF!</v>
      </c>
    </row>
    <row r="22" spans="1:21" x14ac:dyDescent="0.25">
      <c r="A22" s="33" t="e">
        <f>IF(ISBLANK(Data!#REF!),"",YEAR(Data!#REF!))</f>
        <v>#REF!</v>
      </c>
      <c r="B22" s="44" t="e">
        <f>IF(ISBLANK(Data!#REF!),"",Data!#REF!)</f>
        <v>#REF!</v>
      </c>
      <c r="C22" s="45" t="e">
        <f>IF(ISBLANK(Data!#REF!),"",Data!#REF!)</f>
        <v>#REF!</v>
      </c>
      <c r="D22" s="21" t="e">
        <f>IF(ISBLANK(Data!#REF!),"",Data!#REF!)</f>
        <v>#REF!</v>
      </c>
      <c r="E22" s="21" t="e">
        <f>IF(ISBLANK(Data!#REF!),"",Data!#REF!)</f>
        <v>#REF!</v>
      </c>
      <c r="F22" s="33" t="e">
        <f>IF(ISBLANK(Data!#REF!),"",Data!#REF!)</f>
        <v>#REF!</v>
      </c>
      <c r="G22" s="21" t="e">
        <f>IF(ISBLANK(Data!#REF!),"",Data!#REF!)</f>
        <v>#REF!</v>
      </c>
      <c r="H22" s="33" t="e">
        <f>IF(ISBLANK(Data!#REF!),"",Data!#REF!)</f>
        <v>#REF!</v>
      </c>
      <c r="I22" s="33" t="e">
        <f>IF(ISBLANK(Data!#REF!),"",Data!#REF!)</f>
        <v>#REF!</v>
      </c>
      <c r="J22" s="33" t="e">
        <f>IF(ISBLANK(Data!#REF!),"",Data!#REF!)</f>
        <v>#REF!</v>
      </c>
      <c r="K22" s="21" t="e">
        <f>IF(ISBLANK(Data!#REF!),"",Data!#REF!)</f>
        <v>#REF!</v>
      </c>
      <c r="L22" s="21" t="e">
        <f>IF(ISBLANK(Data!#REF!),"",Data!#REF!)</f>
        <v>#REF!</v>
      </c>
      <c r="N22" s="46" t="e">
        <f>IF(ISBLANK(Data!#REF!),"",Data!#REF!)</f>
        <v>#REF!</v>
      </c>
      <c r="O22" s="46" t="e">
        <f>IF(ISBLANK(Data!#REF!),"",Data!#REF!)</f>
        <v>#REF!</v>
      </c>
      <c r="P22" s="46" t="e">
        <f>IF(ISBLANK(Data!#REF!),"",Data!#REF!)</f>
        <v>#REF!</v>
      </c>
      <c r="Q22" s="46" t="e">
        <f t="shared" si="0"/>
        <v>#REF!</v>
      </c>
      <c r="R22" s="47" t="e">
        <f>IF(ISBLANK(Data!#REF!),"",Data!#REF!)</f>
        <v>#REF!</v>
      </c>
      <c r="S22" s="33" t="e">
        <f>IF(ISBLANK(Data!#REF!),"",Data!#REF!)</f>
        <v>#REF!</v>
      </c>
      <c r="T22" s="33" t="e">
        <f>IF(ISBLANK(Data!#REF!),"",Data!#REF!)</f>
        <v>#REF!</v>
      </c>
      <c r="U22" s="21" t="e">
        <f>IF(ISBLANK(Data!#REF!),"",Data!#REF!)</f>
        <v>#REF!</v>
      </c>
    </row>
    <row r="23" spans="1:21" x14ac:dyDescent="0.25">
      <c r="A23" s="33" t="e">
        <f>IF(ISBLANK(Data!#REF!),"",YEAR(Data!#REF!))</f>
        <v>#REF!</v>
      </c>
      <c r="B23" s="44" t="e">
        <f>IF(ISBLANK(Data!#REF!),"",Data!#REF!)</f>
        <v>#REF!</v>
      </c>
      <c r="C23" s="45" t="e">
        <f>IF(ISBLANK(Data!#REF!),"",Data!#REF!)</f>
        <v>#REF!</v>
      </c>
      <c r="D23" s="21" t="e">
        <f>IF(ISBLANK(Data!#REF!),"",Data!#REF!)</f>
        <v>#REF!</v>
      </c>
      <c r="E23" s="21" t="e">
        <f>IF(ISBLANK(Data!#REF!),"",Data!#REF!)</f>
        <v>#REF!</v>
      </c>
      <c r="F23" s="33" t="e">
        <f>IF(ISBLANK(Data!#REF!),"",Data!#REF!)</f>
        <v>#REF!</v>
      </c>
      <c r="G23" s="21" t="e">
        <f>IF(ISBLANK(Data!#REF!),"",Data!#REF!)</f>
        <v>#REF!</v>
      </c>
      <c r="H23" s="33" t="e">
        <f>IF(ISBLANK(Data!#REF!),"",Data!#REF!)</f>
        <v>#REF!</v>
      </c>
      <c r="I23" s="33" t="e">
        <f>IF(ISBLANK(Data!#REF!),"",Data!#REF!)</f>
        <v>#REF!</v>
      </c>
      <c r="J23" s="33" t="e">
        <f>IF(ISBLANK(Data!#REF!),"",Data!#REF!)</f>
        <v>#REF!</v>
      </c>
      <c r="K23" s="21" t="e">
        <f>IF(ISBLANK(Data!#REF!),"",Data!#REF!)</f>
        <v>#REF!</v>
      </c>
      <c r="L23" s="21" t="e">
        <f>IF(ISBLANK(Data!#REF!),"",Data!#REF!)</f>
        <v>#REF!</v>
      </c>
      <c r="N23" s="46" t="e">
        <f>IF(ISBLANK(Data!#REF!),"",Data!#REF!)</f>
        <v>#REF!</v>
      </c>
      <c r="O23" s="46" t="e">
        <f>IF(ISBLANK(Data!#REF!),"",Data!#REF!)</f>
        <v>#REF!</v>
      </c>
      <c r="P23" s="46" t="e">
        <f>IF(ISBLANK(Data!#REF!),"",Data!#REF!)</f>
        <v>#REF!</v>
      </c>
      <c r="Q23" s="46" t="e">
        <f t="shared" si="0"/>
        <v>#REF!</v>
      </c>
      <c r="R23" s="47" t="e">
        <f>IF(ISBLANK(Data!#REF!),"",Data!#REF!)</f>
        <v>#REF!</v>
      </c>
      <c r="S23" s="33" t="e">
        <f>IF(ISBLANK(Data!#REF!),"",Data!#REF!)</f>
        <v>#REF!</v>
      </c>
      <c r="T23" s="33" t="e">
        <f>IF(ISBLANK(Data!#REF!),"",Data!#REF!)</f>
        <v>#REF!</v>
      </c>
      <c r="U23" s="21" t="e">
        <f>IF(ISBLANK(Data!#REF!),"",Data!#REF!)</f>
        <v>#REF!</v>
      </c>
    </row>
    <row r="24" spans="1:21" x14ac:dyDescent="0.25">
      <c r="A24" s="33" t="e">
        <f>IF(ISBLANK(Data!#REF!),"",YEAR(Data!#REF!))</f>
        <v>#REF!</v>
      </c>
      <c r="B24" s="44" t="e">
        <f>IF(ISBLANK(Data!#REF!),"",Data!#REF!)</f>
        <v>#REF!</v>
      </c>
      <c r="C24" s="45" t="e">
        <f>IF(ISBLANK(Data!#REF!),"",Data!#REF!)</f>
        <v>#REF!</v>
      </c>
      <c r="D24" s="21" t="e">
        <f>IF(ISBLANK(Data!#REF!),"",Data!#REF!)</f>
        <v>#REF!</v>
      </c>
      <c r="E24" s="21" t="e">
        <f>IF(ISBLANK(Data!#REF!),"",Data!#REF!)</f>
        <v>#REF!</v>
      </c>
      <c r="F24" s="33" t="e">
        <f>IF(ISBLANK(Data!#REF!),"",Data!#REF!)</f>
        <v>#REF!</v>
      </c>
      <c r="G24" s="21" t="e">
        <f>IF(ISBLANK(Data!#REF!),"",Data!#REF!)</f>
        <v>#REF!</v>
      </c>
      <c r="H24" s="33" t="e">
        <f>IF(ISBLANK(Data!#REF!),"",Data!#REF!)</f>
        <v>#REF!</v>
      </c>
      <c r="I24" s="33" t="e">
        <f>IF(ISBLANK(Data!#REF!),"",Data!#REF!)</f>
        <v>#REF!</v>
      </c>
      <c r="J24" s="33" t="e">
        <f>IF(ISBLANK(Data!#REF!),"",Data!#REF!)</f>
        <v>#REF!</v>
      </c>
      <c r="K24" s="21" t="e">
        <f>IF(ISBLANK(Data!#REF!),"",Data!#REF!)</f>
        <v>#REF!</v>
      </c>
      <c r="L24" s="21" t="e">
        <f>IF(ISBLANK(Data!#REF!),"",Data!#REF!)</f>
        <v>#REF!</v>
      </c>
      <c r="N24" s="46" t="e">
        <f>IF(ISBLANK(Data!#REF!),"",Data!#REF!)</f>
        <v>#REF!</v>
      </c>
      <c r="O24" s="46" t="e">
        <f>IF(ISBLANK(Data!#REF!),"",Data!#REF!)</f>
        <v>#REF!</v>
      </c>
      <c r="P24" s="46" t="e">
        <f>IF(ISBLANK(Data!#REF!),"",Data!#REF!)</f>
        <v>#REF!</v>
      </c>
      <c r="Q24" s="46" t="e">
        <f t="shared" si="0"/>
        <v>#REF!</v>
      </c>
      <c r="R24" s="47" t="e">
        <f>IF(ISBLANK(Data!#REF!),"",Data!#REF!)</f>
        <v>#REF!</v>
      </c>
      <c r="S24" s="33" t="e">
        <f>IF(ISBLANK(Data!#REF!),"",Data!#REF!)</f>
        <v>#REF!</v>
      </c>
      <c r="T24" s="33" t="e">
        <f>IF(ISBLANK(Data!#REF!),"",Data!#REF!)</f>
        <v>#REF!</v>
      </c>
      <c r="U24" s="21" t="e">
        <f>IF(ISBLANK(Data!#REF!),"",Data!#REF!)</f>
        <v>#REF!</v>
      </c>
    </row>
    <row r="25" spans="1:21" x14ac:dyDescent="0.25">
      <c r="A25" s="33" t="e">
        <f>IF(ISBLANK(Data!#REF!),"",YEAR(Data!#REF!))</f>
        <v>#REF!</v>
      </c>
      <c r="B25" s="44" t="e">
        <f>IF(ISBLANK(Data!#REF!),"",Data!#REF!)</f>
        <v>#REF!</v>
      </c>
      <c r="C25" s="45" t="e">
        <f>IF(ISBLANK(Data!#REF!),"",Data!#REF!)</f>
        <v>#REF!</v>
      </c>
      <c r="D25" s="21" t="e">
        <f>IF(ISBLANK(Data!#REF!),"",Data!#REF!)</f>
        <v>#REF!</v>
      </c>
      <c r="E25" s="21" t="e">
        <f>IF(ISBLANK(Data!#REF!),"",Data!#REF!)</f>
        <v>#REF!</v>
      </c>
      <c r="F25" s="33" t="e">
        <f>IF(ISBLANK(Data!#REF!),"",Data!#REF!)</f>
        <v>#REF!</v>
      </c>
      <c r="G25" s="21" t="e">
        <f>IF(ISBLANK(Data!#REF!),"",Data!#REF!)</f>
        <v>#REF!</v>
      </c>
      <c r="H25" s="33" t="e">
        <f>IF(ISBLANK(Data!#REF!),"",Data!#REF!)</f>
        <v>#REF!</v>
      </c>
      <c r="I25" s="33" t="e">
        <f>IF(ISBLANK(Data!#REF!),"",Data!#REF!)</f>
        <v>#REF!</v>
      </c>
      <c r="J25" s="33" t="e">
        <f>IF(ISBLANK(Data!#REF!),"",Data!#REF!)</f>
        <v>#REF!</v>
      </c>
      <c r="K25" s="21" t="e">
        <f>IF(ISBLANK(Data!#REF!),"",Data!#REF!)</f>
        <v>#REF!</v>
      </c>
      <c r="L25" s="21" t="e">
        <f>IF(ISBLANK(Data!#REF!),"",Data!#REF!)</f>
        <v>#REF!</v>
      </c>
      <c r="N25" s="46" t="e">
        <f>IF(ISBLANK(Data!#REF!),"",Data!#REF!)</f>
        <v>#REF!</v>
      </c>
      <c r="O25" s="46" t="e">
        <f>IF(ISBLANK(Data!#REF!),"",Data!#REF!)</f>
        <v>#REF!</v>
      </c>
      <c r="P25" s="46" t="e">
        <f>IF(ISBLANK(Data!#REF!),"",Data!#REF!)</f>
        <v>#REF!</v>
      </c>
      <c r="Q25" s="46" t="e">
        <f t="shared" si="0"/>
        <v>#REF!</v>
      </c>
      <c r="R25" s="47" t="e">
        <f>IF(ISBLANK(Data!#REF!),"",Data!#REF!)</f>
        <v>#REF!</v>
      </c>
      <c r="S25" s="33" t="e">
        <f>IF(ISBLANK(Data!#REF!),"",Data!#REF!)</f>
        <v>#REF!</v>
      </c>
      <c r="T25" s="33" t="e">
        <f>IF(ISBLANK(Data!#REF!),"",Data!#REF!)</f>
        <v>#REF!</v>
      </c>
      <c r="U25" s="21" t="e">
        <f>IF(ISBLANK(Data!#REF!),"",Data!#REF!)</f>
        <v>#REF!</v>
      </c>
    </row>
    <row r="26" spans="1:21" x14ac:dyDescent="0.25">
      <c r="A26" s="33" t="e">
        <f>IF(ISBLANK(Data!#REF!),"",YEAR(Data!#REF!))</f>
        <v>#REF!</v>
      </c>
      <c r="B26" s="44" t="e">
        <f>IF(ISBLANK(Data!#REF!),"",Data!#REF!)</f>
        <v>#REF!</v>
      </c>
      <c r="C26" s="45" t="e">
        <f>IF(ISBLANK(Data!#REF!),"",Data!#REF!)</f>
        <v>#REF!</v>
      </c>
      <c r="D26" s="21" t="e">
        <f>IF(ISBLANK(Data!#REF!),"",Data!#REF!)</f>
        <v>#REF!</v>
      </c>
      <c r="E26" s="21" t="e">
        <f>IF(ISBLANK(Data!#REF!),"",Data!#REF!)</f>
        <v>#REF!</v>
      </c>
      <c r="F26" s="33" t="e">
        <f>IF(ISBLANK(Data!#REF!),"",Data!#REF!)</f>
        <v>#REF!</v>
      </c>
      <c r="G26" s="21" t="e">
        <f>IF(ISBLANK(Data!#REF!),"",Data!#REF!)</f>
        <v>#REF!</v>
      </c>
      <c r="H26" s="33" t="e">
        <f>IF(ISBLANK(Data!#REF!),"",Data!#REF!)</f>
        <v>#REF!</v>
      </c>
      <c r="I26" s="33" t="e">
        <f>IF(ISBLANK(Data!#REF!),"",Data!#REF!)</f>
        <v>#REF!</v>
      </c>
      <c r="J26" s="33" t="e">
        <f>IF(ISBLANK(Data!#REF!),"",Data!#REF!)</f>
        <v>#REF!</v>
      </c>
      <c r="K26" s="21" t="e">
        <f>IF(ISBLANK(Data!#REF!),"",Data!#REF!)</f>
        <v>#REF!</v>
      </c>
      <c r="L26" s="21" t="e">
        <f>IF(ISBLANK(Data!#REF!),"",Data!#REF!)</f>
        <v>#REF!</v>
      </c>
      <c r="N26" s="46" t="e">
        <f>IF(ISBLANK(Data!#REF!),"",Data!#REF!)</f>
        <v>#REF!</v>
      </c>
      <c r="O26" s="46" t="e">
        <f>IF(ISBLANK(Data!#REF!),"",Data!#REF!)</f>
        <v>#REF!</v>
      </c>
      <c r="P26" s="46" t="e">
        <f>IF(ISBLANK(Data!#REF!),"",Data!#REF!)</f>
        <v>#REF!</v>
      </c>
      <c r="Q26" s="46" t="e">
        <f t="shared" si="0"/>
        <v>#REF!</v>
      </c>
      <c r="R26" s="47" t="e">
        <f>IF(ISBLANK(Data!#REF!),"",Data!#REF!)</f>
        <v>#REF!</v>
      </c>
      <c r="S26" s="33" t="e">
        <f>IF(ISBLANK(Data!#REF!),"",Data!#REF!)</f>
        <v>#REF!</v>
      </c>
      <c r="T26" s="33" t="e">
        <f>IF(ISBLANK(Data!#REF!),"",Data!#REF!)</f>
        <v>#REF!</v>
      </c>
      <c r="U26" s="21" t="e">
        <f>IF(ISBLANK(Data!#REF!),"",Data!#REF!)</f>
        <v>#REF!</v>
      </c>
    </row>
    <row r="27" spans="1:21" x14ac:dyDescent="0.25">
      <c r="A27" s="33" t="e">
        <f>IF(ISBLANK(Data!#REF!),"",YEAR(Data!#REF!))</f>
        <v>#REF!</v>
      </c>
      <c r="B27" s="44" t="e">
        <f>IF(ISBLANK(Data!#REF!),"",Data!#REF!)</f>
        <v>#REF!</v>
      </c>
      <c r="C27" s="45" t="e">
        <f>IF(ISBLANK(Data!#REF!),"",Data!#REF!)</f>
        <v>#REF!</v>
      </c>
      <c r="D27" s="21" t="e">
        <f>IF(ISBLANK(Data!#REF!),"",Data!#REF!)</f>
        <v>#REF!</v>
      </c>
      <c r="E27" s="21" t="e">
        <f>IF(ISBLANK(Data!#REF!),"",Data!#REF!)</f>
        <v>#REF!</v>
      </c>
      <c r="F27" s="33" t="e">
        <f>IF(ISBLANK(Data!#REF!),"",Data!#REF!)</f>
        <v>#REF!</v>
      </c>
      <c r="G27" s="21" t="e">
        <f>IF(ISBLANK(Data!#REF!),"",Data!#REF!)</f>
        <v>#REF!</v>
      </c>
      <c r="H27" s="33" t="e">
        <f>IF(ISBLANK(Data!#REF!),"",Data!#REF!)</f>
        <v>#REF!</v>
      </c>
      <c r="I27" s="33" t="e">
        <f>IF(ISBLANK(Data!#REF!),"",Data!#REF!)</f>
        <v>#REF!</v>
      </c>
      <c r="J27" s="33" t="e">
        <f>IF(ISBLANK(Data!#REF!),"",Data!#REF!)</f>
        <v>#REF!</v>
      </c>
      <c r="K27" s="21" t="e">
        <f>IF(ISBLANK(Data!#REF!),"",Data!#REF!)</f>
        <v>#REF!</v>
      </c>
      <c r="L27" s="21" t="e">
        <f>IF(ISBLANK(Data!#REF!),"",Data!#REF!)</f>
        <v>#REF!</v>
      </c>
      <c r="N27" s="46" t="e">
        <f>IF(ISBLANK(Data!#REF!),"",Data!#REF!)</f>
        <v>#REF!</v>
      </c>
      <c r="O27" s="46" t="e">
        <f>IF(ISBLANK(Data!#REF!),"",Data!#REF!)</f>
        <v>#REF!</v>
      </c>
      <c r="P27" s="46" t="e">
        <f>IF(ISBLANK(Data!#REF!),"",Data!#REF!)</f>
        <v>#REF!</v>
      </c>
      <c r="Q27" s="46" t="e">
        <f t="shared" si="0"/>
        <v>#REF!</v>
      </c>
      <c r="R27" s="47" t="e">
        <f>IF(ISBLANK(Data!#REF!),"",Data!#REF!)</f>
        <v>#REF!</v>
      </c>
      <c r="S27" s="33" t="e">
        <f>IF(ISBLANK(Data!#REF!),"",Data!#REF!)</f>
        <v>#REF!</v>
      </c>
      <c r="T27" s="33" t="e">
        <f>IF(ISBLANK(Data!#REF!),"",Data!#REF!)</f>
        <v>#REF!</v>
      </c>
      <c r="U27" s="21" t="e">
        <f>IF(ISBLANK(Data!#REF!),"",Data!#REF!)</f>
        <v>#REF!</v>
      </c>
    </row>
    <row r="28" spans="1:21" x14ac:dyDescent="0.25">
      <c r="A28" s="33" t="e">
        <f>IF(ISBLANK(Data!#REF!),"",YEAR(Data!#REF!))</f>
        <v>#REF!</v>
      </c>
      <c r="B28" s="44" t="e">
        <f>IF(ISBLANK(Data!#REF!),"",Data!#REF!)</f>
        <v>#REF!</v>
      </c>
      <c r="C28" s="45" t="e">
        <f>IF(ISBLANK(Data!#REF!),"",Data!#REF!)</f>
        <v>#REF!</v>
      </c>
      <c r="D28" s="21" t="e">
        <f>IF(ISBLANK(Data!#REF!),"",Data!#REF!)</f>
        <v>#REF!</v>
      </c>
      <c r="E28" s="21" t="e">
        <f>IF(ISBLANK(Data!#REF!),"",Data!#REF!)</f>
        <v>#REF!</v>
      </c>
      <c r="F28" s="33" t="e">
        <f>IF(ISBLANK(Data!#REF!),"",Data!#REF!)</f>
        <v>#REF!</v>
      </c>
      <c r="G28" s="21" t="e">
        <f>IF(ISBLANK(Data!#REF!),"",Data!#REF!)</f>
        <v>#REF!</v>
      </c>
      <c r="H28" s="33" t="e">
        <f>IF(ISBLANK(Data!#REF!),"",Data!#REF!)</f>
        <v>#REF!</v>
      </c>
      <c r="I28" s="33" t="e">
        <f>IF(ISBLANK(Data!#REF!),"",Data!#REF!)</f>
        <v>#REF!</v>
      </c>
      <c r="J28" s="33" t="e">
        <f>IF(ISBLANK(Data!#REF!),"",Data!#REF!)</f>
        <v>#REF!</v>
      </c>
      <c r="K28" s="21" t="e">
        <f>IF(ISBLANK(Data!#REF!),"",Data!#REF!)</f>
        <v>#REF!</v>
      </c>
      <c r="L28" s="21" t="e">
        <f>IF(ISBLANK(Data!#REF!),"",Data!#REF!)</f>
        <v>#REF!</v>
      </c>
      <c r="N28" s="46" t="e">
        <f>IF(ISBLANK(Data!#REF!),"",Data!#REF!)</f>
        <v>#REF!</v>
      </c>
      <c r="O28" s="46" t="e">
        <f>IF(ISBLANK(Data!#REF!),"",Data!#REF!)</f>
        <v>#REF!</v>
      </c>
      <c r="P28" s="46" t="e">
        <f>IF(ISBLANK(Data!#REF!),"",Data!#REF!)</f>
        <v>#REF!</v>
      </c>
      <c r="Q28" s="46" t="e">
        <f t="shared" si="0"/>
        <v>#REF!</v>
      </c>
      <c r="R28" s="47" t="e">
        <f>IF(ISBLANK(Data!#REF!),"",Data!#REF!)</f>
        <v>#REF!</v>
      </c>
      <c r="S28" s="33" t="e">
        <f>IF(ISBLANK(Data!#REF!),"",Data!#REF!)</f>
        <v>#REF!</v>
      </c>
      <c r="T28" s="33" t="e">
        <f>IF(ISBLANK(Data!#REF!),"",Data!#REF!)</f>
        <v>#REF!</v>
      </c>
      <c r="U28" s="21" t="e">
        <f>IF(ISBLANK(Data!#REF!),"",Data!#REF!)</f>
        <v>#REF!</v>
      </c>
    </row>
    <row r="29" spans="1:21" x14ac:dyDescent="0.25">
      <c r="A29" s="33" t="e">
        <f>IF(ISBLANK(Data!#REF!),"",YEAR(Data!#REF!))</f>
        <v>#REF!</v>
      </c>
      <c r="B29" s="44" t="e">
        <f>IF(ISBLANK(Data!#REF!),"",Data!#REF!)</f>
        <v>#REF!</v>
      </c>
      <c r="C29" s="45" t="e">
        <f>IF(ISBLANK(Data!#REF!),"",Data!#REF!)</f>
        <v>#REF!</v>
      </c>
      <c r="D29" s="21" t="e">
        <f>IF(ISBLANK(Data!#REF!),"",Data!#REF!)</f>
        <v>#REF!</v>
      </c>
      <c r="E29" s="21" t="e">
        <f>IF(ISBLANK(Data!#REF!),"",Data!#REF!)</f>
        <v>#REF!</v>
      </c>
      <c r="F29" s="33" t="e">
        <f>IF(ISBLANK(Data!#REF!),"",Data!#REF!)</f>
        <v>#REF!</v>
      </c>
      <c r="G29" s="21" t="e">
        <f>IF(ISBLANK(Data!#REF!),"",Data!#REF!)</f>
        <v>#REF!</v>
      </c>
      <c r="H29" s="33" t="e">
        <f>IF(ISBLANK(Data!#REF!),"",Data!#REF!)</f>
        <v>#REF!</v>
      </c>
      <c r="I29" s="33" t="e">
        <f>IF(ISBLANK(Data!#REF!),"",Data!#REF!)</f>
        <v>#REF!</v>
      </c>
      <c r="J29" s="33" t="e">
        <f>IF(ISBLANK(Data!#REF!),"",Data!#REF!)</f>
        <v>#REF!</v>
      </c>
      <c r="K29" s="21" t="e">
        <f>IF(ISBLANK(Data!#REF!),"",Data!#REF!)</f>
        <v>#REF!</v>
      </c>
      <c r="L29" s="21" t="e">
        <f>IF(ISBLANK(Data!#REF!),"",Data!#REF!)</f>
        <v>#REF!</v>
      </c>
      <c r="N29" s="46" t="e">
        <f>IF(ISBLANK(Data!#REF!),"",Data!#REF!)</f>
        <v>#REF!</v>
      </c>
      <c r="O29" s="46" t="e">
        <f>IF(ISBLANK(Data!#REF!),"",Data!#REF!)</f>
        <v>#REF!</v>
      </c>
      <c r="P29" s="46" t="e">
        <f>IF(ISBLANK(Data!#REF!),"",Data!#REF!)</f>
        <v>#REF!</v>
      </c>
      <c r="Q29" s="46" t="e">
        <f t="shared" si="0"/>
        <v>#REF!</v>
      </c>
      <c r="R29" s="47" t="e">
        <f>IF(ISBLANK(Data!#REF!),"",Data!#REF!)</f>
        <v>#REF!</v>
      </c>
      <c r="S29" s="33" t="e">
        <f>IF(ISBLANK(Data!#REF!),"",Data!#REF!)</f>
        <v>#REF!</v>
      </c>
      <c r="T29" s="33" t="e">
        <f>IF(ISBLANK(Data!#REF!),"",Data!#REF!)</f>
        <v>#REF!</v>
      </c>
      <c r="U29" s="21" t="e">
        <f>IF(ISBLANK(Data!#REF!),"",Data!#REF!)</f>
        <v>#REF!</v>
      </c>
    </row>
    <row r="30" spans="1:21" x14ac:dyDescent="0.25">
      <c r="A30" s="33" t="e">
        <f>IF(ISBLANK(Data!#REF!),"",YEAR(Data!#REF!))</f>
        <v>#REF!</v>
      </c>
      <c r="B30" s="44" t="e">
        <f>IF(ISBLANK(Data!#REF!),"",Data!#REF!)</f>
        <v>#REF!</v>
      </c>
      <c r="C30" s="45" t="e">
        <f>IF(ISBLANK(Data!#REF!),"",Data!#REF!)</f>
        <v>#REF!</v>
      </c>
      <c r="D30" s="21" t="e">
        <f>IF(ISBLANK(Data!#REF!),"",Data!#REF!)</f>
        <v>#REF!</v>
      </c>
      <c r="E30" s="21" t="e">
        <f>IF(ISBLANK(Data!#REF!),"",Data!#REF!)</f>
        <v>#REF!</v>
      </c>
      <c r="F30" s="33" t="e">
        <f>IF(ISBLANK(Data!#REF!),"",Data!#REF!)</f>
        <v>#REF!</v>
      </c>
      <c r="G30" s="21" t="e">
        <f>IF(ISBLANK(Data!#REF!),"",Data!#REF!)</f>
        <v>#REF!</v>
      </c>
      <c r="H30" s="33" t="e">
        <f>IF(ISBLANK(Data!#REF!),"",Data!#REF!)</f>
        <v>#REF!</v>
      </c>
      <c r="I30" s="33" t="e">
        <f>IF(ISBLANK(Data!#REF!),"",Data!#REF!)</f>
        <v>#REF!</v>
      </c>
      <c r="J30" s="33" t="e">
        <f>IF(ISBLANK(Data!#REF!),"",Data!#REF!)</f>
        <v>#REF!</v>
      </c>
      <c r="K30" s="21" t="e">
        <f>IF(ISBLANK(Data!#REF!),"",Data!#REF!)</f>
        <v>#REF!</v>
      </c>
      <c r="L30" s="21" t="e">
        <f>IF(ISBLANK(Data!#REF!),"",Data!#REF!)</f>
        <v>#REF!</v>
      </c>
      <c r="N30" s="46" t="e">
        <f>IF(ISBLANK(Data!#REF!),"",Data!#REF!)</f>
        <v>#REF!</v>
      </c>
      <c r="O30" s="46" t="e">
        <f>IF(ISBLANK(Data!#REF!),"",Data!#REF!)</f>
        <v>#REF!</v>
      </c>
      <c r="P30" s="46" t="e">
        <f>IF(ISBLANK(Data!#REF!),"",Data!#REF!)</f>
        <v>#REF!</v>
      </c>
      <c r="Q30" s="46" t="e">
        <f t="shared" si="0"/>
        <v>#REF!</v>
      </c>
      <c r="R30" s="47" t="e">
        <f>IF(ISBLANK(Data!#REF!),"",Data!#REF!)</f>
        <v>#REF!</v>
      </c>
      <c r="S30" s="33" t="e">
        <f>IF(ISBLANK(Data!#REF!),"",Data!#REF!)</f>
        <v>#REF!</v>
      </c>
      <c r="T30" s="33" t="e">
        <f>IF(ISBLANK(Data!#REF!),"",Data!#REF!)</f>
        <v>#REF!</v>
      </c>
      <c r="U30" s="21" t="e">
        <f>IF(ISBLANK(Data!#REF!),"",Data!#REF!)</f>
        <v>#REF!</v>
      </c>
    </row>
    <row r="31" spans="1:21" x14ac:dyDescent="0.25">
      <c r="A31" s="33" t="e">
        <f>IF(ISBLANK(Data!#REF!),"",YEAR(Data!#REF!))</f>
        <v>#REF!</v>
      </c>
      <c r="B31" s="44" t="e">
        <f>IF(ISBLANK(Data!#REF!),"",Data!#REF!)</f>
        <v>#REF!</v>
      </c>
      <c r="C31" s="45" t="e">
        <f>IF(ISBLANK(Data!#REF!),"",Data!#REF!)</f>
        <v>#REF!</v>
      </c>
      <c r="D31" s="21" t="e">
        <f>IF(ISBLANK(Data!#REF!),"",Data!#REF!)</f>
        <v>#REF!</v>
      </c>
      <c r="E31" s="21" t="e">
        <f>IF(ISBLANK(Data!#REF!),"",Data!#REF!)</f>
        <v>#REF!</v>
      </c>
      <c r="F31" s="33" t="e">
        <f>IF(ISBLANK(Data!#REF!),"",Data!#REF!)</f>
        <v>#REF!</v>
      </c>
      <c r="G31" s="21" t="e">
        <f>IF(ISBLANK(Data!#REF!),"",Data!#REF!)</f>
        <v>#REF!</v>
      </c>
      <c r="H31" s="33" t="e">
        <f>IF(ISBLANK(Data!#REF!),"",Data!#REF!)</f>
        <v>#REF!</v>
      </c>
      <c r="I31" s="33" t="e">
        <f>IF(ISBLANK(Data!#REF!),"",Data!#REF!)</f>
        <v>#REF!</v>
      </c>
      <c r="J31" s="33" t="e">
        <f>IF(ISBLANK(Data!#REF!),"",Data!#REF!)</f>
        <v>#REF!</v>
      </c>
      <c r="K31" s="21" t="e">
        <f>IF(ISBLANK(Data!#REF!),"",Data!#REF!)</f>
        <v>#REF!</v>
      </c>
      <c r="L31" s="21" t="e">
        <f>IF(ISBLANK(Data!#REF!),"",Data!#REF!)</f>
        <v>#REF!</v>
      </c>
      <c r="N31" s="46" t="e">
        <f>IF(ISBLANK(Data!#REF!),"",Data!#REF!)</f>
        <v>#REF!</v>
      </c>
      <c r="O31" s="46" t="e">
        <f>IF(ISBLANK(Data!#REF!),"",Data!#REF!)</f>
        <v>#REF!</v>
      </c>
      <c r="P31" s="46" t="e">
        <f>IF(ISBLANK(Data!#REF!),"",Data!#REF!)</f>
        <v>#REF!</v>
      </c>
      <c r="Q31" s="46" t="e">
        <f t="shared" si="0"/>
        <v>#REF!</v>
      </c>
      <c r="R31" s="47" t="e">
        <f>IF(ISBLANK(Data!#REF!),"",Data!#REF!)</f>
        <v>#REF!</v>
      </c>
      <c r="S31" s="33" t="e">
        <f>IF(ISBLANK(Data!#REF!),"",Data!#REF!)</f>
        <v>#REF!</v>
      </c>
      <c r="T31" s="33" t="e">
        <f>IF(ISBLANK(Data!#REF!),"",Data!#REF!)</f>
        <v>#REF!</v>
      </c>
      <c r="U31" s="21" t="e">
        <f>IF(ISBLANK(Data!#REF!),"",Data!#REF!)</f>
        <v>#REF!</v>
      </c>
    </row>
    <row r="32" spans="1:21" x14ac:dyDescent="0.25">
      <c r="A32" s="33" t="e">
        <f>IF(ISBLANK(Data!#REF!),"",YEAR(Data!#REF!))</f>
        <v>#REF!</v>
      </c>
      <c r="B32" s="44" t="e">
        <f>IF(ISBLANK(Data!#REF!),"",Data!#REF!)</f>
        <v>#REF!</v>
      </c>
      <c r="C32" s="45" t="e">
        <f>IF(ISBLANK(Data!#REF!),"",Data!#REF!)</f>
        <v>#REF!</v>
      </c>
      <c r="D32" s="21" t="e">
        <f>IF(ISBLANK(Data!#REF!),"",Data!#REF!)</f>
        <v>#REF!</v>
      </c>
      <c r="E32" s="21" t="e">
        <f>IF(ISBLANK(Data!#REF!),"",Data!#REF!)</f>
        <v>#REF!</v>
      </c>
      <c r="F32" s="33" t="e">
        <f>IF(ISBLANK(Data!#REF!),"",Data!#REF!)</f>
        <v>#REF!</v>
      </c>
      <c r="G32" s="21" t="e">
        <f>IF(ISBLANK(Data!#REF!),"",Data!#REF!)</f>
        <v>#REF!</v>
      </c>
      <c r="H32" s="33" t="e">
        <f>IF(ISBLANK(Data!#REF!),"",Data!#REF!)</f>
        <v>#REF!</v>
      </c>
      <c r="I32" s="33" t="e">
        <f>IF(ISBLANK(Data!#REF!),"",Data!#REF!)</f>
        <v>#REF!</v>
      </c>
      <c r="J32" s="33" t="e">
        <f>IF(ISBLANK(Data!#REF!),"",Data!#REF!)</f>
        <v>#REF!</v>
      </c>
      <c r="K32" s="21" t="e">
        <f>IF(ISBLANK(Data!#REF!),"",Data!#REF!)</f>
        <v>#REF!</v>
      </c>
      <c r="L32" s="21" t="e">
        <f>IF(ISBLANK(Data!#REF!),"",Data!#REF!)</f>
        <v>#REF!</v>
      </c>
      <c r="N32" s="46" t="e">
        <f>IF(ISBLANK(Data!#REF!),"",Data!#REF!)</f>
        <v>#REF!</v>
      </c>
      <c r="O32" s="46" t="e">
        <f>IF(ISBLANK(Data!#REF!),"",Data!#REF!)</f>
        <v>#REF!</v>
      </c>
      <c r="P32" s="46" t="e">
        <f>IF(ISBLANK(Data!#REF!),"",Data!#REF!)</f>
        <v>#REF!</v>
      </c>
      <c r="Q32" s="46" t="e">
        <f t="shared" si="0"/>
        <v>#REF!</v>
      </c>
      <c r="R32" s="47" t="e">
        <f>IF(ISBLANK(Data!#REF!),"",Data!#REF!)</f>
        <v>#REF!</v>
      </c>
      <c r="S32" s="33" t="e">
        <f>IF(ISBLANK(Data!#REF!),"",Data!#REF!)</f>
        <v>#REF!</v>
      </c>
      <c r="T32" s="33" t="e">
        <f>IF(ISBLANK(Data!#REF!),"",Data!#REF!)</f>
        <v>#REF!</v>
      </c>
      <c r="U32" s="21" t="e">
        <f>IF(ISBLANK(Data!#REF!),"",Data!#REF!)</f>
        <v>#REF!</v>
      </c>
    </row>
    <row r="33" spans="1:21" x14ac:dyDescent="0.25">
      <c r="A33" s="33" t="e">
        <f>IF(ISBLANK(Data!#REF!),"",YEAR(Data!#REF!))</f>
        <v>#REF!</v>
      </c>
      <c r="B33" s="44" t="e">
        <f>IF(ISBLANK(Data!#REF!),"",Data!#REF!)</f>
        <v>#REF!</v>
      </c>
      <c r="C33" s="45" t="e">
        <f>IF(ISBLANK(Data!#REF!),"",Data!#REF!)</f>
        <v>#REF!</v>
      </c>
      <c r="D33" s="21" t="e">
        <f>IF(ISBLANK(Data!#REF!),"",Data!#REF!)</f>
        <v>#REF!</v>
      </c>
      <c r="E33" s="21" t="e">
        <f>IF(ISBLANK(Data!#REF!),"",Data!#REF!)</f>
        <v>#REF!</v>
      </c>
      <c r="F33" s="33" t="e">
        <f>IF(ISBLANK(Data!#REF!),"",Data!#REF!)</f>
        <v>#REF!</v>
      </c>
      <c r="G33" s="21" t="e">
        <f>IF(ISBLANK(Data!#REF!),"",Data!#REF!)</f>
        <v>#REF!</v>
      </c>
      <c r="H33" s="33" t="e">
        <f>IF(ISBLANK(Data!#REF!),"",Data!#REF!)</f>
        <v>#REF!</v>
      </c>
      <c r="I33" s="33" t="e">
        <f>IF(ISBLANK(Data!#REF!),"",Data!#REF!)</f>
        <v>#REF!</v>
      </c>
      <c r="J33" s="33" t="e">
        <f>IF(ISBLANK(Data!#REF!),"",Data!#REF!)</f>
        <v>#REF!</v>
      </c>
      <c r="K33" s="21" t="e">
        <f>IF(ISBLANK(Data!#REF!),"",Data!#REF!)</f>
        <v>#REF!</v>
      </c>
      <c r="L33" s="21" t="e">
        <f>IF(ISBLANK(Data!#REF!),"",Data!#REF!)</f>
        <v>#REF!</v>
      </c>
      <c r="N33" s="46" t="e">
        <f>IF(ISBLANK(Data!#REF!),"",Data!#REF!)</f>
        <v>#REF!</v>
      </c>
      <c r="O33" s="46" t="e">
        <f>IF(ISBLANK(Data!#REF!),"",Data!#REF!)</f>
        <v>#REF!</v>
      </c>
      <c r="P33" s="46" t="e">
        <f>IF(ISBLANK(Data!#REF!),"",Data!#REF!)</f>
        <v>#REF!</v>
      </c>
      <c r="Q33" s="46" t="e">
        <f t="shared" si="0"/>
        <v>#REF!</v>
      </c>
      <c r="R33" s="47" t="e">
        <f>IF(ISBLANK(Data!#REF!),"",Data!#REF!)</f>
        <v>#REF!</v>
      </c>
      <c r="S33" s="33" t="e">
        <f>IF(ISBLANK(Data!#REF!),"",Data!#REF!)</f>
        <v>#REF!</v>
      </c>
      <c r="T33" s="33" t="e">
        <f>IF(ISBLANK(Data!#REF!),"",Data!#REF!)</f>
        <v>#REF!</v>
      </c>
      <c r="U33" s="21" t="e">
        <f>IF(ISBLANK(Data!#REF!),"",Data!#REF!)</f>
        <v>#REF!</v>
      </c>
    </row>
    <row r="34" spans="1:21" x14ac:dyDescent="0.25">
      <c r="A34" s="33" t="e">
        <f>IF(ISBLANK(Data!#REF!),"",YEAR(Data!#REF!))</f>
        <v>#REF!</v>
      </c>
      <c r="B34" s="44" t="e">
        <f>IF(ISBLANK(Data!#REF!),"",Data!#REF!)</f>
        <v>#REF!</v>
      </c>
      <c r="C34" s="45" t="e">
        <f>IF(ISBLANK(Data!#REF!),"",Data!#REF!)</f>
        <v>#REF!</v>
      </c>
      <c r="D34" s="21" t="e">
        <f>IF(ISBLANK(Data!#REF!),"",Data!#REF!)</f>
        <v>#REF!</v>
      </c>
      <c r="E34" s="21" t="e">
        <f>IF(ISBLANK(Data!#REF!),"",Data!#REF!)</f>
        <v>#REF!</v>
      </c>
      <c r="F34" s="33" t="e">
        <f>IF(ISBLANK(Data!#REF!),"",Data!#REF!)</f>
        <v>#REF!</v>
      </c>
      <c r="G34" s="21" t="e">
        <f>IF(ISBLANK(Data!#REF!),"",Data!#REF!)</f>
        <v>#REF!</v>
      </c>
      <c r="H34" s="33" t="e">
        <f>IF(ISBLANK(Data!#REF!),"",Data!#REF!)</f>
        <v>#REF!</v>
      </c>
      <c r="I34" s="33" t="e">
        <f>IF(ISBLANK(Data!#REF!),"",Data!#REF!)</f>
        <v>#REF!</v>
      </c>
      <c r="J34" s="33" t="e">
        <f>IF(ISBLANK(Data!#REF!),"",Data!#REF!)</f>
        <v>#REF!</v>
      </c>
      <c r="K34" s="21" t="e">
        <f>IF(ISBLANK(Data!#REF!),"",Data!#REF!)</f>
        <v>#REF!</v>
      </c>
      <c r="L34" s="21" t="e">
        <f>IF(ISBLANK(Data!#REF!),"",Data!#REF!)</f>
        <v>#REF!</v>
      </c>
      <c r="N34" s="46" t="e">
        <f>IF(ISBLANK(Data!#REF!),"",Data!#REF!)</f>
        <v>#REF!</v>
      </c>
      <c r="O34" s="46" t="e">
        <f>IF(ISBLANK(Data!#REF!),"",Data!#REF!)</f>
        <v>#REF!</v>
      </c>
      <c r="P34" s="46" t="e">
        <f>IF(ISBLANK(Data!#REF!),"",Data!#REF!)</f>
        <v>#REF!</v>
      </c>
      <c r="Q34" s="46" t="e">
        <f t="shared" si="0"/>
        <v>#REF!</v>
      </c>
      <c r="R34" s="47" t="e">
        <f>IF(ISBLANK(Data!#REF!),"",Data!#REF!)</f>
        <v>#REF!</v>
      </c>
      <c r="S34" s="33" t="e">
        <f>IF(ISBLANK(Data!#REF!),"",Data!#REF!)</f>
        <v>#REF!</v>
      </c>
      <c r="T34" s="33" t="e">
        <f>IF(ISBLANK(Data!#REF!),"",Data!#REF!)</f>
        <v>#REF!</v>
      </c>
      <c r="U34" s="21" t="e">
        <f>IF(ISBLANK(Data!#REF!),"",Data!#REF!)</f>
        <v>#REF!</v>
      </c>
    </row>
    <row r="35" spans="1:21" x14ac:dyDescent="0.25">
      <c r="A35" s="33" t="e">
        <f>IF(ISBLANK(Data!#REF!),"",YEAR(Data!#REF!))</f>
        <v>#REF!</v>
      </c>
      <c r="B35" s="44" t="e">
        <f>IF(ISBLANK(Data!#REF!),"",Data!#REF!)</f>
        <v>#REF!</v>
      </c>
      <c r="C35" s="45" t="e">
        <f>IF(ISBLANK(Data!#REF!),"",Data!#REF!)</f>
        <v>#REF!</v>
      </c>
      <c r="D35" s="21" t="e">
        <f>IF(ISBLANK(Data!#REF!),"",Data!#REF!)</f>
        <v>#REF!</v>
      </c>
      <c r="E35" s="21" t="e">
        <f>IF(ISBLANK(Data!#REF!),"",Data!#REF!)</f>
        <v>#REF!</v>
      </c>
      <c r="F35" s="33" t="e">
        <f>IF(ISBLANK(Data!#REF!),"",Data!#REF!)</f>
        <v>#REF!</v>
      </c>
      <c r="G35" s="21" t="e">
        <f>IF(ISBLANK(Data!#REF!),"",Data!#REF!)</f>
        <v>#REF!</v>
      </c>
      <c r="H35" s="33" t="e">
        <f>IF(ISBLANK(Data!#REF!),"",Data!#REF!)</f>
        <v>#REF!</v>
      </c>
      <c r="I35" s="33" t="e">
        <f>IF(ISBLANK(Data!#REF!),"",Data!#REF!)</f>
        <v>#REF!</v>
      </c>
      <c r="J35" s="33" t="e">
        <f>IF(ISBLANK(Data!#REF!),"",Data!#REF!)</f>
        <v>#REF!</v>
      </c>
      <c r="K35" s="21" t="e">
        <f>IF(ISBLANK(Data!#REF!),"",Data!#REF!)</f>
        <v>#REF!</v>
      </c>
      <c r="L35" s="21" t="e">
        <f>IF(ISBLANK(Data!#REF!),"",Data!#REF!)</f>
        <v>#REF!</v>
      </c>
      <c r="N35" s="46" t="e">
        <f>IF(ISBLANK(Data!#REF!),"",Data!#REF!)</f>
        <v>#REF!</v>
      </c>
      <c r="O35" s="46" t="e">
        <f>IF(ISBLANK(Data!#REF!),"",Data!#REF!)</f>
        <v>#REF!</v>
      </c>
      <c r="P35" s="46" t="e">
        <f>IF(ISBLANK(Data!#REF!),"",Data!#REF!)</f>
        <v>#REF!</v>
      </c>
      <c r="Q35" s="46" t="e">
        <f t="shared" si="0"/>
        <v>#REF!</v>
      </c>
      <c r="R35" s="47" t="e">
        <f>IF(ISBLANK(Data!#REF!),"",Data!#REF!)</f>
        <v>#REF!</v>
      </c>
      <c r="S35" s="33" t="e">
        <f>IF(ISBLANK(Data!#REF!),"",Data!#REF!)</f>
        <v>#REF!</v>
      </c>
      <c r="T35" s="33" t="e">
        <f>IF(ISBLANK(Data!#REF!),"",Data!#REF!)</f>
        <v>#REF!</v>
      </c>
      <c r="U35" s="21" t="e">
        <f>IF(ISBLANK(Data!#REF!),"",Data!#REF!)</f>
        <v>#REF!</v>
      </c>
    </row>
    <row r="36" spans="1:21" x14ac:dyDescent="0.25">
      <c r="A36" s="33" t="e">
        <f>IF(ISBLANK(Data!#REF!),"",YEAR(Data!#REF!))</f>
        <v>#REF!</v>
      </c>
      <c r="B36" s="44" t="e">
        <f>IF(ISBLANK(Data!#REF!),"",Data!#REF!)</f>
        <v>#REF!</v>
      </c>
      <c r="C36" s="45" t="e">
        <f>IF(ISBLANK(Data!#REF!),"",Data!#REF!)</f>
        <v>#REF!</v>
      </c>
      <c r="D36" s="21" t="e">
        <f>IF(ISBLANK(Data!#REF!),"",Data!#REF!)</f>
        <v>#REF!</v>
      </c>
      <c r="E36" s="21" t="e">
        <f>IF(ISBLANK(Data!#REF!),"",Data!#REF!)</f>
        <v>#REF!</v>
      </c>
      <c r="F36" s="33" t="e">
        <f>IF(ISBLANK(Data!#REF!),"",Data!#REF!)</f>
        <v>#REF!</v>
      </c>
      <c r="G36" s="21" t="e">
        <f>IF(ISBLANK(Data!#REF!),"",Data!#REF!)</f>
        <v>#REF!</v>
      </c>
      <c r="H36" s="33" t="e">
        <f>IF(ISBLANK(Data!#REF!),"",Data!#REF!)</f>
        <v>#REF!</v>
      </c>
      <c r="I36" s="33" t="e">
        <f>IF(ISBLANK(Data!#REF!),"",Data!#REF!)</f>
        <v>#REF!</v>
      </c>
      <c r="J36" s="33" t="e">
        <f>IF(ISBLANK(Data!#REF!),"",Data!#REF!)</f>
        <v>#REF!</v>
      </c>
      <c r="K36" s="21" t="e">
        <f>IF(ISBLANK(Data!#REF!),"",Data!#REF!)</f>
        <v>#REF!</v>
      </c>
      <c r="L36" s="21" t="e">
        <f>IF(ISBLANK(Data!#REF!),"",Data!#REF!)</f>
        <v>#REF!</v>
      </c>
      <c r="N36" s="46" t="e">
        <f>IF(ISBLANK(Data!#REF!),"",Data!#REF!)</f>
        <v>#REF!</v>
      </c>
      <c r="O36" s="46" t="e">
        <f>IF(ISBLANK(Data!#REF!),"",Data!#REF!)</f>
        <v>#REF!</v>
      </c>
      <c r="P36" s="46" t="e">
        <f>IF(ISBLANK(Data!#REF!),"",Data!#REF!)</f>
        <v>#REF!</v>
      </c>
      <c r="Q36" s="46" t="e">
        <f t="shared" si="0"/>
        <v>#REF!</v>
      </c>
      <c r="R36" s="47" t="e">
        <f>IF(ISBLANK(Data!#REF!),"",Data!#REF!)</f>
        <v>#REF!</v>
      </c>
      <c r="S36" s="33" t="e">
        <f>IF(ISBLANK(Data!#REF!),"",Data!#REF!)</f>
        <v>#REF!</v>
      </c>
      <c r="T36" s="33" t="e">
        <f>IF(ISBLANK(Data!#REF!),"",Data!#REF!)</f>
        <v>#REF!</v>
      </c>
      <c r="U36" s="21" t="e">
        <f>IF(ISBLANK(Data!#REF!),"",Data!#REF!)</f>
        <v>#REF!</v>
      </c>
    </row>
    <row r="37" spans="1:21" x14ac:dyDescent="0.25">
      <c r="A37" s="33" t="e">
        <f>IF(ISBLANK(Data!#REF!),"",YEAR(Data!#REF!))</f>
        <v>#REF!</v>
      </c>
      <c r="B37" s="44" t="e">
        <f>IF(ISBLANK(Data!#REF!),"",Data!#REF!)</f>
        <v>#REF!</v>
      </c>
      <c r="C37" s="45" t="e">
        <f>IF(ISBLANK(Data!#REF!),"",Data!#REF!)</f>
        <v>#REF!</v>
      </c>
      <c r="D37" s="21" t="e">
        <f>IF(ISBLANK(Data!#REF!),"",Data!#REF!)</f>
        <v>#REF!</v>
      </c>
      <c r="E37" s="21" t="e">
        <f>IF(ISBLANK(Data!#REF!),"",Data!#REF!)</f>
        <v>#REF!</v>
      </c>
      <c r="F37" s="33" t="e">
        <f>IF(ISBLANK(Data!#REF!),"",Data!#REF!)</f>
        <v>#REF!</v>
      </c>
      <c r="G37" s="21" t="e">
        <f>IF(ISBLANK(Data!#REF!),"",Data!#REF!)</f>
        <v>#REF!</v>
      </c>
      <c r="H37" s="33" t="e">
        <f>IF(ISBLANK(Data!#REF!),"",Data!#REF!)</f>
        <v>#REF!</v>
      </c>
      <c r="I37" s="33" t="e">
        <f>IF(ISBLANK(Data!#REF!),"",Data!#REF!)</f>
        <v>#REF!</v>
      </c>
      <c r="J37" s="33" t="e">
        <f>IF(ISBLANK(Data!#REF!),"",Data!#REF!)</f>
        <v>#REF!</v>
      </c>
      <c r="K37" s="21" t="e">
        <f>IF(ISBLANK(Data!#REF!),"",Data!#REF!)</f>
        <v>#REF!</v>
      </c>
      <c r="L37" s="21" t="e">
        <f>IF(ISBLANK(Data!#REF!),"",Data!#REF!)</f>
        <v>#REF!</v>
      </c>
      <c r="N37" s="46" t="e">
        <f>IF(ISBLANK(Data!#REF!),"",Data!#REF!)</f>
        <v>#REF!</v>
      </c>
      <c r="O37" s="46" t="e">
        <f>IF(ISBLANK(Data!#REF!),"",Data!#REF!)</f>
        <v>#REF!</v>
      </c>
      <c r="P37" s="46" t="e">
        <f>IF(ISBLANK(Data!#REF!),"",Data!#REF!)</f>
        <v>#REF!</v>
      </c>
      <c r="Q37" s="46" t="e">
        <f t="shared" si="0"/>
        <v>#REF!</v>
      </c>
      <c r="R37" s="47" t="e">
        <f>IF(ISBLANK(Data!#REF!),"",Data!#REF!)</f>
        <v>#REF!</v>
      </c>
      <c r="S37" s="33" t="e">
        <f>IF(ISBLANK(Data!#REF!),"",Data!#REF!)</f>
        <v>#REF!</v>
      </c>
      <c r="T37" s="33" t="e">
        <f>IF(ISBLANK(Data!#REF!),"",Data!#REF!)</f>
        <v>#REF!</v>
      </c>
      <c r="U37" s="21" t="e">
        <f>IF(ISBLANK(Data!#REF!),"",Data!#REF!)</f>
        <v>#REF!</v>
      </c>
    </row>
    <row r="38" spans="1:21" x14ac:dyDescent="0.25">
      <c r="A38" s="33" t="e">
        <f>IF(ISBLANK(Data!#REF!),"",YEAR(Data!#REF!))</f>
        <v>#REF!</v>
      </c>
      <c r="B38" s="44" t="e">
        <f>IF(ISBLANK(Data!#REF!),"",Data!#REF!)</f>
        <v>#REF!</v>
      </c>
      <c r="C38" s="45" t="e">
        <f>IF(ISBLANK(Data!#REF!),"",Data!#REF!)</f>
        <v>#REF!</v>
      </c>
      <c r="D38" s="21" t="e">
        <f>IF(ISBLANK(Data!#REF!),"",Data!#REF!)</f>
        <v>#REF!</v>
      </c>
      <c r="E38" s="21" t="e">
        <f>IF(ISBLANK(Data!#REF!),"",Data!#REF!)</f>
        <v>#REF!</v>
      </c>
      <c r="F38" s="33" t="e">
        <f>IF(ISBLANK(Data!#REF!),"",Data!#REF!)</f>
        <v>#REF!</v>
      </c>
      <c r="G38" s="21" t="e">
        <f>IF(ISBLANK(Data!#REF!),"",Data!#REF!)</f>
        <v>#REF!</v>
      </c>
      <c r="H38" s="33" t="e">
        <f>IF(ISBLANK(Data!#REF!),"",Data!#REF!)</f>
        <v>#REF!</v>
      </c>
      <c r="I38" s="33" t="e">
        <f>IF(ISBLANK(Data!#REF!),"",Data!#REF!)</f>
        <v>#REF!</v>
      </c>
      <c r="J38" s="33" t="e">
        <f>IF(ISBLANK(Data!#REF!),"",Data!#REF!)</f>
        <v>#REF!</v>
      </c>
      <c r="K38" s="21" t="e">
        <f>IF(ISBLANK(Data!#REF!),"",Data!#REF!)</f>
        <v>#REF!</v>
      </c>
      <c r="L38" s="21" t="e">
        <f>IF(ISBLANK(Data!#REF!),"",Data!#REF!)</f>
        <v>#REF!</v>
      </c>
      <c r="N38" s="46" t="e">
        <f>IF(ISBLANK(Data!#REF!),"",Data!#REF!)</f>
        <v>#REF!</v>
      </c>
      <c r="O38" s="46" t="e">
        <f>IF(ISBLANK(Data!#REF!),"",Data!#REF!)</f>
        <v>#REF!</v>
      </c>
      <c r="P38" s="46" t="e">
        <f>IF(ISBLANK(Data!#REF!),"",Data!#REF!)</f>
        <v>#REF!</v>
      </c>
      <c r="Q38" s="46" t="e">
        <f t="shared" si="0"/>
        <v>#REF!</v>
      </c>
      <c r="R38" s="47" t="e">
        <f>IF(ISBLANK(Data!#REF!),"",Data!#REF!)</f>
        <v>#REF!</v>
      </c>
      <c r="S38" s="33" t="e">
        <f>IF(ISBLANK(Data!#REF!),"",Data!#REF!)</f>
        <v>#REF!</v>
      </c>
      <c r="T38" s="33" t="e">
        <f>IF(ISBLANK(Data!#REF!),"",Data!#REF!)</f>
        <v>#REF!</v>
      </c>
      <c r="U38" s="21" t="e">
        <f>IF(ISBLANK(Data!#REF!),"",Data!#REF!)</f>
        <v>#REF!</v>
      </c>
    </row>
    <row r="39" spans="1:21" x14ac:dyDescent="0.25">
      <c r="A39" s="33" t="e">
        <f>IF(ISBLANK(Data!#REF!),"",YEAR(Data!#REF!))</f>
        <v>#REF!</v>
      </c>
      <c r="B39" s="44" t="e">
        <f>IF(ISBLANK(Data!#REF!),"",Data!#REF!)</f>
        <v>#REF!</v>
      </c>
      <c r="C39" s="45" t="e">
        <f>IF(ISBLANK(Data!#REF!),"",Data!#REF!)</f>
        <v>#REF!</v>
      </c>
      <c r="D39" s="21" t="e">
        <f>IF(ISBLANK(Data!#REF!),"",Data!#REF!)</f>
        <v>#REF!</v>
      </c>
      <c r="E39" s="21" t="e">
        <f>IF(ISBLANK(Data!#REF!),"",Data!#REF!)</f>
        <v>#REF!</v>
      </c>
      <c r="F39" s="33" t="e">
        <f>IF(ISBLANK(Data!#REF!),"",Data!#REF!)</f>
        <v>#REF!</v>
      </c>
      <c r="G39" s="21" t="e">
        <f>IF(ISBLANK(Data!#REF!),"",Data!#REF!)</f>
        <v>#REF!</v>
      </c>
      <c r="H39" s="33" t="e">
        <f>IF(ISBLANK(Data!#REF!),"",Data!#REF!)</f>
        <v>#REF!</v>
      </c>
      <c r="I39" s="33" t="e">
        <f>IF(ISBLANK(Data!#REF!),"",Data!#REF!)</f>
        <v>#REF!</v>
      </c>
      <c r="J39" s="33" t="e">
        <f>IF(ISBLANK(Data!#REF!),"",Data!#REF!)</f>
        <v>#REF!</v>
      </c>
      <c r="K39" s="21" t="e">
        <f>IF(ISBLANK(Data!#REF!),"",Data!#REF!)</f>
        <v>#REF!</v>
      </c>
      <c r="L39" s="21" t="e">
        <f>IF(ISBLANK(Data!#REF!),"",Data!#REF!)</f>
        <v>#REF!</v>
      </c>
      <c r="N39" s="46" t="e">
        <f>IF(ISBLANK(Data!#REF!),"",Data!#REF!)</f>
        <v>#REF!</v>
      </c>
      <c r="O39" s="46" t="e">
        <f>IF(ISBLANK(Data!#REF!),"",Data!#REF!)</f>
        <v>#REF!</v>
      </c>
      <c r="P39" s="46" t="e">
        <f>IF(ISBLANK(Data!#REF!),"",Data!#REF!)</f>
        <v>#REF!</v>
      </c>
      <c r="Q39" s="46" t="e">
        <f t="shared" si="0"/>
        <v>#REF!</v>
      </c>
      <c r="R39" s="47" t="e">
        <f>IF(ISBLANK(Data!#REF!),"",Data!#REF!)</f>
        <v>#REF!</v>
      </c>
      <c r="S39" s="33" t="e">
        <f>IF(ISBLANK(Data!#REF!),"",Data!#REF!)</f>
        <v>#REF!</v>
      </c>
      <c r="T39" s="33" t="e">
        <f>IF(ISBLANK(Data!#REF!),"",Data!#REF!)</f>
        <v>#REF!</v>
      </c>
      <c r="U39" s="21" t="e">
        <f>IF(ISBLANK(Data!#REF!),"",Data!#REF!)</f>
        <v>#REF!</v>
      </c>
    </row>
    <row r="40" spans="1:21" x14ac:dyDescent="0.25">
      <c r="A40" s="33" t="e">
        <f>IF(ISBLANK(Data!#REF!),"",YEAR(Data!#REF!))</f>
        <v>#REF!</v>
      </c>
      <c r="B40" s="44" t="e">
        <f>IF(ISBLANK(Data!#REF!),"",Data!#REF!)</f>
        <v>#REF!</v>
      </c>
      <c r="C40" s="45" t="e">
        <f>IF(ISBLANK(Data!#REF!),"",Data!#REF!)</f>
        <v>#REF!</v>
      </c>
      <c r="D40" s="21" t="e">
        <f>IF(ISBLANK(Data!#REF!),"",Data!#REF!)</f>
        <v>#REF!</v>
      </c>
      <c r="E40" s="21" t="e">
        <f>IF(ISBLANK(Data!#REF!),"",Data!#REF!)</f>
        <v>#REF!</v>
      </c>
      <c r="F40" s="33" t="e">
        <f>IF(ISBLANK(Data!#REF!),"",Data!#REF!)</f>
        <v>#REF!</v>
      </c>
      <c r="G40" s="21" t="e">
        <f>IF(ISBLANK(Data!#REF!),"",Data!#REF!)</f>
        <v>#REF!</v>
      </c>
      <c r="H40" s="33" t="e">
        <f>IF(ISBLANK(Data!#REF!),"",Data!#REF!)</f>
        <v>#REF!</v>
      </c>
      <c r="I40" s="33" t="e">
        <f>IF(ISBLANK(Data!#REF!),"",Data!#REF!)</f>
        <v>#REF!</v>
      </c>
      <c r="J40" s="33" t="e">
        <f>IF(ISBLANK(Data!#REF!),"",Data!#REF!)</f>
        <v>#REF!</v>
      </c>
      <c r="K40" s="21" t="e">
        <f>IF(ISBLANK(Data!#REF!),"",Data!#REF!)</f>
        <v>#REF!</v>
      </c>
      <c r="L40" s="21" t="e">
        <f>IF(ISBLANK(Data!#REF!),"",Data!#REF!)</f>
        <v>#REF!</v>
      </c>
      <c r="N40" s="46" t="e">
        <f>IF(ISBLANK(Data!#REF!),"",Data!#REF!)</f>
        <v>#REF!</v>
      </c>
      <c r="O40" s="46" t="e">
        <f>IF(ISBLANK(Data!#REF!),"",Data!#REF!)</f>
        <v>#REF!</v>
      </c>
      <c r="P40" s="46" t="e">
        <f>IF(ISBLANK(Data!#REF!),"",Data!#REF!)</f>
        <v>#REF!</v>
      </c>
      <c r="Q40" s="46" t="e">
        <f t="shared" si="0"/>
        <v>#REF!</v>
      </c>
      <c r="R40" s="47" t="e">
        <f>IF(ISBLANK(Data!#REF!),"",Data!#REF!)</f>
        <v>#REF!</v>
      </c>
      <c r="S40" s="33" t="e">
        <f>IF(ISBLANK(Data!#REF!),"",Data!#REF!)</f>
        <v>#REF!</v>
      </c>
      <c r="T40" s="33" t="e">
        <f>IF(ISBLANK(Data!#REF!),"",Data!#REF!)</f>
        <v>#REF!</v>
      </c>
      <c r="U40" s="21" t="e">
        <f>IF(ISBLANK(Data!#REF!),"",Data!#REF!)</f>
        <v>#REF!</v>
      </c>
    </row>
    <row r="41" spans="1:21" x14ac:dyDescent="0.25">
      <c r="A41" s="33" t="e">
        <f>IF(ISBLANK(Data!#REF!),"",YEAR(Data!#REF!))</f>
        <v>#REF!</v>
      </c>
      <c r="B41" s="44" t="e">
        <f>IF(ISBLANK(Data!#REF!),"",Data!#REF!)</f>
        <v>#REF!</v>
      </c>
      <c r="C41" s="45" t="e">
        <f>IF(ISBLANK(Data!#REF!),"",Data!#REF!)</f>
        <v>#REF!</v>
      </c>
      <c r="D41" s="21" t="e">
        <f>IF(ISBLANK(Data!#REF!),"",Data!#REF!)</f>
        <v>#REF!</v>
      </c>
      <c r="E41" s="21" t="e">
        <f>IF(ISBLANK(Data!#REF!),"",Data!#REF!)</f>
        <v>#REF!</v>
      </c>
      <c r="F41" s="33" t="e">
        <f>IF(ISBLANK(Data!#REF!),"",Data!#REF!)</f>
        <v>#REF!</v>
      </c>
      <c r="G41" s="21" t="e">
        <f>IF(ISBLANK(Data!#REF!),"",Data!#REF!)</f>
        <v>#REF!</v>
      </c>
      <c r="H41" s="33" t="e">
        <f>IF(ISBLANK(Data!#REF!),"",Data!#REF!)</f>
        <v>#REF!</v>
      </c>
      <c r="I41" s="33" t="e">
        <f>IF(ISBLANK(Data!#REF!),"",Data!#REF!)</f>
        <v>#REF!</v>
      </c>
      <c r="J41" s="33" t="e">
        <f>IF(ISBLANK(Data!#REF!),"",Data!#REF!)</f>
        <v>#REF!</v>
      </c>
      <c r="K41" s="21" t="e">
        <f>IF(ISBLANK(Data!#REF!),"",Data!#REF!)</f>
        <v>#REF!</v>
      </c>
      <c r="L41" s="21" t="e">
        <f>IF(ISBLANK(Data!#REF!),"",Data!#REF!)</f>
        <v>#REF!</v>
      </c>
      <c r="N41" s="46" t="e">
        <f>IF(ISBLANK(Data!#REF!),"",Data!#REF!)</f>
        <v>#REF!</v>
      </c>
      <c r="O41" s="46" t="e">
        <f>IF(ISBLANK(Data!#REF!),"",Data!#REF!)</f>
        <v>#REF!</v>
      </c>
      <c r="P41" s="46" t="e">
        <f>IF(ISBLANK(Data!#REF!),"",Data!#REF!)</f>
        <v>#REF!</v>
      </c>
      <c r="Q41" s="46" t="e">
        <f t="shared" si="0"/>
        <v>#REF!</v>
      </c>
      <c r="R41" s="47" t="e">
        <f>IF(ISBLANK(Data!#REF!),"",Data!#REF!)</f>
        <v>#REF!</v>
      </c>
      <c r="S41" s="33" t="e">
        <f>IF(ISBLANK(Data!#REF!),"",Data!#REF!)</f>
        <v>#REF!</v>
      </c>
      <c r="T41" s="33" t="e">
        <f>IF(ISBLANK(Data!#REF!),"",Data!#REF!)</f>
        <v>#REF!</v>
      </c>
      <c r="U41" s="21" t="e">
        <f>IF(ISBLANK(Data!#REF!),"",Data!#REF!)</f>
        <v>#REF!</v>
      </c>
    </row>
    <row r="42" spans="1:21" x14ac:dyDescent="0.25">
      <c r="A42" s="33" t="e">
        <f>IF(ISBLANK(Data!#REF!),"",YEAR(Data!#REF!))</f>
        <v>#REF!</v>
      </c>
      <c r="B42" s="44" t="e">
        <f>IF(ISBLANK(Data!#REF!),"",Data!#REF!)</f>
        <v>#REF!</v>
      </c>
      <c r="C42" s="45" t="e">
        <f>IF(ISBLANK(Data!#REF!),"",Data!#REF!)</f>
        <v>#REF!</v>
      </c>
      <c r="D42" s="21" t="e">
        <f>IF(ISBLANK(Data!#REF!),"",Data!#REF!)</f>
        <v>#REF!</v>
      </c>
      <c r="E42" s="21" t="e">
        <f>IF(ISBLANK(Data!#REF!),"",Data!#REF!)</f>
        <v>#REF!</v>
      </c>
      <c r="F42" s="33" t="e">
        <f>IF(ISBLANK(Data!#REF!),"",Data!#REF!)</f>
        <v>#REF!</v>
      </c>
      <c r="G42" s="21" t="e">
        <f>IF(ISBLANK(Data!#REF!),"",Data!#REF!)</f>
        <v>#REF!</v>
      </c>
      <c r="H42" s="33" t="e">
        <f>IF(ISBLANK(Data!#REF!),"",Data!#REF!)</f>
        <v>#REF!</v>
      </c>
      <c r="I42" s="33" t="e">
        <f>IF(ISBLANK(Data!#REF!),"",Data!#REF!)</f>
        <v>#REF!</v>
      </c>
      <c r="J42" s="33" t="e">
        <f>IF(ISBLANK(Data!#REF!),"",Data!#REF!)</f>
        <v>#REF!</v>
      </c>
      <c r="K42" s="21" t="e">
        <f>IF(ISBLANK(Data!#REF!),"",Data!#REF!)</f>
        <v>#REF!</v>
      </c>
      <c r="L42" s="21" t="e">
        <f>IF(ISBLANK(Data!#REF!),"",Data!#REF!)</f>
        <v>#REF!</v>
      </c>
      <c r="N42" s="46" t="e">
        <f>IF(ISBLANK(Data!#REF!),"",Data!#REF!)</f>
        <v>#REF!</v>
      </c>
      <c r="O42" s="46" t="e">
        <f>IF(ISBLANK(Data!#REF!),"",Data!#REF!)</f>
        <v>#REF!</v>
      </c>
      <c r="P42" s="46" t="e">
        <f>IF(ISBLANK(Data!#REF!),"",Data!#REF!)</f>
        <v>#REF!</v>
      </c>
      <c r="Q42" s="46" t="e">
        <f t="shared" si="0"/>
        <v>#REF!</v>
      </c>
      <c r="R42" s="47" t="e">
        <f>IF(ISBLANK(Data!#REF!),"",Data!#REF!)</f>
        <v>#REF!</v>
      </c>
      <c r="S42" s="33" t="e">
        <f>IF(ISBLANK(Data!#REF!),"",Data!#REF!)</f>
        <v>#REF!</v>
      </c>
      <c r="T42" s="33" t="e">
        <f>IF(ISBLANK(Data!#REF!),"",Data!#REF!)</f>
        <v>#REF!</v>
      </c>
      <c r="U42" s="21" t="e">
        <f>IF(ISBLANK(Data!#REF!),"",Data!#REF!)</f>
        <v>#REF!</v>
      </c>
    </row>
    <row r="43" spans="1:21" x14ac:dyDescent="0.25">
      <c r="A43" s="33" t="e">
        <f>IF(ISBLANK(Data!#REF!),"",YEAR(Data!#REF!))</f>
        <v>#REF!</v>
      </c>
      <c r="B43" s="44" t="e">
        <f>IF(ISBLANK(Data!#REF!),"",Data!#REF!)</f>
        <v>#REF!</v>
      </c>
      <c r="C43" s="45" t="e">
        <f>IF(ISBLANK(Data!#REF!),"",Data!#REF!)</f>
        <v>#REF!</v>
      </c>
      <c r="D43" s="21" t="e">
        <f>IF(ISBLANK(Data!#REF!),"",Data!#REF!)</f>
        <v>#REF!</v>
      </c>
      <c r="E43" s="21" t="e">
        <f>IF(ISBLANK(Data!#REF!),"",Data!#REF!)</f>
        <v>#REF!</v>
      </c>
      <c r="F43" s="33" t="e">
        <f>IF(ISBLANK(Data!#REF!),"",Data!#REF!)</f>
        <v>#REF!</v>
      </c>
      <c r="G43" s="21" t="e">
        <f>IF(ISBLANK(Data!#REF!),"",Data!#REF!)</f>
        <v>#REF!</v>
      </c>
      <c r="H43" s="33" t="e">
        <f>IF(ISBLANK(Data!#REF!),"",Data!#REF!)</f>
        <v>#REF!</v>
      </c>
      <c r="I43" s="33" t="e">
        <f>IF(ISBLANK(Data!#REF!),"",Data!#REF!)</f>
        <v>#REF!</v>
      </c>
      <c r="J43" s="33" t="e">
        <f>IF(ISBLANK(Data!#REF!),"",Data!#REF!)</f>
        <v>#REF!</v>
      </c>
      <c r="K43" s="21" t="e">
        <f>IF(ISBLANK(Data!#REF!),"",Data!#REF!)</f>
        <v>#REF!</v>
      </c>
      <c r="L43" s="21" t="e">
        <f>IF(ISBLANK(Data!#REF!),"",Data!#REF!)</f>
        <v>#REF!</v>
      </c>
      <c r="N43" s="46" t="e">
        <f>IF(ISBLANK(Data!#REF!),"",Data!#REF!)</f>
        <v>#REF!</v>
      </c>
      <c r="O43" s="46" t="e">
        <f>IF(ISBLANK(Data!#REF!),"",Data!#REF!)</f>
        <v>#REF!</v>
      </c>
      <c r="P43" s="46" t="e">
        <f>IF(ISBLANK(Data!#REF!),"",Data!#REF!)</f>
        <v>#REF!</v>
      </c>
      <c r="Q43" s="46" t="e">
        <f t="shared" si="0"/>
        <v>#REF!</v>
      </c>
      <c r="R43" s="47" t="e">
        <f>IF(ISBLANK(Data!#REF!),"",Data!#REF!)</f>
        <v>#REF!</v>
      </c>
      <c r="S43" s="33" t="e">
        <f>IF(ISBLANK(Data!#REF!),"",Data!#REF!)</f>
        <v>#REF!</v>
      </c>
      <c r="T43" s="33" t="e">
        <f>IF(ISBLANK(Data!#REF!),"",Data!#REF!)</f>
        <v>#REF!</v>
      </c>
      <c r="U43" s="21" t="e">
        <f>IF(ISBLANK(Data!#REF!),"",Data!#REF!)</f>
        <v>#REF!</v>
      </c>
    </row>
    <row r="44" spans="1:21" x14ac:dyDescent="0.25">
      <c r="A44" s="33" t="e">
        <f>IF(ISBLANK(Data!#REF!),"",YEAR(Data!#REF!))</f>
        <v>#REF!</v>
      </c>
      <c r="B44" s="44" t="e">
        <f>IF(ISBLANK(Data!#REF!),"",Data!#REF!)</f>
        <v>#REF!</v>
      </c>
      <c r="C44" s="45" t="e">
        <f>IF(ISBLANK(Data!#REF!),"",Data!#REF!)</f>
        <v>#REF!</v>
      </c>
      <c r="D44" s="21" t="e">
        <f>IF(ISBLANK(Data!#REF!),"",Data!#REF!)</f>
        <v>#REF!</v>
      </c>
      <c r="E44" s="21" t="e">
        <f>IF(ISBLANK(Data!#REF!),"",Data!#REF!)</f>
        <v>#REF!</v>
      </c>
      <c r="F44" s="33" t="e">
        <f>IF(ISBLANK(Data!#REF!),"",Data!#REF!)</f>
        <v>#REF!</v>
      </c>
      <c r="G44" s="21" t="e">
        <f>IF(ISBLANK(Data!#REF!),"",Data!#REF!)</f>
        <v>#REF!</v>
      </c>
      <c r="H44" s="33" t="e">
        <f>IF(ISBLANK(Data!#REF!),"",Data!#REF!)</f>
        <v>#REF!</v>
      </c>
      <c r="I44" s="33" t="e">
        <f>IF(ISBLANK(Data!#REF!),"",Data!#REF!)</f>
        <v>#REF!</v>
      </c>
      <c r="J44" s="33" t="e">
        <f>IF(ISBLANK(Data!#REF!),"",Data!#REF!)</f>
        <v>#REF!</v>
      </c>
      <c r="K44" s="21" t="e">
        <f>IF(ISBLANK(Data!#REF!),"",Data!#REF!)</f>
        <v>#REF!</v>
      </c>
      <c r="L44" s="21" t="e">
        <f>IF(ISBLANK(Data!#REF!),"",Data!#REF!)</f>
        <v>#REF!</v>
      </c>
      <c r="N44" s="46" t="e">
        <f>IF(ISBLANK(Data!#REF!),"",Data!#REF!)</f>
        <v>#REF!</v>
      </c>
      <c r="O44" s="46" t="e">
        <f>IF(ISBLANK(Data!#REF!),"",Data!#REF!)</f>
        <v>#REF!</v>
      </c>
      <c r="P44" s="46" t="e">
        <f>IF(ISBLANK(Data!#REF!),"",Data!#REF!)</f>
        <v>#REF!</v>
      </c>
      <c r="Q44" s="46" t="e">
        <f t="shared" si="0"/>
        <v>#REF!</v>
      </c>
      <c r="R44" s="47" t="e">
        <f>IF(ISBLANK(Data!#REF!),"",Data!#REF!)</f>
        <v>#REF!</v>
      </c>
      <c r="S44" s="33" t="e">
        <f>IF(ISBLANK(Data!#REF!),"",Data!#REF!)</f>
        <v>#REF!</v>
      </c>
      <c r="T44" s="33" t="e">
        <f>IF(ISBLANK(Data!#REF!),"",Data!#REF!)</f>
        <v>#REF!</v>
      </c>
      <c r="U44" s="21" t="e">
        <f>IF(ISBLANK(Data!#REF!),"",Data!#REF!)</f>
        <v>#REF!</v>
      </c>
    </row>
    <row r="45" spans="1:21" x14ac:dyDescent="0.25">
      <c r="A45" s="33" t="e">
        <f>IF(ISBLANK(Data!#REF!),"",YEAR(Data!#REF!))</f>
        <v>#REF!</v>
      </c>
      <c r="B45" s="44" t="e">
        <f>IF(ISBLANK(Data!#REF!),"",Data!#REF!)</f>
        <v>#REF!</v>
      </c>
      <c r="C45" s="45" t="e">
        <f>IF(ISBLANK(Data!#REF!),"",Data!#REF!)</f>
        <v>#REF!</v>
      </c>
      <c r="D45" s="21" t="e">
        <f>IF(ISBLANK(Data!#REF!),"",Data!#REF!)</f>
        <v>#REF!</v>
      </c>
      <c r="E45" s="21" t="e">
        <f>IF(ISBLANK(Data!#REF!),"",Data!#REF!)</f>
        <v>#REF!</v>
      </c>
      <c r="F45" s="33" t="e">
        <f>IF(ISBLANK(Data!#REF!),"",Data!#REF!)</f>
        <v>#REF!</v>
      </c>
      <c r="G45" s="21" t="e">
        <f>IF(ISBLANK(Data!#REF!),"",Data!#REF!)</f>
        <v>#REF!</v>
      </c>
      <c r="H45" s="33" t="e">
        <f>IF(ISBLANK(Data!#REF!),"",Data!#REF!)</f>
        <v>#REF!</v>
      </c>
      <c r="I45" s="33" t="e">
        <f>IF(ISBLANK(Data!#REF!),"",Data!#REF!)</f>
        <v>#REF!</v>
      </c>
      <c r="J45" s="33" t="e">
        <f>IF(ISBLANK(Data!#REF!),"",Data!#REF!)</f>
        <v>#REF!</v>
      </c>
      <c r="K45" s="21" t="e">
        <f>IF(ISBLANK(Data!#REF!),"",Data!#REF!)</f>
        <v>#REF!</v>
      </c>
      <c r="L45" s="21" t="e">
        <f>IF(ISBLANK(Data!#REF!),"",Data!#REF!)</f>
        <v>#REF!</v>
      </c>
      <c r="N45" s="46" t="e">
        <f>IF(ISBLANK(Data!#REF!),"",Data!#REF!)</f>
        <v>#REF!</v>
      </c>
      <c r="O45" s="46" t="e">
        <f>IF(ISBLANK(Data!#REF!),"",Data!#REF!)</f>
        <v>#REF!</v>
      </c>
      <c r="P45" s="46" t="e">
        <f>IF(ISBLANK(Data!#REF!),"",Data!#REF!)</f>
        <v>#REF!</v>
      </c>
      <c r="Q45" s="46" t="e">
        <f t="shared" si="0"/>
        <v>#REF!</v>
      </c>
      <c r="R45" s="47" t="e">
        <f>IF(ISBLANK(Data!#REF!),"",Data!#REF!)</f>
        <v>#REF!</v>
      </c>
      <c r="S45" s="33" t="e">
        <f>IF(ISBLANK(Data!#REF!),"",Data!#REF!)</f>
        <v>#REF!</v>
      </c>
      <c r="T45" s="33" t="e">
        <f>IF(ISBLANK(Data!#REF!),"",Data!#REF!)</f>
        <v>#REF!</v>
      </c>
      <c r="U45" s="21" t="e">
        <f>IF(ISBLANK(Data!#REF!),"",Data!#REF!)</f>
        <v>#REF!</v>
      </c>
    </row>
    <row r="46" spans="1:21" x14ac:dyDescent="0.25">
      <c r="A46" s="33" t="e">
        <f>IF(ISBLANK(Data!#REF!),"",YEAR(Data!#REF!))</f>
        <v>#REF!</v>
      </c>
      <c r="B46" s="44" t="e">
        <f>IF(ISBLANK(Data!#REF!),"",Data!#REF!)</f>
        <v>#REF!</v>
      </c>
      <c r="C46" s="45" t="e">
        <f>IF(ISBLANK(Data!#REF!),"",Data!#REF!)</f>
        <v>#REF!</v>
      </c>
      <c r="D46" s="21" t="e">
        <f>IF(ISBLANK(Data!#REF!),"",Data!#REF!)</f>
        <v>#REF!</v>
      </c>
      <c r="E46" s="21" t="e">
        <f>IF(ISBLANK(Data!#REF!),"",Data!#REF!)</f>
        <v>#REF!</v>
      </c>
      <c r="F46" s="33" t="e">
        <f>IF(ISBLANK(Data!#REF!),"",Data!#REF!)</f>
        <v>#REF!</v>
      </c>
      <c r="G46" s="21" t="e">
        <f>IF(ISBLANK(Data!#REF!),"",Data!#REF!)</f>
        <v>#REF!</v>
      </c>
      <c r="H46" s="33" t="e">
        <f>IF(ISBLANK(Data!#REF!),"",Data!#REF!)</f>
        <v>#REF!</v>
      </c>
      <c r="I46" s="33" t="e">
        <f>IF(ISBLANK(Data!#REF!),"",Data!#REF!)</f>
        <v>#REF!</v>
      </c>
      <c r="J46" s="33" t="e">
        <f>IF(ISBLANK(Data!#REF!),"",Data!#REF!)</f>
        <v>#REF!</v>
      </c>
      <c r="K46" s="21" t="e">
        <f>IF(ISBLANK(Data!#REF!),"",Data!#REF!)</f>
        <v>#REF!</v>
      </c>
      <c r="L46" s="21" t="e">
        <f>IF(ISBLANK(Data!#REF!),"",Data!#REF!)</f>
        <v>#REF!</v>
      </c>
      <c r="N46" s="46" t="e">
        <f>IF(ISBLANK(Data!#REF!),"",Data!#REF!)</f>
        <v>#REF!</v>
      </c>
      <c r="O46" s="46" t="e">
        <f>IF(ISBLANK(Data!#REF!),"",Data!#REF!)</f>
        <v>#REF!</v>
      </c>
      <c r="P46" s="46" t="e">
        <f>IF(ISBLANK(Data!#REF!),"",Data!#REF!)</f>
        <v>#REF!</v>
      </c>
      <c r="Q46" s="46" t="e">
        <f t="shared" si="0"/>
        <v>#REF!</v>
      </c>
      <c r="R46" s="47" t="e">
        <f>IF(ISBLANK(Data!#REF!),"",Data!#REF!)</f>
        <v>#REF!</v>
      </c>
      <c r="S46" s="33" t="e">
        <f>IF(ISBLANK(Data!#REF!),"",Data!#REF!)</f>
        <v>#REF!</v>
      </c>
      <c r="T46" s="33" t="e">
        <f>IF(ISBLANK(Data!#REF!),"",Data!#REF!)</f>
        <v>#REF!</v>
      </c>
      <c r="U46" s="21" t="e">
        <f>IF(ISBLANK(Data!#REF!),"",Data!#REF!)</f>
        <v>#REF!</v>
      </c>
    </row>
    <row r="47" spans="1:21" x14ac:dyDescent="0.25">
      <c r="A47" s="33" t="e">
        <f>IF(ISBLANK(Data!#REF!),"",YEAR(Data!#REF!))</f>
        <v>#REF!</v>
      </c>
      <c r="B47" s="44" t="e">
        <f>IF(ISBLANK(Data!#REF!),"",Data!#REF!)</f>
        <v>#REF!</v>
      </c>
      <c r="C47" s="45" t="e">
        <f>IF(ISBLANK(Data!#REF!),"",Data!#REF!)</f>
        <v>#REF!</v>
      </c>
      <c r="D47" s="21" t="e">
        <f>IF(ISBLANK(Data!#REF!),"",Data!#REF!)</f>
        <v>#REF!</v>
      </c>
      <c r="E47" s="21" t="e">
        <f>IF(ISBLANK(Data!#REF!),"",Data!#REF!)</f>
        <v>#REF!</v>
      </c>
      <c r="F47" s="33" t="e">
        <f>IF(ISBLANK(Data!#REF!),"",Data!#REF!)</f>
        <v>#REF!</v>
      </c>
      <c r="G47" s="21" t="e">
        <f>IF(ISBLANK(Data!#REF!),"",Data!#REF!)</f>
        <v>#REF!</v>
      </c>
      <c r="H47" s="33" t="e">
        <f>IF(ISBLANK(Data!#REF!),"",Data!#REF!)</f>
        <v>#REF!</v>
      </c>
      <c r="I47" s="33" t="e">
        <f>IF(ISBLANK(Data!#REF!),"",Data!#REF!)</f>
        <v>#REF!</v>
      </c>
      <c r="J47" s="33" t="e">
        <f>IF(ISBLANK(Data!#REF!),"",Data!#REF!)</f>
        <v>#REF!</v>
      </c>
      <c r="K47" s="21" t="e">
        <f>IF(ISBLANK(Data!#REF!),"",Data!#REF!)</f>
        <v>#REF!</v>
      </c>
      <c r="L47" s="21" t="e">
        <f>IF(ISBLANK(Data!#REF!),"",Data!#REF!)</f>
        <v>#REF!</v>
      </c>
      <c r="N47" s="46" t="e">
        <f>IF(ISBLANK(Data!#REF!),"",Data!#REF!)</f>
        <v>#REF!</v>
      </c>
      <c r="O47" s="46" t="e">
        <f>IF(ISBLANK(Data!#REF!),"",Data!#REF!)</f>
        <v>#REF!</v>
      </c>
      <c r="P47" s="46" t="e">
        <f>IF(ISBLANK(Data!#REF!),"",Data!#REF!)</f>
        <v>#REF!</v>
      </c>
      <c r="Q47" s="46" t="e">
        <f t="shared" si="0"/>
        <v>#REF!</v>
      </c>
      <c r="R47" s="47" t="e">
        <f>IF(ISBLANK(Data!#REF!),"",Data!#REF!)</f>
        <v>#REF!</v>
      </c>
      <c r="S47" s="33" t="e">
        <f>IF(ISBLANK(Data!#REF!),"",Data!#REF!)</f>
        <v>#REF!</v>
      </c>
      <c r="T47" s="33" t="e">
        <f>IF(ISBLANK(Data!#REF!),"",Data!#REF!)</f>
        <v>#REF!</v>
      </c>
      <c r="U47" s="21" t="e">
        <f>IF(ISBLANK(Data!#REF!),"",Data!#REF!)</f>
        <v>#REF!</v>
      </c>
    </row>
    <row r="48" spans="1:21" x14ac:dyDescent="0.25">
      <c r="A48" s="33" t="e">
        <f>IF(ISBLANK(Data!#REF!),"",YEAR(Data!#REF!))</f>
        <v>#REF!</v>
      </c>
      <c r="B48" s="44" t="e">
        <f>IF(ISBLANK(Data!#REF!),"",Data!#REF!)</f>
        <v>#REF!</v>
      </c>
      <c r="C48" s="45" t="e">
        <f>IF(ISBLANK(Data!#REF!),"",Data!#REF!)</f>
        <v>#REF!</v>
      </c>
      <c r="D48" s="21" t="e">
        <f>IF(ISBLANK(Data!#REF!),"",Data!#REF!)</f>
        <v>#REF!</v>
      </c>
      <c r="E48" s="21" t="e">
        <f>IF(ISBLANK(Data!#REF!),"",Data!#REF!)</f>
        <v>#REF!</v>
      </c>
      <c r="F48" s="33" t="e">
        <f>IF(ISBLANK(Data!#REF!),"",Data!#REF!)</f>
        <v>#REF!</v>
      </c>
      <c r="G48" s="21" t="e">
        <f>IF(ISBLANK(Data!#REF!),"",Data!#REF!)</f>
        <v>#REF!</v>
      </c>
      <c r="H48" s="33" t="e">
        <f>IF(ISBLANK(Data!#REF!),"",Data!#REF!)</f>
        <v>#REF!</v>
      </c>
      <c r="I48" s="33" t="e">
        <f>IF(ISBLANK(Data!#REF!),"",Data!#REF!)</f>
        <v>#REF!</v>
      </c>
      <c r="J48" s="33" t="e">
        <f>IF(ISBLANK(Data!#REF!),"",Data!#REF!)</f>
        <v>#REF!</v>
      </c>
      <c r="K48" s="21" t="e">
        <f>IF(ISBLANK(Data!#REF!),"",Data!#REF!)</f>
        <v>#REF!</v>
      </c>
      <c r="L48" s="21" t="e">
        <f>IF(ISBLANK(Data!#REF!),"",Data!#REF!)</f>
        <v>#REF!</v>
      </c>
      <c r="N48" s="46" t="e">
        <f>IF(ISBLANK(Data!#REF!),"",Data!#REF!)</f>
        <v>#REF!</v>
      </c>
      <c r="O48" s="46" t="e">
        <f>IF(ISBLANK(Data!#REF!),"",Data!#REF!)</f>
        <v>#REF!</v>
      </c>
      <c r="P48" s="46" t="e">
        <f>IF(ISBLANK(Data!#REF!),"",Data!#REF!)</f>
        <v>#REF!</v>
      </c>
      <c r="Q48" s="46" t="e">
        <f t="shared" si="0"/>
        <v>#REF!</v>
      </c>
      <c r="R48" s="47" t="e">
        <f>IF(ISBLANK(Data!#REF!),"",Data!#REF!)</f>
        <v>#REF!</v>
      </c>
      <c r="S48" s="33" t="e">
        <f>IF(ISBLANK(Data!#REF!),"",Data!#REF!)</f>
        <v>#REF!</v>
      </c>
      <c r="T48" s="33" t="e">
        <f>IF(ISBLANK(Data!#REF!),"",Data!#REF!)</f>
        <v>#REF!</v>
      </c>
      <c r="U48" s="21" t="e">
        <f>IF(ISBLANK(Data!#REF!),"",Data!#REF!)</f>
        <v>#REF!</v>
      </c>
    </row>
    <row r="49" spans="1:21" x14ac:dyDescent="0.25">
      <c r="A49" s="33" t="e">
        <f>IF(ISBLANK(Data!#REF!),"",YEAR(Data!#REF!))</f>
        <v>#REF!</v>
      </c>
      <c r="B49" s="44" t="e">
        <f>IF(ISBLANK(Data!#REF!),"",Data!#REF!)</f>
        <v>#REF!</v>
      </c>
      <c r="C49" s="45" t="e">
        <f>IF(ISBLANK(Data!#REF!),"",Data!#REF!)</f>
        <v>#REF!</v>
      </c>
      <c r="D49" s="21" t="e">
        <f>IF(ISBLANK(Data!#REF!),"",Data!#REF!)</f>
        <v>#REF!</v>
      </c>
      <c r="E49" s="21" t="e">
        <f>IF(ISBLANK(Data!#REF!),"",Data!#REF!)</f>
        <v>#REF!</v>
      </c>
      <c r="F49" s="33" t="e">
        <f>IF(ISBLANK(Data!#REF!),"",Data!#REF!)</f>
        <v>#REF!</v>
      </c>
      <c r="G49" s="21" t="e">
        <f>IF(ISBLANK(Data!#REF!),"",Data!#REF!)</f>
        <v>#REF!</v>
      </c>
      <c r="H49" s="33" t="e">
        <f>IF(ISBLANK(Data!#REF!),"",Data!#REF!)</f>
        <v>#REF!</v>
      </c>
      <c r="I49" s="33" t="e">
        <f>IF(ISBLANK(Data!#REF!),"",Data!#REF!)</f>
        <v>#REF!</v>
      </c>
      <c r="J49" s="33" t="e">
        <f>IF(ISBLANK(Data!#REF!),"",Data!#REF!)</f>
        <v>#REF!</v>
      </c>
      <c r="K49" s="21" t="e">
        <f>IF(ISBLANK(Data!#REF!),"",Data!#REF!)</f>
        <v>#REF!</v>
      </c>
      <c r="L49" s="21" t="e">
        <f>IF(ISBLANK(Data!#REF!),"",Data!#REF!)</f>
        <v>#REF!</v>
      </c>
      <c r="N49" s="46" t="e">
        <f>IF(ISBLANK(Data!#REF!),"",Data!#REF!)</f>
        <v>#REF!</v>
      </c>
      <c r="O49" s="46" t="e">
        <f>IF(ISBLANK(Data!#REF!),"",Data!#REF!)</f>
        <v>#REF!</v>
      </c>
      <c r="P49" s="46" t="e">
        <f>IF(ISBLANK(Data!#REF!),"",Data!#REF!)</f>
        <v>#REF!</v>
      </c>
      <c r="Q49" s="46" t="e">
        <f t="shared" si="0"/>
        <v>#REF!</v>
      </c>
      <c r="R49" s="47" t="e">
        <f>IF(ISBLANK(Data!#REF!),"",Data!#REF!)</f>
        <v>#REF!</v>
      </c>
      <c r="S49" s="33" t="e">
        <f>IF(ISBLANK(Data!#REF!),"",Data!#REF!)</f>
        <v>#REF!</v>
      </c>
      <c r="T49" s="33" t="e">
        <f>IF(ISBLANK(Data!#REF!),"",Data!#REF!)</f>
        <v>#REF!</v>
      </c>
      <c r="U49" s="21" t="e">
        <f>IF(ISBLANK(Data!#REF!),"",Data!#REF!)</f>
        <v>#REF!</v>
      </c>
    </row>
    <row r="50" spans="1:21" x14ac:dyDescent="0.25">
      <c r="A50" s="33" t="e">
        <f>IF(ISBLANK(Data!#REF!),"",YEAR(Data!#REF!))</f>
        <v>#REF!</v>
      </c>
      <c r="B50" s="44" t="e">
        <f>IF(ISBLANK(Data!#REF!),"",Data!#REF!)</f>
        <v>#REF!</v>
      </c>
      <c r="C50" s="45" t="e">
        <f>IF(ISBLANK(Data!#REF!),"",Data!#REF!)</f>
        <v>#REF!</v>
      </c>
      <c r="D50" s="21" t="e">
        <f>IF(ISBLANK(Data!#REF!),"",Data!#REF!)</f>
        <v>#REF!</v>
      </c>
      <c r="E50" s="21" t="e">
        <f>IF(ISBLANK(Data!#REF!),"",Data!#REF!)</f>
        <v>#REF!</v>
      </c>
      <c r="F50" s="33" t="e">
        <f>IF(ISBLANK(Data!#REF!),"",Data!#REF!)</f>
        <v>#REF!</v>
      </c>
      <c r="G50" s="21" t="e">
        <f>IF(ISBLANK(Data!#REF!),"",Data!#REF!)</f>
        <v>#REF!</v>
      </c>
      <c r="H50" s="33" t="e">
        <f>IF(ISBLANK(Data!#REF!),"",Data!#REF!)</f>
        <v>#REF!</v>
      </c>
      <c r="I50" s="33" t="e">
        <f>IF(ISBLANK(Data!#REF!),"",Data!#REF!)</f>
        <v>#REF!</v>
      </c>
      <c r="J50" s="33" t="e">
        <f>IF(ISBLANK(Data!#REF!),"",Data!#REF!)</f>
        <v>#REF!</v>
      </c>
      <c r="K50" s="21" t="e">
        <f>IF(ISBLANK(Data!#REF!),"",Data!#REF!)</f>
        <v>#REF!</v>
      </c>
      <c r="L50" s="21" t="e">
        <f>IF(ISBLANK(Data!#REF!),"",Data!#REF!)</f>
        <v>#REF!</v>
      </c>
      <c r="N50" s="46" t="e">
        <f>IF(ISBLANK(Data!#REF!),"",Data!#REF!)</f>
        <v>#REF!</v>
      </c>
      <c r="O50" s="46" t="e">
        <f>IF(ISBLANK(Data!#REF!),"",Data!#REF!)</f>
        <v>#REF!</v>
      </c>
      <c r="P50" s="46" t="e">
        <f>IF(ISBLANK(Data!#REF!),"",Data!#REF!)</f>
        <v>#REF!</v>
      </c>
      <c r="Q50" s="46" t="e">
        <f t="shared" si="0"/>
        <v>#REF!</v>
      </c>
      <c r="R50" s="47" t="e">
        <f>IF(ISBLANK(Data!#REF!),"",Data!#REF!)</f>
        <v>#REF!</v>
      </c>
      <c r="S50" s="33" t="e">
        <f>IF(ISBLANK(Data!#REF!),"",Data!#REF!)</f>
        <v>#REF!</v>
      </c>
      <c r="T50" s="33" t="e">
        <f>IF(ISBLANK(Data!#REF!),"",Data!#REF!)</f>
        <v>#REF!</v>
      </c>
      <c r="U50" s="21" t="e">
        <f>IF(ISBLANK(Data!#REF!),"",Data!#REF!)</f>
        <v>#REF!</v>
      </c>
    </row>
    <row r="51" spans="1:21" x14ac:dyDescent="0.25">
      <c r="A51" s="33" t="e">
        <f>IF(ISBLANK(Data!#REF!),"",YEAR(Data!#REF!))</f>
        <v>#REF!</v>
      </c>
      <c r="B51" s="44" t="e">
        <f>IF(ISBLANK(Data!#REF!),"",Data!#REF!)</f>
        <v>#REF!</v>
      </c>
      <c r="C51" s="45" t="e">
        <f>IF(ISBLANK(Data!#REF!),"",Data!#REF!)</f>
        <v>#REF!</v>
      </c>
      <c r="D51" s="21" t="e">
        <f>IF(ISBLANK(Data!#REF!),"",Data!#REF!)</f>
        <v>#REF!</v>
      </c>
      <c r="E51" s="21" t="e">
        <f>IF(ISBLANK(Data!#REF!),"",Data!#REF!)</f>
        <v>#REF!</v>
      </c>
      <c r="F51" s="33" t="e">
        <f>IF(ISBLANK(Data!#REF!),"",Data!#REF!)</f>
        <v>#REF!</v>
      </c>
      <c r="G51" s="21" t="e">
        <f>IF(ISBLANK(Data!#REF!),"",Data!#REF!)</f>
        <v>#REF!</v>
      </c>
      <c r="H51" s="33" t="e">
        <f>IF(ISBLANK(Data!#REF!),"",Data!#REF!)</f>
        <v>#REF!</v>
      </c>
      <c r="I51" s="33" t="e">
        <f>IF(ISBLANK(Data!#REF!),"",Data!#REF!)</f>
        <v>#REF!</v>
      </c>
      <c r="J51" s="33" t="e">
        <f>IF(ISBLANK(Data!#REF!),"",Data!#REF!)</f>
        <v>#REF!</v>
      </c>
      <c r="K51" s="21" t="e">
        <f>IF(ISBLANK(Data!#REF!),"",Data!#REF!)</f>
        <v>#REF!</v>
      </c>
      <c r="L51" s="21" t="e">
        <f>IF(ISBLANK(Data!#REF!),"",Data!#REF!)</f>
        <v>#REF!</v>
      </c>
      <c r="N51" s="46" t="e">
        <f>IF(ISBLANK(Data!#REF!),"",Data!#REF!)</f>
        <v>#REF!</v>
      </c>
      <c r="O51" s="46" t="e">
        <f>IF(ISBLANK(Data!#REF!),"",Data!#REF!)</f>
        <v>#REF!</v>
      </c>
      <c r="P51" s="46" t="e">
        <f>IF(ISBLANK(Data!#REF!),"",Data!#REF!)</f>
        <v>#REF!</v>
      </c>
      <c r="Q51" s="46" t="e">
        <f t="shared" si="0"/>
        <v>#REF!</v>
      </c>
      <c r="R51" s="47" t="e">
        <f>IF(ISBLANK(Data!#REF!),"",Data!#REF!)</f>
        <v>#REF!</v>
      </c>
      <c r="S51" s="33" t="e">
        <f>IF(ISBLANK(Data!#REF!),"",Data!#REF!)</f>
        <v>#REF!</v>
      </c>
      <c r="T51" s="33" t="e">
        <f>IF(ISBLANK(Data!#REF!),"",Data!#REF!)</f>
        <v>#REF!</v>
      </c>
      <c r="U51" s="21" t="e">
        <f>IF(ISBLANK(Data!#REF!),"",Data!#REF!)</f>
        <v>#REF!</v>
      </c>
    </row>
    <row r="52" spans="1:21" x14ac:dyDescent="0.25">
      <c r="A52" s="33" t="e">
        <f>IF(ISBLANK(Data!#REF!),"",YEAR(Data!#REF!))</f>
        <v>#REF!</v>
      </c>
      <c r="B52" s="44" t="e">
        <f>IF(ISBLANK(Data!#REF!),"",Data!#REF!)</f>
        <v>#REF!</v>
      </c>
      <c r="C52" s="45" t="e">
        <f>IF(ISBLANK(Data!#REF!),"",Data!#REF!)</f>
        <v>#REF!</v>
      </c>
      <c r="D52" s="21" t="e">
        <f>IF(ISBLANK(Data!#REF!),"",Data!#REF!)</f>
        <v>#REF!</v>
      </c>
      <c r="E52" s="21" t="e">
        <f>IF(ISBLANK(Data!#REF!),"",Data!#REF!)</f>
        <v>#REF!</v>
      </c>
      <c r="F52" s="33" t="e">
        <f>IF(ISBLANK(Data!#REF!),"",Data!#REF!)</f>
        <v>#REF!</v>
      </c>
      <c r="G52" s="21" t="e">
        <f>IF(ISBLANK(Data!#REF!),"",Data!#REF!)</f>
        <v>#REF!</v>
      </c>
      <c r="H52" s="33" t="e">
        <f>IF(ISBLANK(Data!#REF!),"",Data!#REF!)</f>
        <v>#REF!</v>
      </c>
      <c r="I52" s="33" t="e">
        <f>IF(ISBLANK(Data!#REF!),"",Data!#REF!)</f>
        <v>#REF!</v>
      </c>
      <c r="J52" s="33" t="e">
        <f>IF(ISBLANK(Data!#REF!),"",Data!#REF!)</f>
        <v>#REF!</v>
      </c>
      <c r="K52" s="21" t="e">
        <f>IF(ISBLANK(Data!#REF!),"",Data!#REF!)</f>
        <v>#REF!</v>
      </c>
      <c r="L52" s="21" t="e">
        <f>IF(ISBLANK(Data!#REF!),"",Data!#REF!)</f>
        <v>#REF!</v>
      </c>
      <c r="N52" s="46" t="e">
        <f>IF(ISBLANK(Data!#REF!),"",Data!#REF!)</f>
        <v>#REF!</v>
      </c>
      <c r="O52" s="46" t="e">
        <f>IF(ISBLANK(Data!#REF!),"",Data!#REF!)</f>
        <v>#REF!</v>
      </c>
      <c r="P52" s="46" t="e">
        <f>IF(ISBLANK(Data!#REF!),"",Data!#REF!)</f>
        <v>#REF!</v>
      </c>
      <c r="Q52" s="46" t="e">
        <f t="shared" si="0"/>
        <v>#REF!</v>
      </c>
      <c r="R52" s="47" t="e">
        <f>IF(ISBLANK(Data!#REF!),"",Data!#REF!)</f>
        <v>#REF!</v>
      </c>
      <c r="S52" s="33" t="e">
        <f>IF(ISBLANK(Data!#REF!),"",Data!#REF!)</f>
        <v>#REF!</v>
      </c>
      <c r="T52" s="33" t="e">
        <f>IF(ISBLANK(Data!#REF!),"",Data!#REF!)</f>
        <v>#REF!</v>
      </c>
      <c r="U52" s="21" t="e">
        <f>IF(ISBLANK(Data!#REF!),"",Data!#REF!)</f>
        <v>#REF!</v>
      </c>
    </row>
    <row r="53" spans="1:21" x14ac:dyDescent="0.25">
      <c r="A53" s="33" t="e">
        <f>IF(ISBLANK(Data!#REF!),"",YEAR(Data!#REF!))</f>
        <v>#REF!</v>
      </c>
      <c r="B53" s="44" t="e">
        <f>IF(ISBLANK(Data!#REF!),"",Data!#REF!)</f>
        <v>#REF!</v>
      </c>
      <c r="C53" s="45" t="e">
        <f>IF(ISBLANK(Data!#REF!),"",Data!#REF!)</f>
        <v>#REF!</v>
      </c>
      <c r="D53" s="21" t="e">
        <f>IF(ISBLANK(Data!#REF!),"",Data!#REF!)</f>
        <v>#REF!</v>
      </c>
      <c r="E53" s="21" t="e">
        <f>IF(ISBLANK(Data!#REF!),"",Data!#REF!)</f>
        <v>#REF!</v>
      </c>
      <c r="F53" s="33" t="e">
        <f>IF(ISBLANK(Data!#REF!),"",Data!#REF!)</f>
        <v>#REF!</v>
      </c>
      <c r="G53" s="21" t="e">
        <f>IF(ISBLANK(Data!#REF!),"",Data!#REF!)</f>
        <v>#REF!</v>
      </c>
      <c r="H53" s="33" t="e">
        <f>IF(ISBLANK(Data!#REF!),"",Data!#REF!)</f>
        <v>#REF!</v>
      </c>
      <c r="I53" s="33" t="e">
        <f>IF(ISBLANK(Data!#REF!),"",Data!#REF!)</f>
        <v>#REF!</v>
      </c>
      <c r="J53" s="33" t="e">
        <f>IF(ISBLANK(Data!#REF!),"",Data!#REF!)</f>
        <v>#REF!</v>
      </c>
      <c r="K53" s="21" t="e">
        <f>IF(ISBLANK(Data!#REF!),"",Data!#REF!)</f>
        <v>#REF!</v>
      </c>
      <c r="L53" s="21" t="e">
        <f>IF(ISBLANK(Data!#REF!),"",Data!#REF!)</f>
        <v>#REF!</v>
      </c>
      <c r="N53" s="46" t="e">
        <f>IF(ISBLANK(Data!#REF!),"",Data!#REF!)</f>
        <v>#REF!</v>
      </c>
      <c r="O53" s="46" t="e">
        <f>IF(ISBLANK(Data!#REF!),"",Data!#REF!)</f>
        <v>#REF!</v>
      </c>
      <c r="P53" s="46" t="e">
        <f>IF(ISBLANK(Data!#REF!),"",Data!#REF!)</f>
        <v>#REF!</v>
      </c>
      <c r="Q53" s="46" t="e">
        <f t="shared" si="0"/>
        <v>#REF!</v>
      </c>
      <c r="R53" s="47" t="e">
        <f>IF(ISBLANK(Data!#REF!),"",Data!#REF!)</f>
        <v>#REF!</v>
      </c>
      <c r="S53" s="33" t="e">
        <f>IF(ISBLANK(Data!#REF!),"",Data!#REF!)</f>
        <v>#REF!</v>
      </c>
      <c r="T53" s="33" t="e">
        <f>IF(ISBLANK(Data!#REF!),"",Data!#REF!)</f>
        <v>#REF!</v>
      </c>
      <c r="U53" s="21" t="e">
        <f>IF(ISBLANK(Data!#REF!),"",Data!#REF!)</f>
        <v>#REF!</v>
      </c>
    </row>
    <row r="54" spans="1:21" x14ac:dyDescent="0.25">
      <c r="A54" s="33" t="e">
        <f>IF(ISBLANK(Data!#REF!),"",YEAR(Data!#REF!))</f>
        <v>#REF!</v>
      </c>
      <c r="B54" s="44" t="e">
        <f>IF(ISBLANK(Data!#REF!),"",Data!#REF!)</f>
        <v>#REF!</v>
      </c>
      <c r="C54" s="45" t="e">
        <f>IF(ISBLANK(Data!#REF!),"",Data!#REF!)</f>
        <v>#REF!</v>
      </c>
      <c r="D54" s="21" t="e">
        <f>IF(ISBLANK(Data!#REF!),"",Data!#REF!)</f>
        <v>#REF!</v>
      </c>
      <c r="E54" s="21" t="e">
        <f>IF(ISBLANK(Data!#REF!),"",Data!#REF!)</f>
        <v>#REF!</v>
      </c>
      <c r="F54" s="33" t="e">
        <f>IF(ISBLANK(Data!#REF!),"",Data!#REF!)</f>
        <v>#REF!</v>
      </c>
      <c r="G54" s="21" t="e">
        <f>IF(ISBLANK(Data!#REF!),"",Data!#REF!)</f>
        <v>#REF!</v>
      </c>
      <c r="H54" s="33" t="e">
        <f>IF(ISBLANK(Data!#REF!),"",Data!#REF!)</f>
        <v>#REF!</v>
      </c>
      <c r="I54" s="33" t="e">
        <f>IF(ISBLANK(Data!#REF!),"",Data!#REF!)</f>
        <v>#REF!</v>
      </c>
      <c r="J54" s="33" t="e">
        <f>IF(ISBLANK(Data!#REF!),"",Data!#REF!)</f>
        <v>#REF!</v>
      </c>
      <c r="K54" s="21" t="e">
        <f>IF(ISBLANK(Data!#REF!),"",Data!#REF!)</f>
        <v>#REF!</v>
      </c>
      <c r="L54" s="21" t="e">
        <f>IF(ISBLANK(Data!#REF!),"",Data!#REF!)</f>
        <v>#REF!</v>
      </c>
      <c r="N54" s="46" t="e">
        <f>IF(ISBLANK(Data!#REF!),"",Data!#REF!)</f>
        <v>#REF!</v>
      </c>
      <c r="O54" s="46" t="e">
        <f>IF(ISBLANK(Data!#REF!),"",Data!#REF!)</f>
        <v>#REF!</v>
      </c>
      <c r="P54" s="46" t="e">
        <f>IF(ISBLANK(Data!#REF!),"",Data!#REF!)</f>
        <v>#REF!</v>
      </c>
      <c r="Q54" s="46" t="e">
        <f t="shared" si="0"/>
        <v>#REF!</v>
      </c>
      <c r="R54" s="47" t="e">
        <f>IF(ISBLANK(Data!#REF!),"",Data!#REF!)</f>
        <v>#REF!</v>
      </c>
      <c r="S54" s="33" t="e">
        <f>IF(ISBLANK(Data!#REF!),"",Data!#REF!)</f>
        <v>#REF!</v>
      </c>
      <c r="T54" s="33" t="e">
        <f>IF(ISBLANK(Data!#REF!),"",Data!#REF!)</f>
        <v>#REF!</v>
      </c>
      <c r="U54" s="21" t="e">
        <f>IF(ISBLANK(Data!#REF!),"",Data!#REF!)</f>
        <v>#REF!</v>
      </c>
    </row>
    <row r="55" spans="1:21" x14ac:dyDescent="0.25">
      <c r="A55" s="33" t="e">
        <f>IF(ISBLANK(Data!#REF!),"",YEAR(Data!#REF!))</f>
        <v>#REF!</v>
      </c>
      <c r="B55" s="44" t="e">
        <f>IF(ISBLANK(Data!#REF!),"",Data!#REF!)</f>
        <v>#REF!</v>
      </c>
      <c r="C55" s="45" t="e">
        <f>IF(ISBLANK(Data!#REF!),"",Data!#REF!)</f>
        <v>#REF!</v>
      </c>
      <c r="D55" s="21" t="e">
        <f>IF(ISBLANK(Data!#REF!),"",Data!#REF!)</f>
        <v>#REF!</v>
      </c>
      <c r="E55" s="21" t="e">
        <f>IF(ISBLANK(Data!#REF!),"",Data!#REF!)</f>
        <v>#REF!</v>
      </c>
      <c r="F55" s="33" t="e">
        <f>IF(ISBLANK(Data!#REF!),"",Data!#REF!)</f>
        <v>#REF!</v>
      </c>
      <c r="G55" s="21" t="e">
        <f>IF(ISBLANK(Data!#REF!),"",Data!#REF!)</f>
        <v>#REF!</v>
      </c>
      <c r="H55" s="33" t="e">
        <f>IF(ISBLANK(Data!#REF!),"",Data!#REF!)</f>
        <v>#REF!</v>
      </c>
      <c r="I55" s="33" t="e">
        <f>IF(ISBLANK(Data!#REF!),"",Data!#REF!)</f>
        <v>#REF!</v>
      </c>
      <c r="J55" s="33" t="e">
        <f>IF(ISBLANK(Data!#REF!),"",Data!#REF!)</f>
        <v>#REF!</v>
      </c>
      <c r="K55" s="21" t="e">
        <f>IF(ISBLANK(Data!#REF!),"",Data!#REF!)</f>
        <v>#REF!</v>
      </c>
      <c r="L55" s="21" t="e">
        <f>IF(ISBLANK(Data!#REF!),"",Data!#REF!)</f>
        <v>#REF!</v>
      </c>
      <c r="N55" s="46" t="e">
        <f>IF(ISBLANK(Data!#REF!),"",Data!#REF!)</f>
        <v>#REF!</v>
      </c>
      <c r="O55" s="46" t="e">
        <f>IF(ISBLANK(Data!#REF!),"",Data!#REF!)</f>
        <v>#REF!</v>
      </c>
      <c r="P55" s="46" t="e">
        <f>IF(ISBLANK(Data!#REF!),"",Data!#REF!)</f>
        <v>#REF!</v>
      </c>
      <c r="Q55" s="46" t="e">
        <f t="shared" si="0"/>
        <v>#REF!</v>
      </c>
      <c r="R55" s="47" t="e">
        <f>IF(ISBLANK(Data!#REF!),"",Data!#REF!)</f>
        <v>#REF!</v>
      </c>
      <c r="S55" s="33" t="e">
        <f>IF(ISBLANK(Data!#REF!),"",Data!#REF!)</f>
        <v>#REF!</v>
      </c>
      <c r="T55" s="33" t="e">
        <f>IF(ISBLANK(Data!#REF!),"",Data!#REF!)</f>
        <v>#REF!</v>
      </c>
      <c r="U55" s="21" t="e">
        <f>IF(ISBLANK(Data!#REF!),"",Data!#REF!)</f>
        <v>#REF!</v>
      </c>
    </row>
    <row r="56" spans="1:21" x14ac:dyDescent="0.25">
      <c r="A56" s="33" t="e">
        <f>IF(ISBLANK(Data!#REF!),"",YEAR(Data!#REF!))</f>
        <v>#REF!</v>
      </c>
      <c r="B56" s="44" t="e">
        <f>IF(ISBLANK(Data!#REF!),"",Data!#REF!)</f>
        <v>#REF!</v>
      </c>
      <c r="C56" s="45" t="e">
        <f>IF(ISBLANK(Data!#REF!),"",Data!#REF!)</f>
        <v>#REF!</v>
      </c>
      <c r="D56" s="21" t="e">
        <f>IF(ISBLANK(Data!#REF!),"",Data!#REF!)</f>
        <v>#REF!</v>
      </c>
      <c r="E56" s="21" t="e">
        <f>IF(ISBLANK(Data!#REF!),"",Data!#REF!)</f>
        <v>#REF!</v>
      </c>
      <c r="F56" s="33" t="e">
        <f>IF(ISBLANK(Data!#REF!),"",Data!#REF!)</f>
        <v>#REF!</v>
      </c>
      <c r="G56" s="21" t="e">
        <f>IF(ISBLANK(Data!#REF!),"",Data!#REF!)</f>
        <v>#REF!</v>
      </c>
      <c r="H56" s="33" t="e">
        <f>IF(ISBLANK(Data!#REF!),"",Data!#REF!)</f>
        <v>#REF!</v>
      </c>
      <c r="I56" s="33" t="e">
        <f>IF(ISBLANK(Data!#REF!),"",Data!#REF!)</f>
        <v>#REF!</v>
      </c>
      <c r="J56" s="33" t="e">
        <f>IF(ISBLANK(Data!#REF!),"",Data!#REF!)</f>
        <v>#REF!</v>
      </c>
      <c r="K56" s="21" t="e">
        <f>IF(ISBLANK(Data!#REF!),"",Data!#REF!)</f>
        <v>#REF!</v>
      </c>
      <c r="L56" s="21" t="e">
        <f>IF(ISBLANK(Data!#REF!),"",Data!#REF!)</f>
        <v>#REF!</v>
      </c>
      <c r="N56" s="46" t="e">
        <f>IF(ISBLANK(Data!#REF!),"",Data!#REF!)</f>
        <v>#REF!</v>
      </c>
      <c r="O56" s="46" t="e">
        <f>IF(ISBLANK(Data!#REF!),"",Data!#REF!)</f>
        <v>#REF!</v>
      </c>
      <c r="P56" s="46" t="e">
        <f>IF(ISBLANK(Data!#REF!),"",Data!#REF!)</f>
        <v>#REF!</v>
      </c>
      <c r="Q56" s="46" t="e">
        <f t="shared" si="0"/>
        <v>#REF!</v>
      </c>
      <c r="R56" s="47" t="e">
        <f>IF(ISBLANK(Data!#REF!),"",Data!#REF!)</f>
        <v>#REF!</v>
      </c>
      <c r="S56" s="33" t="e">
        <f>IF(ISBLANK(Data!#REF!),"",Data!#REF!)</f>
        <v>#REF!</v>
      </c>
      <c r="T56" s="33" t="e">
        <f>IF(ISBLANK(Data!#REF!),"",Data!#REF!)</f>
        <v>#REF!</v>
      </c>
      <c r="U56" s="21" t="e">
        <f>IF(ISBLANK(Data!#REF!),"",Data!#REF!)</f>
        <v>#REF!</v>
      </c>
    </row>
    <row r="57" spans="1:21" x14ac:dyDescent="0.25">
      <c r="A57" s="33" t="e">
        <f>IF(ISBLANK(Data!#REF!),"",YEAR(Data!#REF!))</f>
        <v>#REF!</v>
      </c>
      <c r="B57" s="44" t="e">
        <f>IF(ISBLANK(Data!#REF!),"",Data!#REF!)</f>
        <v>#REF!</v>
      </c>
      <c r="C57" s="45" t="e">
        <f>IF(ISBLANK(Data!#REF!),"",Data!#REF!)</f>
        <v>#REF!</v>
      </c>
      <c r="D57" s="21" t="e">
        <f>IF(ISBLANK(Data!#REF!),"",Data!#REF!)</f>
        <v>#REF!</v>
      </c>
      <c r="E57" s="21" t="e">
        <f>IF(ISBLANK(Data!#REF!),"",Data!#REF!)</f>
        <v>#REF!</v>
      </c>
      <c r="F57" s="33" t="e">
        <f>IF(ISBLANK(Data!#REF!),"",Data!#REF!)</f>
        <v>#REF!</v>
      </c>
      <c r="G57" s="21" t="e">
        <f>IF(ISBLANK(Data!#REF!),"",Data!#REF!)</f>
        <v>#REF!</v>
      </c>
      <c r="H57" s="33" t="e">
        <f>IF(ISBLANK(Data!#REF!),"",Data!#REF!)</f>
        <v>#REF!</v>
      </c>
      <c r="I57" s="33" t="e">
        <f>IF(ISBLANK(Data!#REF!),"",Data!#REF!)</f>
        <v>#REF!</v>
      </c>
      <c r="J57" s="33" t="e">
        <f>IF(ISBLANK(Data!#REF!),"",Data!#REF!)</f>
        <v>#REF!</v>
      </c>
      <c r="K57" s="21" t="e">
        <f>IF(ISBLANK(Data!#REF!),"",Data!#REF!)</f>
        <v>#REF!</v>
      </c>
      <c r="L57" s="21" t="e">
        <f>IF(ISBLANK(Data!#REF!),"",Data!#REF!)</f>
        <v>#REF!</v>
      </c>
      <c r="N57" s="46" t="e">
        <f>IF(ISBLANK(Data!#REF!),"",Data!#REF!)</f>
        <v>#REF!</v>
      </c>
      <c r="O57" s="46" t="e">
        <f>IF(ISBLANK(Data!#REF!),"",Data!#REF!)</f>
        <v>#REF!</v>
      </c>
      <c r="P57" s="46" t="e">
        <f>IF(ISBLANK(Data!#REF!),"",Data!#REF!)</f>
        <v>#REF!</v>
      </c>
      <c r="Q57" s="46" t="e">
        <f t="shared" si="0"/>
        <v>#REF!</v>
      </c>
      <c r="R57" s="47" t="e">
        <f>IF(ISBLANK(Data!#REF!),"",Data!#REF!)</f>
        <v>#REF!</v>
      </c>
      <c r="S57" s="33" t="e">
        <f>IF(ISBLANK(Data!#REF!),"",Data!#REF!)</f>
        <v>#REF!</v>
      </c>
      <c r="T57" s="33" t="e">
        <f>IF(ISBLANK(Data!#REF!),"",Data!#REF!)</f>
        <v>#REF!</v>
      </c>
      <c r="U57" s="21" t="e">
        <f>IF(ISBLANK(Data!#REF!),"",Data!#REF!)</f>
        <v>#REF!</v>
      </c>
    </row>
    <row r="58" spans="1:21" x14ac:dyDescent="0.25">
      <c r="A58" s="33" t="e">
        <f>IF(ISBLANK(Data!#REF!),"",YEAR(Data!#REF!))</f>
        <v>#REF!</v>
      </c>
      <c r="B58" s="44" t="e">
        <f>IF(ISBLANK(Data!#REF!),"",Data!#REF!)</f>
        <v>#REF!</v>
      </c>
      <c r="C58" s="45" t="e">
        <f>IF(ISBLANK(Data!#REF!),"",Data!#REF!)</f>
        <v>#REF!</v>
      </c>
      <c r="D58" s="21" t="e">
        <f>IF(ISBLANK(Data!#REF!),"",Data!#REF!)</f>
        <v>#REF!</v>
      </c>
      <c r="E58" s="21" t="e">
        <f>IF(ISBLANK(Data!#REF!),"",Data!#REF!)</f>
        <v>#REF!</v>
      </c>
      <c r="F58" s="33" t="e">
        <f>IF(ISBLANK(Data!#REF!),"",Data!#REF!)</f>
        <v>#REF!</v>
      </c>
      <c r="G58" s="21" t="e">
        <f>IF(ISBLANK(Data!#REF!),"",Data!#REF!)</f>
        <v>#REF!</v>
      </c>
      <c r="H58" s="33" t="e">
        <f>IF(ISBLANK(Data!#REF!),"",Data!#REF!)</f>
        <v>#REF!</v>
      </c>
      <c r="I58" s="33" t="e">
        <f>IF(ISBLANK(Data!#REF!),"",Data!#REF!)</f>
        <v>#REF!</v>
      </c>
      <c r="J58" s="33" t="e">
        <f>IF(ISBLANK(Data!#REF!),"",Data!#REF!)</f>
        <v>#REF!</v>
      </c>
      <c r="K58" s="21" t="e">
        <f>IF(ISBLANK(Data!#REF!),"",Data!#REF!)</f>
        <v>#REF!</v>
      </c>
      <c r="L58" s="21" t="e">
        <f>IF(ISBLANK(Data!#REF!),"",Data!#REF!)</f>
        <v>#REF!</v>
      </c>
      <c r="N58" s="46" t="e">
        <f>IF(ISBLANK(Data!#REF!),"",Data!#REF!)</f>
        <v>#REF!</v>
      </c>
      <c r="O58" s="46" t="e">
        <f>IF(ISBLANK(Data!#REF!),"",Data!#REF!)</f>
        <v>#REF!</v>
      </c>
      <c r="P58" s="46" t="e">
        <f>IF(ISBLANK(Data!#REF!),"",Data!#REF!)</f>
        <v>#REF!</v>
      </c>
      <c r="Q58" s="46" t="e">
        <f t="shared" si="0"/>
        <v>#REF!</v>
      </c>
      <c r="R58" s="47" t="e">
        <f>IF(ISBLANK(Data!#REF!),"",Data!#REF!)</f>
        <v>#REF!</v>
      </c>
      <c r="S58" s="33" t="e">
        <f>IF(ISBLANK(Data!#REF!),"",Data!#REF!)</f>
        <v>#REF!</v>
      </c>
      <c r="T58" s="33" t="e">
        <f>IF(ISBLANK(Data!#REF!),"",Data!#REF!)</f>
        <v>#REF!</v>
      </c>
      <c r="U58" s="21" t="e">
        <f>IF(ISBLANK(Data!#REF!),"",Data!#REF!)</f>
        <v>#REF!</v>
      </c>
    </row>
    <row r="59" spans="1:21" x14ac:dyDescent="0.25">
      <c r="A59" s="33" t="e">
        <f>IF(ISBLANK(Data!#REF!),"",YEAR(Data!#REF!))</f>
        <v>#REF!</v>
      </c>
      <c r="B59" s="44" t="e">
        <f>IF(ISBLANK(Data!#REF!),"",Data!#REF!)</f>
        <v>#REF!</v>
      </c>
      <c r="C59" s="45" t="e">
        <f>IF(ISBLANK(Data!#REF!),"",Data!#REF!)</f>
        <v>#REF!</v>
      </c>
      <c r="D59" s="21" t="e">
        <f>IF(ISBLANK(Data!#REF!),"",Data!#REF!)</f>
        <v>#REF!</v>
      </c>
      <c r="E59" s="21" t="e">
        <f>IF(ISBLANK(Data!#REF!),"",Data!#REF!)</f>
        <v>#REF!</v>
      </c>
      <c r="F59" s="33" t="e">
        <f>IF(ISBLANK(Data!#REF!),"",Data!#REF!)</f>
        <v>#REF!</v>
      </c>
      <c r="G59" s="21" t="e">
        <f>IF(ISBLANK(Data!#REF!),"",Data!#REF!)</f>
        <v>#REF!</v>
      </c>
      <c r="H59" s="33" t="e">
        <f>IF(ISBLANK(Data!#REF!),"",Data!#REF!)</f>
        <v>#REF!</v>
      </c>
      <c r="I59" s="33" t="e">
        <f>IF(ISBLANK(Data!#REF!),"",Data!#REF!)</f>
        <v>#REF!</v>
      </c>
      <c r="J59" s="33" t="e">
        <f>IF(ISBLANK(Data!#REF!),"",Data!#REF!)</f>
        <v>#REF!</v>
      </c>
      <c r="K59" s="21" t="e">
        <f>IF(ISBLANK(Data!#REF!),"",Data!#REF!)</f>
        <v>#REF!</v>
      </c>
      <c r="L59" s="21" t="e">
        <f>IF(ISBLANK(Data!#REF!),"",Data!#REF!)</f>
        <v>#REF!</v>
      </c>
      <c r="N59" s="46" t="e">
        <f>IF(ISBLANK(Data!#REF!),"",Data!#REF!)</f>
        <v>#REF!</v>
      </c>
      <c r="O59" s="46" t="e">
        <f>IF(ISBLANK(Data!#REF!),"",Data!#REF!)</f>
        <v>#REF!</v>
      </c>
      <c r="P59" s="46" t="e">
        <f>IF(ISBLANK(Data!#REF!),"",Data!#REF!)</f>
        <v>#REF!</v>
      </c>
      <c r="Q59" s="46" t="e">
        <f t="shared" si="0"/>
        <v>#REF!</v>
      </c>
      <c r="R59" s="47" t="e">
        <f>IF(ISBLANK(Data!#REF!),"",Data!#REF!)</f>
        <v>#REF!</v>
      </c>
      <c r="S59" s="33" t="e">
        <f>IF(ISBLANK(Data!#REF!),"",Data!#REF!)</f>
        <v>#REF!</v>
      </c>
      <c r="T59" s="33" t="e">
        <f>IF(ISBLANK(Data!#REF!),"",Data!#REF!)</f>
        <v>#REF!</v>
      </c>
      <c r="U59" s="21" t="e">
        <f>IF(ISBLANK(Data!#REF!),"",Data!#REF!)</f>
        <v>#REF!</v>
      </c>
    </row>
    <row r="60" spans="1:21" x14ac:dyDescent="0.25">
      <c r="A60" s="33" t="e">
        <f>IF(ISBLANK(Data!#REF!),"",YEAR(Data!#REF!))</f>
        <v>#REF!</v>
      </c>
      <c r="B60" s="44" t="e">
        <f>IF(ISBLANK(Data!#REF!),"",Data!#REF!)</f>
        <v>#REF!</v>
      </c>
      <c r="C60" s="45" t="e">
        <f>IF(ISBLANK(Data!#REF!),"",Data!#REF!)</f>
        <v>#REF!</v>
      </c>
      <c r="D60" s="21" t="e">
        <f>IF(ISBLANK(Data!#REF!),"",Data!#REF!)</f>
        <v>#REF!</v>
      </c>
      <c r="E60" s="21" t="e">
        <f>IF(ISBLANK(Data!#REF!),"",Data!#REF!)</f>
        <v>#REF!</v>
      </c>
      <c r="F60" s="33" t="e">
        <f>IF(ISBLANK(Data!#REF!),"",Data!#REF!)</f>
        <v>#REF!</v>
      </c>
      <c r="G60" s="21" t="e">
        <f>IF(ISBLANK(Data!#REF!),"",Data!#REF!)</f>
        <v>#REF!</v>
      </c>
      <c r="H60" s="33" t="e">
        <f>IF(ISBLANK(Data!#REF!),"",Data!#REF!)</f>
        <v>#REF!</v>
      </c>
      <c r="I60" s="33" t="e">
        <f>IF(ISBLANK(Data!#REF!),"",Data!#REF!)</f>
        <v>#REF!</v>
      </c>
      <c r="J60" s="33" t="e">
        <f>IF(ISBLANK(Data!#REF!),"",Data!#REF!)</f>
        <v>#REF!</v>
      </c>
      <c r="K60" s="21" t="e">
        <f>IF(ISBLANK(Data!#REF!),"",Data!#REF!)</f>
        <v>#REF!</v>
      </c>
      <c r="L60" s="21" t="e">
        <f>IF(ISBLANK(Data!#REF!),"",Data!#REF!)</f>
        <v>#REF!</v>
      </c>
      <c r="N60" s="46" t="e">
        <f>IF(ISBLANK(Data!#REF!),"",Data!#REF!)</f>
        <v>#REF!</v>
      </c>
      <c r="O60" s="46" t="e">
        <f>IF(ISBLANK(Data!#REF!),"",Data!#REF!)</f>
        <v>#REF!</v>
      </c>
      <c r="P60" s="46" t="e">
        <f>IF(ISBLANK(Data!#REF!),"",Data!#REF!)</f>
        <v>#REF!</v>
      </c>
      <c r="Q60" s="46" t="e">
        <f t="shared" si="0"/>
        <v>#REF!</v>
      </c>
      <c r="R60" s="47" t="e">
        <f>IF(ISBLANK(Data!#REF!),"",Data!#REF!)</f>
        <v>#REF!</v>
      </c>
      <c r="S60" s="33" t="e">
        <f>IF(ISBLANK(Data!#REF!),"",Data!#REF!)</f>
        <v>#REF!</v>
      </c>
      <c r="T60" s="33" t="e">
        <f>IF(ISBLANK(Data!#REF!),"",Data!#REF!)</f>
        <v>#REF!</v>
      </c>
      <c r="U60" s="21" t="e">
        <f>IF(ISBLANK(Data!#REF!),"",Data!#REF!)</f>
        <v>#REF!</v>
      </c>
    </row>
    <row r="61" spans="1:21" x14ac:dyDescent="0.25">
      <c r="A61" s="33" t="e">
        <f>IF(ISBLANK(Data!#REF!),"",YEAR(Data!#REF!))</f>
        <v>#REF!</v>
      </c>
      <c r="B61" s="44" t="e">
        <f>IF(ISBLANK(Data!#REF!),"",Data!#REF!)</f>
        <v>#REF!</v>
      </c>
      <c r="C61" s="45" t="e">
        <f>IF(ISBLANK(Data!#REF!),"",Data!#REF!)</f>
        <v>#REF!</v>
      </c>
      <c r="D61" s="21" t="e">
        <f>IF(ISBLANK(Data!#REF!),"",Data!#REF!)</f>
        <v>#REF!</v>
      </c>
      <c r="E61" s="21" t="e">
        <f>IF(ISBLANK(Data!#REF!),"",Data!#REF!)</f>
        <v>#REF!</v>
      </c>
      <c r="F61" s="33" t="e">
        <f>IF(ISBLANK(Data!#REF!),"",Data!#REF!)</f>
        <v>#REF!</v>
      </c>
      <c r="G61" s="21" t="e">
        <f>IF(ISBLANK(Data!#REF!),"",Data!#REF!)</f>
        <v>#REF!</v>
      </c>
      <c r="H61" s="33" t="e">
        <f>IF(ISBLANK(Data!#REF!),"",Data!#REF!)</f>
        <v>#REF!</v>
      </c>
      <c r="I61" s="33" t="e">
        <f>IF(ISBLANK(Data!#REF!),"",Data!#REF!)</f>
        <v>#REF!</v>
      </c>
      <c r="J61" s="33" t="e">
        <f>IF(ISBLANK(Data!#REF!),"",Data!#REF!)</f>
        <v>#REF!</v>
      </c>
      <c r="K61" s="21" t="e">
        <f>IF(ISBLANK(Data!#REF!),"",Data!#REF!)</f>
        <v>#REF!</v>
      </c>
      <c r="L61" s="21" t="e">
        <f>IF(ISBLANK(Data!#REF!),"",Data!#REF!)</f>
        <v>#REF!</v>
      </c>
      <c r="N61" s="46" t="e">
        <f>IF(ISBLANK(Data!#REF!),"",Data!#REF!)</f>
        <v>#REF!</v>
      </c>
      <c r="O61" s="46" t="e">
        <f>IF(ISBLANK(Data!#REF!),"",Data!#REF!)</f>
        <v>#REF!</v>
      </c>
      <c r="P61" s="46" t="e">
        <f>IF(ISBLANK(Data!#REF!),"",Data!#REF!)</f>
        <v>#REF!</v>
      </c>
      <c r="Q61" s="46" t="e">
        <f t="shared" si="0"/>
        <v>#REF!</v>
      </c>
      <c r="R61" s="47" t="e">
        <f>IF(ISBLANK(Data!#REF!),"",Data!#REF!)</f>
        <v>#REF!</v>
      </c>
      <c r="S61" s="33" t="e">
        <f>IF(ISBLANK(Data!#REF!),"",Data!#REF!)</f>
        <v>#REF!</v>
      </c>
      <c r="T61" s="33" t="e">
        <f>IF(ISBLANK(Data!#REF!),"",Data!#REF!)</f>
        <v>#REF!</v>
      </c>
      <c r="U61" s="21" t="e">
        <f>IF(ISBLANK(Data!#REF!),"",Data!#REF!)</f>
        <v>#REF!</v>
      </c>
    </row>
    <row r="62" spans="1:21" x14ac:dyDescent="0.25">
      <c r="A62" s="33" t="e">
        <f>IF(ISBLANK(Data!#REF!),"",YEAR(Data!#REF!))</f>
        <v>#REF!</v>
      </c>
      <c r="B62" s="44" t="e">
        <f>IF(ISBLANK(Data!#REF!),"",Data!#REF!)</f>
        <v>#REF!</v>
      </c>
      <c r="C62" s="45" t="e">
        <f>IF(ISBLANK(Data!#REF!),"",Data!#REF!)</f>
        <v>#REF!</v>
      </c>
      <c r="D62" s="21" t="e">
        <f>IF(ISBLANK(Data!#REF!),"",Data!#REF!)</f>
        <v>#REF!</v>
      </c>
      <c r="E62" s="21" t="e">
        <f>IF(ISBLANK(Data!#REF!),"",Data!#REF!)</f>
        <v>#REF!</v>
      </c>
      <c r="F62" s="33" t="e">
        <f>IF(ISBLANK(Data!#REF!),"",Data!#REF!)</f>
        <v>#REF!</v>
      </c>
      <c r="G62" s="21" t="e">
        <f>IF(ISBLANK(Data!#REF!),"",Data!#REF!)</f>
        <v>#REF!</v>
      </c>
      <c r="H62" s="33" t="e">
        <f>IF(ISBLANK(Data!#REF!),"",Data!#REF!)</f>
        <v>#REF!</v>
      </c>
      <c r="I62" s="33" t="e">
        <f>IF(ISBLANK(Data!#REF!),"",Data!#REF!)</f>
        <v>#REF!</v>
      </c>
      <c r="J62" s="33" t="e">
        <f>IF(ISBLANK(Data!#REF!),"",Data!#REF!)</f>
        <v>#REF!</v>
      </c>
      <c r="K62" s="21" t="e">
        <f>IF(ISBLANK(Data!#REF!),"",Data!#REF!)</f>
        <v>#REF!</v>
      </c>
      <c r="L62" s="21" t="e">
        <f>IF(ISBLANK(Data!#REF!),"",Data!#REF!)</f>
        <v>#REF!</v>
      </c>
      <c r="N62" s="46" t="e">
        <f>IF(ISBLANK(Data!#REF!),"",Data!#REF!)</f>
        <v>#REF!</v>
      </c>
      <c r="O62" s="46" t="e">
        <f>IF(ISBLANK(Data!#REF!),"",Data!#REF!)</f>
        <v>#REF!</v>
      </c>
      <c r="P62" s="46" t="e">
        <f>IF(ISBLANK(Data!#REF!),"",Data!#REF!)</f>
        <v>#REF!</v>
      </c>
      <c r="Q62" s="46" t="e">
        <f t="shared" si="0"/>
        <v>#REF!</v>
      </c>
      <c r="R62" s="47" t="e">
        <f>IF(ISBLANK(Data!#REF!),"",Data!#REF!)</f>
        <v>#REF!</v>
      </c>
      <c r="S62" s="33" t="e">
        <f>IF(ISBLANK(Data!#REF!),"",Data!#REF!)</f>
        <v>#REF!</v>
      </c>
      <c r="T62" s="33" t="e">
        <f>IF(ISBLANK(Data!#REF!),"",Data!#REF!)</f>
        <v>#REF!</v>
      </c>
      <c r="U62" s="21" t="e">
        <f>IF(ISBLANK(Data!#REF!),"",Data!#REF!)</f>
        <v>#REF!</v>
      </c>
    </row>
    <row r="63" spans="1:21" x14ac:dyDescent="0.25">
      <c r="A63" s="33" t="e">
        <f>IF(ISBLANK(Data!#REF!),"",YEAR(Data!#REF!))</f>
        <v>#REF!</v>
      </c>
      <c r="B63" s="44" t="e">
        <f>IF(ISBLANK(Data!#REF!),"",Data!#REF!)</f>
        <v>#REF!</v>
      </c>
      <c r="C63" s="45" t="e">
        <f>IF(ISBLANK(Data!#REF!),"",Data!#REF!)</f>
        <v>#REF!</v>
      </c>
      <c r="D63" s="21" t="e">
        <f>IF(ISBLANK(Data!#REF!),"",Data!#REF!)</f>
        <v>#REF!</v>
      </c>
      <c r="E63" s="21" t="e">
        <f>IF(ISBLANK(Data!#REF!),"",Data!#REF!)</f>
        <v>#REF!</v>
      </c>
      <c r="F63" s="33" t="e">
        <f>IF(ISBLANK(Data!#REF!),"",Data!#REF!)</f>
        <v>#REF!</v>
      </c>
      <c r="G63" s="21" t="e">
        <f>IF(ISBLANK(Data!#REF!),"",Data!#REF!)</f>
        <v>#REF!</v>
      </c>
      <c r="H63" s="33" t="e">
        <f>IF(ISBLANK(Data!#REF!),"",Data!#REF!)</f>
        <v>#REF!</v>
      </c>
      <c r="I63" s="33" t="e">
        <f>IF(ISBLANK(Data!#REF!),"",Data!#REF!)</f>
        <v>#REF!</v>
      </c>
      <c r="J63" s="33" t="e">
        <f>IF(ISBLANK(Data!#REF!),"",Data!#REF!)</f>
        <v>#REF!</v>
      </c>
      <c r="K63" s="21" t="e">
        <f>IF(ISBLANK(Data!#REF!),"",Data!#REF!)</f>
        <v>#REF!</v>
      </c>
      <c r="L63" s="21" t="e">
        <f>IF(ISBLANK(Data!#REF!),"",Data!#REF!)</f>
        <v>#REF!</v>
      </c>
      <c r="N63" s="46" t="e">
        <f>IF(ISBLANK(Data!#REF!),"",Data!#REF!)</f>
        <v>#REF!</v>
      </c>
      <c r="O63" s="46" t="e">
        <f>IF(ISBLANK(Data!#REF!),"",Data!#REF!)</f>
        <v>#REF!</v>
      </c>
      <c r="P63" s="46" t="e">
        <f>IF(ISBLANK(Data!#REF!),"",Data!#REF!)</f>
        <v>#REF!</v>
      </c>
      <c r="Q63" s="46" t="e">
        <f t="shared" si="0"/>
        <v>#REF!</v>
      </c>
      <c r="R63" s="47" t="e">
        <f>IF(ISBLANK(Data!#REF!),"",Data!#REF!)</f>
        <v>#REF!</v>
      </c>
      <c r="S63" s="33" t="e">
        <f>IF(ISBLANK(Data!#REF!),"",Data!#REF!)</f>
        <v>#REF!</v>
      </c>
      <c r="T63" s="33" t="e">
        <f>IF(ISBLANK(Data!#REF!),"",Data!#REF!)</f>
        <v>#REF!</v>
      </c>
      <c r="U63" s="21" t="e">
        <f>IF(ISBLANK(Data!#REF!),"",Data!#REF!)</f>
        <v>#REF!</v>
      </c>
    </row>
    <row r="64" spans="1:21" x14ac:dyDescent="0.25">
      <c r="A64" s="33" t="e">
        <f>IF(ISBLANK(Data!#REF!),"",YEAR(Data!#REF!))</f>
        <v>#REF!</v>
      </c>
      <c r="B64" s="44" t="e">
        <f>IF(ISBLANK(Data!#REF!),"",Data!#REF!)</f>
        <v>#REF!</v>
      </c>
      <c r="C64" s="45" t="e">
        <f>IF(ISBLANK(Data!#REF!),"",Data!#REF!)</f>
        <v>#REF!</v>
      </c>
      <c r="D64" s="21" t="e">
        <f>IF(ISBLANK(Data!#REF!),"",Data!#REF!)</f>
        <v>#REF!</v>
      </c>
      <c r="E64" s="21" t="e">
        <f>IF(ISBLANK(Data!#REF!),"",Data!#REF!)</f>
        <v>#REF!</v>
      </c>
      <c r="F64" s="33" t="e">
        <f>IF(ISBLANK(Data!#REF!),"",Data!#REF!)</f>
        <v>#REF!</v>
      </c>
      <c r="G64" s="21" t="e">
        <f>IF(ISBLANK(Data!#REF!),"",Data!#REF!)</f>
        <v>#REF!</v>
      </c>
      <c r="H64" s="33" t="e">
        <f>IF(ISBLANK(Data!#REF!),"",Data!#REF!)</f>
        <v>#REF!</v>
      </c>
      <c r="I64" s="33" t="e">
        <f>IF(ISBLANK(Data!#REF!),"",Data!#REF!)</f>
        <v>#REF!</v>
      </c>
      <c r="J64" s="33" t="e">
        <f>IF(ISBLANK(Data!#REF!),"",Data!#REF!)</f>
        <v>#REF!</v>
      </c>
      <c r="K64" s="21" t="e">
        <f>IF(ISBLANK(Data!#REF!),"",Data!#REF!)</f>
        <v>#REF!</v>
      </c>
      <c r="L64" s="21" t="e">
        <f>IF(ISBLANK(Data!#REF!),"",Data!#REF!)</f>
        <v>#REF!</v>
      </c>
      <c r="N64" s="46" t="e">
        <f>IF(ISBLANK(Data!#REF!),"",Data!#REF!)</f>
        <v>#REF!</v>
      </c>
      <c r="O64" s="46" t="e">
        <f>IF(ISBLANK(Data!#REF!),"",Data!#REF!)</f>
        <v>#REF!</v>
      </c>
      <c r="P64" s="46" t="e">
        <f>IF(ISBLANK(Data!#REF!),"",Data!#REF!)</f>
        <v>#REF!</v>
      </c>
      <c r="Q64" s="46" t="e">
        <f t="shared" si="0"/>
        <v>#REF!</v>
      </c>
      <c r="R64" s="47" t="e">
        <f>IF(ISBLANK(Data!#REF!),"",Data!#REF!)</f>
        <v>#REF!</v>
      </c>
      <c r="S64" s="33" t="e">
        <f>IF(ISBLANK(Data!#REF!),"",Data!#REF!)</f>
        <v>#REF!</v>
      </c>
      <c r="T64" s="33" t="e">
        <f>IF(ISBLANK(Data!#REF!),"",Data!#REF!)</f>
        <v>#REF!</v>
      </c>
      <c r="U64" s="21" t="e">
        <f>IF(ISBLANK(Data!#REF!),"",Data!#REF!)</f>
        <v>#REF!</v>
      </c>
    </row>
    <row r="65" spans="1:21" x14ac:dyDescent="0.25">
      <c r="A65" s="33" t="e">
        <f>IF(ISBLANK(Data!#REF!),"",YEAR(Data!#REF!))</f>
        <v>#REF!</v>
      </c>
      <c r="B65" s="44" t="e">
        <f>IF(ISBLANK(Data!#REF!),"",Data!#REF!)</f>
        <v>#REF!</v>
      </c>
      <c r="C65" s="45" t="e">
        <f>IF(ISBLANK(Data!#REF!),"",Data!#REF!)</f>
        <v>#REF!</v>
      </c>
      <c r="D65" s="21" t="e">
        <f>IF(ISBLANK(Data!#REF!),"",Data!#REF!)</f>
        <v>#REF!</v>
      </c>
      <c r="E65" s="21" t="e">
        <f>IF(ISBLANK(Data!#REF!),"",Data!#REF!)</f>
        <v>#REF!</v>
      </c>
      <c r="F65" s="33" t="e">
        <f>IF(ISBLANK(Data!#REF!),"",Data!#REF!)</f>
        <v>#REF!</v>
      </c>
      <c r="G65" s="21" t="e">
        <f>IF(ISBLANK(Data!#REF!),"",Data!#REF!)</f>
        <v>#REF!</v>
      </c>
      <c r="H65" s="33" t="e">
        <f>IF(ISBLANK(Data!#REF!),"",Data!#REF!)</f>
        <v>#REF!</v>
      </c>
      <c r="I65" s="33" t="e">
        <f>IF(ISBLANK(Data!#REF!),"",Data!#REF!)</f>
        <v>#REF!</v>
      </c>
      <c r="J65" s="33" t="e">
        <f>IF(ISBLANK(Data!#REF!),"",Data!#REF!)</f>
        <v>#REF!</v>
      </c>
      <c r="K65" s="21" t="e">
        <f>IF(ISBLANK(Data!#REF!),"",Data!#REF!)</f>
        <v>#REF!</v>
      </c>
      <c r="L65" s="21" t="e">
        <f>IF(ISBLANK(Data!#REF!),"",Data!#REF!)</f>
        <v>#REF!</v>
      </c>
      <c r="N65" s="46" t="e">
        <f>IF(ISBLANK(Data!#REF!),"",Data!#REF!)</f>
        <v>#REF!</v>
      </c>
      <c r="O65" s="46" t="e">
        <f>IF(ISBLANK(Data!#REF!),"",Data!#REF!)</f>
        <v>#REF!</v>
      </c>
      <c r="P65" s="46" t="e">
        <f>IF(ISBLANK(Data!#REF!),"",Data!#REF!)</f>
        <v>#REF!</v>
      </c>
      <c r="Q65" s="46" t="e">
        <f t="shared" si="0"/>
        <v>#REF!</v>
      </c>
      <c r="R65" s="47" t="e">
        <f>IF(ISBLANK(Data!#REF!),"",Data!#REF!)</f>
        <v>#REF!</v>
      </c>
      <c r="S65" s="33" t="e">
        <f>IF(ISBLANK(Data!#REF!),"",Data!#REF!)</f>
        <v>#REF!</v>
      </c>
      <c r="T65" s="33" t="e">
        <f>IF(ISBLANK(Data!#REF!),"",Data!#REF!)</f>
        <v>#REF!</v>
      </c>
      <c r="U65" s="21" t="e">
        <f>IF(ISBLANK(Data!#REF!),"",Data!#REF!)</f>
        <v>#REF!</v>
      </c>
    </row>
    <row r="66" spans="1:21" x14ac:dyDescent="0.25">
      <c r="A66" s="33" t="e">
        <f>IF(ISBLANK(Data!#REF!),"",YEAR(Data!#REF!))</f>
        <v>#REF!</v>
      </c>
      <c r="B66" s="44" t="e">
        <f>IF(ISBLANK(Data!#REF!),"",Data!#REF!)</f>
        <v>#REF!</v>
      </c>
      <c r="C66" s="45" t="e">
        <f>IF(ISBLANK(Data!#REF!),"",Data!#REF!)</f>
        <v>#REF!</v>
      </c>
      <c r="D66" s="21" t="e">
        <f>IF(ISBLANK(Data!#REF!),"",Data!#REF!)</f>
        <v>#REF!</v>
      </c>
      <c r="E66" s="21" t="e">
        <f>IF(ISBLANK(Data!#REF!),"",Data!#REF!)</f>
        <v>#REF!</v>
      </c>
      <c r="F66" s="33" t="e">
        <f>IF(ISBLANK(Data!#REF!),"",Data!#REF!)</f>
        <v>#REF!</v>
      </c>
      <c r="G66" s="21" t="e">
        <f>IF(ISBLANK(Data!#REF!),"",Data!#REF!)</f>
        <v>#REF!</v>
      </c>
      <c r="H66" s="33" t="e">
        <f>IF(ISBLANK(Data!#REF!),"",Data!#REF!)</f>
        <v>#REF!</v>
      </c>
      <c r="I66" s="33" t="e">
        <f>IF(ISBLANK(Data!#REF!),"",Data!#REF!)</f>
        <v>#REF!</v>
      </c>
      <c r="J66" s="33" t="e">
        <f>IF(ISBLANK(Data!#REF!),"",Data!#REF!)</f>
        <v>#REF!</v>
      </c>
      <c r="K66" s="21" t="e">
        <f>IF(ISBLANK(Data!#REF!),"",Data!#REF!)</f>
        <v>#REF!</v>
      </c>
      <c r="L66" s="21" t="e">
        <f>IF(ISBLANK(Data!#REF!),"",Data!#REF!)</f>
        <v>#REF!</v>
      </c>
      <c r="N66" s="46" t="e">
        <f>IF(ISBLANK(Data!#REF!),"",Data!#REF!)</f>
        <v>#REF!</v>
      </c>
      <c r="O66" s="46" t="e">
        <f>IF(ISBLANK(Data!#REF!),"",Data!#REF!)</f>
        <v>#REF!</v>
      </c>
      <c r="P66" s="46" t="e">
        <f>IF(ISBLANK(Data!#REF!),"",Data!#REF!)</f>
        <v>#REF!</v>
      </c>
      <c r="Q66" s="46" t="e">
        <f t="shared" si="0"/>
        <v>#REF!</v>
      </c>
      <c r="R66" s="47" t="e">
        <f>IF(ISBLANK(Data!#REF!),"",Data!#REF!)</f>
        <v>#REF!</v>
      </c>
      <c r="S66" s="33" t="e">
        <f>IF(ISBLANK(Data!#REF!),"",Data!#REF!)</f>
        <v>#REF!</v>
      </c>
      <c r="T66" s="33" t="e">
        <f>IF(ISBLANK(Data!#REF!),"",Data!#REF!)</f>
        <v>#REF!</v>
      </c>
      <c r="U66" s="21" t="e">
        <f>IF(ISBLANK(Data!#REF!),"",Data!#REF!)</f>
        <v>#REF!</v>
      </c>
    </row>
    <row r="67" spans="1:21" x14ac:dyDescent="0.25">
      <c r="A67" s="33" t="e">
        <f>IF(ISBLANK(Data!#REF!),"",YEAR(Data!#REF!))</f>
        <v>#REF!</v>
      </c>
      <c r="B67" s="44" t="e">
        <f>IF(ISBLANK(Data!#REF!),"",Data!#REF!)</f>
        <v>#REF!</v>
      </c>
      <c r="C67" s="45" t="e">
        <f>IF(ISBLANK(Data!#REF!),"",Data!#REF!)</f>
        <v>#REF!</v>
      </c>
      <c r="D67" s="21" t="e">
        <f>IF(ISBLANK(Data!#REF!),"",Data!#REF!)</f>
        <v>#REF!</v>
      </c>
      <c r="E67" s="21" t="e">
        <f>IF(ISBLANK(Data!#REF!),"",Data!#REF!)</f>
        <v>#REF!</v>
      </c>
      <c r="F67" s="33" t="e">
        <f>IF(ISBLANK(Data!#REF!),"",Data!#REF!)</f>
        <v>#REF!</v>
      </c>
      <c r="G67" s="21" t="e">
        <f>IF(ISBLANK(Data!#REF!),"",Data!#REF!)</f>
        <v>#REF!</v>
      </c>
      <c r="H67" s="33" t="e">
        <f>IF(ISBLANK(Data!#REF!),"",Data!#REF!)</f>
        <v>#REF!</v>
      </c>
      <c r="I67" s="33" t="e">
        <f>IF(ISBLANK(Data!#REF!),"",Data!#REF!)</f>
        <v>#REF!</v>
      </c>
      <c r="J67" s="33" t="e">
        <f>IF(ISBLANK(Data!#REF!),"",Data!#REF!)</f>
        <v>#REF!</v>
      </c>
      <c r="K67" s="21" t="e">
        <f>IF(ISBLANK(Data!#REF!),"",Data!#REF!)</f>
        <v>#REF!</v>
      </c>
      <c r="L67" s="21" t="e">
        <f>IF(ISBLANK(Data!#REF!),"",Data!#REF!)</f>
        <v>#REF!</v>
      </c>
      <c r="N67" s="46" t="e">
        <f>IF(ISBLANK(Data!#REF!),"",Data!#REF!)</f>
        <v>#REF!</v>
      </c>
      <c r="O67" s="46" t="e">
        <f>IF(ISBLANK(Data!#REF!),"",Data!#REF!)</f>
        <v>#REF!</v>
      </c>
      <c r="P67" s="46" t="e">
        <f>IF(ISBLANK(Data!#REF!),"",Data!#REF!)</f>
        <v>#REF!</v>
      </c>
      <c r="Q67" s="46" t="e">
        <f t="shared" ref="Q67:Q130" si="1">IF(N67="","",IF(O67="",N67,N67+O67))</f>
        <v>#REF!</v>
      </c>
      <c r="R67" s="47" t="e">
        <f>IF(ISBLANK(Data!#REF!),"",Data!#REF!)</f>
        <v>#REF!</v>
      </c>
      <c r="S67" s="33" t="e">
        <f>IF(ISBLANK(Data!#REF!),"",Data!#REF!)</f>
        <v>#REF!</v>
      </c>
      <c r="T67" s="33" t="e">
        <f>IF(ISBLANK(Data!#REF!),"",Data!#REF!)</f>
        <v>#REF!</v>
      </c>
      <c r="U67" s="21" t="e">
        <f>IF(ISBLANK(Data!#REF!),"",Data!#REF!)</f>
        <v>#REF!</v>
      </c>
    </row>
    <row r="68" spans="1:21" x14ac:dyDescent="0.25">
      <c r="A68" s="33" t="e">
        <f>IF(ISBLANK(Data!#REF!),"",YEAR(Data!#REF!))</f>
        <v>#REF!</v>
      </c>
      <c r="B68" s="44" t="e">
        <f>IF(ISBLANK(Data!#REF!),"",Data!#REF!)</f>
        <v>#REF!</v>
      </c>
      <c r="C68" s="45" t="e">
        <f>IF(ISBLANK(Data!#REF!),"",Data!#REF!)</f>
        <v>#REF!</v>
      </c>
      <c r="D68" s="21" t="e">
        <f>IF(ISBLANK(Data!#REF!),"",Data!#REF!)</f>
        <v>#REF!</v>
      </c>
      <c r="E68" s="21" t="e">
        <f>IF(ISBLANK(Data!#REF!),"",Data!#REF!)</f>
        <v>#REF!</v>
      </c>
      <c r="F68" s="33" t="e">
        <f>IF(ISBLANK(Data!#REF!),"",Data!#REF!)</f>
        <v>#REF!</v>
      </c>
      <c r="G68" s="21" t="e">
        <f>IF(ISBLANK(Data!#REF!),"",Data!#REF!)</f>
        <v>#REF!</v>
      </c>
      <c r="H68" s="33" t="e">
        <f>IF(ISBLANK(Data!#REF!),"",Data!#REF!)</f>
        <v>#REF!</v>
      </c>
      <c r="I68" s="33" t="e">
        <f>IF(ISBLANK(Data!#REF!),"",Data!#REF!)</f>
        <v>#REF!</v>
      </c>
      <c r="J68" s="33" t="e">
        <f>IF(ISBLANK(Data!#REF!),"",Data!#REF!)</f>
        <v>#REF!</v>
      </c>
      <c r="K68" s="21" t="e">
        <f>IF(ISBLANK(Data!#REF!),"",Data!#REF!)</f>
        <v>#REF!</v>
      </c>
      <c r="L68" s="21" t="e">
        <f>IF(ISBLANK(Data!#REF!),"",Data!#REF!)</f>
        <v>#REF!</v>
      </c>
      <c r="N68" s="46" t="e">
        <f>IF(ISBLANK(Data!#REF!),"",Data!#REF!)</f>
        <v>#REF!</v>
      </c>
      <c r="O68" s="46" t="e">
        <f>IF(ISBLANK(Data!#REF!),"",Data!#REF!)</f>
        <v>#REF!</v>
      </c>
      <c r="P68" s="46" t="e">
        <f>IF(ISBLANK(Data!#REF!),"",Data!#REF!)</f>
        <v>#REF!</v>
      </c>
      <c r="Q68" s="46" t="e">
        <f t="shared" si="1"/>
        <v>#REF!</v>
      </c>
      <c r="R68" s="47" t="e">
        <f>IF(ISBLANK(Data!#REF!),"",Data!#REF!)</f>
        <v>#REF!</v>
      </c>
      <c r="S68" s="33" t="e">
        <f>IF(ISBLANK(Data!#REF!),"",Data!#REF!)</f>
        <v>#REF!</v>
      </c>
      <c r="T68" s="33" t="e">
        <f>IF(ISBLANK(Data!#REF!),"",Data!#REF!)</f>
        <v>#REF!</v>
      </c>
      <c r="U68" s="21" t="e">
        <f>IF(ISBLANK(Data!#REF!),"",Data!#REF!)</f>
        <v>#REF!</v>
      </c>
    </row>
    <row r="69" spans="1:21" x14ac:dyDescent="0.25">
      <c r="A69" s="33" t="e">
        <f>IF(ISBLANK(Data!#REF!),"",YEAR(Data!#REF!))</f>
        <v>#REF!</v>
      </c>
      <c r="B69" s="44" t="e">
        <f>IF(ISBLANK(Data!#REF!),"",Data!#REF!)</f>
        <v>#REF!</v>
      </c>
      <c r="C69" s="45" t="e">
        <f>IF(ISBLANK(Data!#REF!),"",Data!#REF!)</f>
        <v>#REF!</v>
      </c>
      <c r="D69" s="21" t="e">
        <f>IF(ISBLANK(Data!#REF!),"",Data!#REF!)</f>
        <v>#REF!</v>
      </c>
      <c r="E69" s="21" t="e">
        <f>IF(ISBLANK(Data!#REF!),"",Data!#REF!)</f>
        <v>#REF!</v>
      </c>
      <c r="F69" s="33" t="e">
        <f>IF(ISBLANK(Data!#REF!),"",Data!#REF!)</f>
        <v>#REF!</v>
      </c>
      <c r="G69" s="21" t="e">
        <f>IF(ISBLANK(Data!#REF!),"",Data!#REF!)</f>
        <v>#REF!</v>
      </c>
      <c r="H69" s="33" t="e">
        <f>IF(ISBLANK(Data!#REF!),"",Data!#REF!)</f>
        <v>#REF!</v>
      </c>
      <c r="I69" s="33" t="e">
        <f>IF(ISBLANK(Data!#REF!),"",Data!#REF!)</f>
        <v>#REF!</v>
      </c>
      <c r="J69" s="33" t="e">
        <f>IF(ISBLANK(Data!#REF!),"",Data!#REF!)</f>
        <v>#REF!</v>
      </c>
      <c r="K69" s="21" t="e">
        <f>IF(ISBLANK(Data!#REF!),"",Data!#REF!)</f>
        <v>#REF!</v>
      </c>
      <c r="L69" s="21" t="e">
        <f>IF(ISBLANK(Data!#REF!),"",Data!#REF!)</f>
        <v>#REF!</v>
      </c>
      <c r="N69" s="46" t="e">
        <f>IF(ISBLANK(Data!#REF!),"",Data!#REF!)</f>
        <v>#REF!</v>
      </c>
      <c r="O69" s="46" t="e">
        <f>IF(ISBLANK(Data!#REF!),"",Data!#REF!)</f>
        <v>#REF!</v>
      </c>
      <c r="P69" s="46" t="e">
        <f>IF(ISBLANK(Data!#REF!),"",Data!#REF!)</f>
        <v>#REF!</v>
      </c>
      <c r="Q69" s="46" t="e">
        <f t="shared" si="1"/>
        <v>#REF!</v>
      </c>
      <c r="R69" s="47" t="e">
        <f>IF(ISBLANK(Data!#REF!),"",Data!#REF!)</f>
        <v>#REF!</v>
      </c>
      <c r="S69" s="33" t="e">
        <f>IF(ISBLANK(Data!#REF!),"",Data!#REF!)</f>
        <v>#REF!</v>
      </c>
      <c r="T69" s="33" t="e">
        <f>IF(ISBLANK(Data!#REF!),"",Data!#REF!)</f>
        <v>#REF!</v>
      </c>
      <c r="U69" s="21" t="e">
        <f>IF(ISBLANK(Data!#REF!),"",Data!#REF!)</f>
        <v>#REF!</v>
      </c>
    </row>
    <row r="70" spans="1:21" x14ac:dyDescent="0.25">
      <c r="A70" s="33" t="e">
        <f>IF(ISBLANK(Data!#REF!),"",YEAR(Data!#REF!))</f>
        <v>#REF!</v>
      </c>
      <c r="B70" s="44" t="e">
        <f>IF(ISBLANK(Data!#REF!),"",Data!#REF!)</f>
        <v>#REF!</v>
      </c>
      <c r="C70" s="45" t="e">
        <f>IF(ISBLANK(Data!#REF!),"",Data!#REF!)</f>
        <v>#REF!</v>
      </c>
      <c r="D70" s="21" t="e">
        <f>IF(ISBLANK(Data!#REF!),"",Data!#REF!)</f>
        <v>#REF!</v>
      </c>
      <c r="E70" s="21" t="e">
        <f>IF(ISBLANK(Data!#REF!),"",Data!#REF!)</f>
        <v>#REF!</v>
      </c>
      <c r="F70" s="33" t="e">
        <f>IF(ISBLANK(Data!#REF!),"",Data!#REF!)</f>
        <v>#REF!</v>
      </c>
      <c r="G70" s="21" t="e">
        <f>IF(ISBLANK(Data!#REF!),"",Data!#REF!)</f>
        <v>#REF!</v>
      </c>
      <c r="H70" s="33" t="e">
        <f>IF(ISBLANK(Data!#REF!),"",Data!#REF!)</f>
        <v>#REF!</v>
      </c>
      <c r="I70" s="33" t="e">
        <f>IF(ISBLANK(Data!#REF!),"",Data!#REF!)</f>
        <v>#REF!</v>
      </c>
      <c r="J70" s="33" t="e">
        <f>IF(ISBLANK(Data!#REF!),"",Data!#REF!)</f>
        <v>#REF!</v>
      </c>
      <c r="K70" s="21" t="e">
        <f>IF(ISBLANK(Data!#REF!),"",Data!#REF!)</f>
        <v>#REF!</v>
      </c>
      <c r="L70" s="21" t="e">
        <f>IF(ISBLANK(Data!#REF!),"",Data!#REF!)</f>
        <v>#REF!</v>
      </c>
      <c r="N70" s="46" t="e">
        <f>IF(ISBLANK(Data!#REF!),"",Data!#REF!)</f>
        <v>#REF!</v>
      </c>
      <c r="O70" s="46" t="e">
        <f>IF(ISBLANK(Data!#REF!),"",Data!#REF!)</f>
        <v>#REF!</v>
      </c>
      <c r="P70" s="46" t="e">
        <f>IF(ISBLANK(Data!#REF!),"",Data!#REF!)</f>
        <v>#REF!</v>
      </c>
      <c r="Q70" s="46" t="e">
        <f t="shared" si="1"/>
        <v>#REF!</v>
      </c>
      <c r="R70" s="47" t="e">
        <f>IF(ISBLANK(Data!#REF!),"",Data!#REF!)</f>
        <v>#REF!</v>
      </c>
      <c r="S70" s="33" t="e">
        <f>IF(ISBLANK(Data!#REF!),"",Data!#REF!)</f>
        <v>#REF!</v>
      </c>
      <c r="T70" s="33" t="e">
        <f>IF(ISBLANK(Data!#REF!),"",Data!#REF!)</f>
        <v>#REF!</v>
      </c>
      <c r="U70" s="21" t="e">
        <f>IF(ISBLANK(Data!#REF!),"",Data!#REF!)</f>
        <v>#REF!</v>
      </c>
    </row>
    <row r="71" spans="1:21" x14ac:dyDescent="0.25">
      <c r="A71" s="33" t="e">
        <f>IF(ISBLANK(Data!#REF!),"",YEAR(Data!#REF!))</f>
        <v>#REF!</v>
      </c>
      <c r="B71" s="44" t="e">
        <f>IF(ISBLANK(Data!#REF!),"",Data!#REF!)</f>
        <v>#REF!</v>
      </c>
      <c r="C71" s="45" t="e">
        <f>IF(ISBLANK(Data!#REF!),"",Data!#REF!)</f>
        <v>#REF!</v>
      </c>
      <c r="D71" s="21" t="e">
        <f>IF(ISBLANK(Data!#REF!),"",Data!#REF!)</f>
        <v>#REF!</v>
      </c>
      <c r="E71" s="21" t="e">
        <f>IF(ISBLANK(Data!#REF!),"",Data!#REF!)</f>
        <v>#REF!</v>
      </c>
      <c r="F71" s="33" t="e">
        <f>IF(ISBLANK(Data!#REF!),"",Data!#REF!)</f>
        <v>#REF!</v>
      </c>
      <c r="G71" s="21" t="e">
        <f>IF(ISBLANK(Data!#REF!),"",Data!#REF!)</f>
        <v>#REF!</v>
      </c>
      <c r="H71" s="33" t="e">
        <f>IF(ISBLANK(Data!#REF!),"",Data!#REF!)</f>
        <v>#REF!</v>
      </c>
      <c r="I71" s="33" t="e">
        <f>IF(ISBLANK(Data!#REF!),"",Data!#REF!)</f>
        <v>#REF!</v>
      </c>
      <c r="J71" s="33" t="e">
        <f>IF(ISBLANK(Data!#REF!),"",Data!#REF!)</f>
        <v>#REF!</v>
      </c>
      <c r="K71" s="21" t="e">
        <f>IF(ISBLANK(Data!#REF!),"",Data!#REF!)</f>
        <v>#REF!</v>
      </c>
      <c r="L71" s="21" t="e">
        <f>IF(ISBLANK(Data!#REF!),"",Data!#REF!)</f>
        <v>#REF!</v>
      </c>
      <c r="N71" s="46" t="e">
        <f>IF(ISBLANK(Data!#REF!),"",Data!#REF!)</f>
        <v>#REF!</v>
      </c>
      <c r="O71" s="46" t="e">
        <f>IF(ISBLANK(Data!#REF!),"",Data!#REF!)</f>
        <v>#REF!</v>
      </c>
      <c r="P71" s="46" t="e">
        <f>IF(ISBLANK(Data!#REF!),"",Data!#REF!)</f>
        <v>#REF!</v>
      </c>
      <c r="Q71" s="46" t="e">
        <f t="shared" si="1"/>
        <v>#REF!</v>
      </c>
      <c r="R71" s="47" t="e">
        <f>IF(ISBLANK(Data!#REF!),"",Data!#REF!)</f>
        <v>#REF!</v>
      </c>
      <c r="S71" s="33" t="e">
        <f>IF(ISBLANK(Data!#REF!),"",Data!#REF!)</f>
        <v>#REF!</v>
      </c>
      <c r="T71" s="33" t="e">
        <f>IF(ISBLANK(Data!#REF!),"",Data!#REF!)</f>
        <v>#REF!</v>
      </c>
      <c r="U71" s="21" t="e">
        <f>IF(ISBLANK(Data!#REF!),"",Data!#REF!)</f>
        <v>#REF!</v>
      </c>
    </row>
    <row r="72" spans="1:21" x14ac:dyDescent="0.25">
      <c r="A72" s="33" t="e">
        <f>IF(ISBLANK(Data!#REF!),"",YEAR(Data!#REF!))</f>
        <v>#REF!</v>
      </c>
      <c r="B72" s="44" t="e">
        <f>IF(ISBLANK(Data!#REF!),"",Data!#REF!)</f>
        <v>#REF!</v>
      </c>
      <c r="C72" s="45" t="e">
        <f>IF(ISBLANK(Data!#REF!),"",Data!#REF!)</f>
        <v>#REF!</v>
      </c>
      <c r="D72" s="21" t="e">
        <f>IF(ISBLANK(Data!#REF!),"",Data!#REF!)</f>
        <v>#REF!</v>
      </c>
      <c r="E72" s="21" t="e">
        <f>IF(ISBLANK(Data!#REF!),"",Data!#REF!)</f>
        <v>#REF!</v>
      </c>
      <c r="F72" s="33" t="e">
        <f>IF(ISBLANK(Data!#REF!),"",Data!#REF!)</f>
        <v>#REF!</v>
      </c>
      <c r="G72" s="21" t="e">
        <f>IF(ISBLANK(Data!#REF!),"",Data!#REF!)</f>
        <v>#REF!</v>
      </c>
      <c r="H72" s="33" t="e">
        <f>IF(ISBLANK(Data!#REF!),"",Data!#REF!)</f>
        <v>#REF!</v>
      </c>
      <c r="I72" s="33" t="e">
        <f>IF(ISBLANK(Data!#REF!),"",Data!#REF!)</f>
        <v>#REF!</v>
      </c>
      <c r="J72" s="33" t="e">
        <f>IF(ISBLANK(Data!#REF!),"",Data!#REF!)</f>
        <v>#REF!</v>
      </c>
      <c r="K72" s="21" t="e">
        <f>IF(ISBLANK(Data!#REF!),"",Data!#REF!)</f>
        <v>#REF!</v>
      </c>
      <c r="L72" s="21" t="e">
        <f>IF(ISBLANK(Data!#REF!),"",Data!#REF!)</f>
        <v>#REF!</v>
      </c>
      <c r="N72" s="46" t="e">
        <f>IF(ISBLANK(Data!#REF!),"",Data!#REF!)</f>
        <v>#REF!</v>
      </c>
      <c r="O72" s="46" t="e">
        <f>IF(ISBLANK(Data!#REF!),"",Data!#REF!)</f>
        <v>#REF!</v>
      </c>
      <c r="P72" s="46" t="e">
        <f>IF(ISBLANK(Data!#REF!),"",Data!#REF!)</f>
        <v>#REF!</v>
      </c>
      <c r="Q72" s="46" t="e">
        <f t="shared" si="1"/>
        <v>#REF!</v>
      </c>
      <c r="R72" s="47" t="e">
        <f>IF(ISBLANK(Data!#REF!),"",Data!#REF!)</f>
        <v>#REF!</v>
      </c>
      <c r="S72" s="33" t="e">
        <f>IF(ISBLANK(Data!#REF!),"",Data!#REF!)</f>
        <v>#REF!</v>
      </c>
      <c r="T72" s="33" t="e">
        <f>IF(ISBLANK(Data!#REF!),"",Data!#REF!)</f>
        <v>#REF!</v>
      </c>
      <c r="U72" s="21" t="e">
        <f>IF(ISBLANK(Data!#REF!),"",Data!#REF!)</f>
        <v>#REF!</v>
      </c>
    </row>
    <row r="73" spans="1:21" x14ac:dyDescent="0.25">
      <c r="A73" s="33" t="e">
        <f>IF(ISBLANK(Data!#REF!),"",YEAR(Data!#REF!))</f>
        <v>#REF!</v>
      </c>
      <c r="B73" s="44" t="e">
        <f>IF(ISBLANK(Data!#REF!),"",Data!#REF!)</f>
        <v>#REF!</v>
      </c>
      <c r="C73" s="45" t="e">
        <f>IF(ISBLANK(Data!#REF!),"",Data!#REF!)</f>
        <v>#REF!</v>
      </c>
      <c r="D73" s="21" t="e">
        <f>IF(ISBLANK(Data!#REF!),"",Data!#REF!)</f>
        <v>#REF!</v>
      </c>
      <c r="E73" s="21" t="e">
        <f>IF(ISBLANK(Data!#REF!),"",Data!#REF!)</f>
        <v>#REF!</v>
      </c>
      <c r="F73" s="33" t="e">
        <f>IF(ISBLANK(Data!#REF!),"",Data!#REF!)</f>
        <v>#REF!</v>
      </c>
      <c r="G73" s="21" t="e">
        <f>IF(ISBLANK(Data!#REF!),"",Data!#REF!)</f>
        <v>#REF!</v>
      </c>
      <c r="H73" s="33" t="e">
        <f>IF(ISBLANK(Data!#REF!),"",Data!#REF!)</f>
        <v>#REF!</v>
      </c>
      <c r="I73" s="33" t="e">
        <f>IF(ISBLANK(Data!#REF!),"",Data!#REF!)</f>
        <v>#REF!</v>
      </c>
      <c r="J73" s="33" t="e">
        <f>IF(ISBLANK(Data!#REF!),"",Data!#REF!)</f>
        <v>#REF!</v>
      </c>
      <c r="K73" s="21" t="e">
        <f>IF(ISBLANK(Data!#REF!),"",Data!#REF!)</f>
        <v>#REF!</v>
      </c>
      <c r="L73" s="21" t="e">
        <f>IF(ISBLANK(Data!#REF!),"",Data!#REF!)</f>
        <v>#REF!</v>
      </c>
      <c r="N73" s="46" t="e">
        <f>IF(ISBLANK(Data!#REF!),"",Data!#REF!)</f>
        <v>#REF!</v>
      </c>
      <c r="O73" s="46" t="e">
        <f>IF(ISBLANK(Data!#REF!),"",Data!#REF!)</f>
        <v>#REF!</v>
      </c>
      <c r="P73" s="46" t="e">
        <f>IF(ISBLANK(Data!#REF!),"",Data!#REF!)</f>
        <v>#REF!</v>
      </c>
      <c r="Q73" s="46" t="e">
        <f t="shared" si="1"/>
        <v>#REF!</v>
      </c>
      <c r="R73" s="47" t="e">
        <f>IF(ISBLANK(Data!#REF!),"",Data!#REF!)</f>
        <v>#REF!</v>
      </c>
      <c r="S73" s="33" t="e">
        <f>IF(ISBLANK(Data!#REF!),"",Data!#REF!)</f>
        <v>#REF!</v>
      </c>
      <c r="T73" s="33" t="e">
        <f>IF(ISBLANK(Data!#REF!),"",Data!#REF!)</f>
        <v>#REF!</v>
      </c>
      <c r="U73" s="21" t="e">
        <f>IF(ISBLANK(Data!#REF!),"",Data!#REF!)</f>
        <v>#REF!</v>
      </c>
    </row>
    <row r="74" spans="1:21" x14ac:dyDescent="0.25">
      <c r="A74" s="33" t="e">
        <f>IF(ISBLANK(Data!#REF!),"",YEAR(Data!#REF!))</f>
        <v>#REF!</v>
      </c>
      <c r="B74" s="44" t="e">
        <f>IF(ISBLANK(Data!#REF!),"",Data!#REF!)</f>
        <v>#REF!</v>
      </c>
      <c r="C74" s="45" t="e">
        <f>IF(ISBLANK(Data!#REF!),"",Data!#REF!)</f>
        <v>#REF!</v>
      </c>
      <c r="D74" s="21" t="e">
        <f>IF(ISBLANK(Data!#REF!),"",Data!#REF!)</f>
        <v>#REF!</v>
      </c>
      <c r="E74" s="21" t="e">
        <f>IF(ISBLANK(Data!#REF!),"",Data!#REF!)</f>
        <v>#REF!</v>
      </c>
      <c r="F74" s="33" t="e">
        <f>IF(ISBLANK(Data!#REF!),"",Data!#REF!)</f>
        <v>#REF!</v>
      </c>
      <c r="G74" s="21" t="e">
        <f>IF(ISBLANK(Data!#REF!),"",Data!#REF!)</f>
        <v>#REF!</v>
      </c>
      <c r="H74" s="33" t="e">
        <f>IF(ISBLANK(Data!#REF!),"",Data!#REF!)</f>
        <v>#REF!</v>
      </c>
      <c r="I74" s="33" t="e">
        <f>IF(ISBLANK(Data!#REF!),"",Data!#REF!)</f>
        <v>#REF!</v>
      </c>
      <c r="J74" s="33" t="e">
        <f>IF(ISBLANK(Data!#REF!),"",Data!#REF!)</f>
        <v>#REF!</v>
      </c>
      <c r="K74" s="21" t="e">
        <f>IF(ISBLANK(Data!#REF!),"",Data!#REF!)</f>
        <v>#REF!</v>
      </c>
      <c r="L74" s="21" t="e">
        <f>IF(ISBLANK(Data!#REF!),"",Data!#REF!)</f>
        <v>#REF!</v>
      </c>
      <c r="N74" s="46" t="e">
        <f>IF(ISBLANK(Data!#REF!),"",Data!#REF!)</f>
        <v>#REF!</v>
      </c>
      <c r="O74" s="46" t="e">
        <f>IF(ISBLANK(Data!#REF!),"",Data!#REF!)</f>
        <v>#REF!</v>
      </c>
      <c r="P74" s="46" t="e">
        <f>IF(ISBLANK(Data!#REF!),"",Data!#REF!)</f>
        <v>#REF!</v>
      </c>
      <c r="Q74" s="46" t="e">
        <f t="shared" si="1"/>
        <v>#REF!</v>
      </c>
      <c r="R74" s="47" t="e">
        <f>IF(ISBLANK(Data!#REF!),"",Data!#REF!)</f>
        <v>#REF!</v>
      </c>
      <c r="S74" s="33" t="e">
        <f>IF(ISBLANK(Data!#REF!),"",Data!#REF!)</f>
        <v>#REF!</v>
      </c>
      <c r="T74" s="33" t="e">
        <f>IF(ISBLANK(Data!#REF!),"",Data!#REF!)</f>
        <v>#REF!</v>
      </c>
      <c r="U74" s="21" t="e">
        <f>IF(ISBLANK(Data!#REF!),"",Data!#REF!)</f>
        <v>#REF!</v>
      </c>
    </row>
    <row r="75" spans="1:21" x14ac:dyDescent="0.25">
      <c r="A75" s="33" t="e">
        <f>IF(ISBLANK(Data!#REF!),"",YEAR(Data!#REF!))</f>
        <v>#REF!</v>
      </c>
      <c r="B75" s="44" t="e">
        <f>IF(ISBLANK(Data!#REF!),"",Data!#REF!)</f>
        <v>#REF!</v>
      </c>
      <c r="C75" s="45" t="e">
        <f>IF(ISBLANK(Data!#REF!),"",Data!#REF!)</f>
        <v>#REF!</v>
      </c>
      <c r="D75" s="21" t="e">
        <f>IF(ISBLANK(Data!#REF!),"",Data!#REF!)</f>
        <v>#REF!</v>
      </c>
      <c r="E75" s="21" t="e">
        <f>IF(ISBLANK(Data!#REF!),"",Data!#REF!)</f>
        <v>#REF!</v>
      </c>
      <c r="F75" s="33" t="e">
        <f>IF(ISBLANK(Data!#REF!),"",Data!#REF!)</f>
        <v>#REF!</v>
      </c>
      <c r="G75" s="21" t="e">
        <f>IF(ISBLANK(Data!#REF!),"",Data!#REF!)</f>
        <v>#REF!</v>
      </c>
      <c r="H75" s="33" t="e">
        <f>IF(ISBLANK(Data!#REF!),"",Data!#REF!)</f>
        <v>#REF!</v>
      </c>
      <c r="I75" s="33" t="e">
        <f>IF(ISBLANK(Data!#REF!),"",Data!#REF!)</f>
        <v>#REF!</v>
      </c>
      <c r="J75" s="33" t="e">
        <f>IF(ISBLANK(Data!#REF!),"",Data!#REF!)</f>
        <v>#REF!</v>
      </c>
      <c r="K75" s="21" t="e">
        <f>IF(ISBLANK(Data!#REF!),"",Data!#REF!)</f>
        <v>#REF!</v>
      </c>
      <c r="L75" s="21" t="e">
        <f>IF(ISBLANK(Data!#REF!),"",Data!#REF!)</f>
        <v>#REF!</v>
      </c>
      <c r="N75" s="46" t="e">
        <f>IF(ISBLANK(Data!#REF!),"",Data!#REF!)</f>
        <v>#REF!</v>
      </c>
      <c r="O75" s="46" t="e">
        <f>IF(ISBLANK(Data!#REF!),"",Data!#REF!)</f>
        <v>#REF!</v>
      </c>
      <c r="P75" s="46" t="e">
        <f>IF(ISBLANK(Data!#REF!),"",Data!#REF!)</f>
        <v>#REF!</v>
      </c>
      <c r="Q75" s="46" t="e">
        <f t="shared" si="1"/>
        <v>#REF!</v>
      </c>
      <c r="R75" s="47" t="e">
        <f>IF(ISBLANK(Data!#REF!),"",Data!#REF!)</f>
        <v>#REF!</v>
      </c>
      <c r="S75" s="33" t="e">
        <f>IF(ISBLANK(Data!#REF!),"",Data!#REF!)</f>
        <v>#REF!</v>
      </c>
      <c r="T75" s="33" t="e">
        <f>IF(ISBLANK(Data!#REF!),"",Data!#REF!)</f>
        <v>#REF!</v>
      </c>
      <c r="U75" s="21" t="e">
        <f>IF(ISBLANK(Data!#REF!),"",Data!#REF!)</f>
        <v>#REF!</v>
      </c>
    </row>
    <row r="76" spans="1:21" x14ac:dyDescent="0.25">
      <c r="A76" s="33" t="e">
        <f>IF(ISBLANK(Data!#REF!),"",YEAR(Data!#REF!))</f>
        <v>#REF!</v>
      </c>
      <c r="B76" s="44" t="e">
        <f>IF(ISBLANK(Data!#REF!),"",Data!#REF!)</f>
        <v>#REF!</v>
      </c>
      <c r="C76" s="45" t="e">
        <f>IF(ISBLANK(Data!#REF!),"",Data!#REF!)</f>
        <v>#REF!</v>
      </c>
      <c r="D76" s="21" t="e">
        <f>IF(ISBLANK(Data!#REF!),"",Data!#REF!)</f>
        <v>#REF!</v>
      </c>
      <c r="E76" s="21" t="e">
        <f>IF(ISBLANK(Data!#REF!),"",Data!#REF!)</f>
        <v>#REF!</v>
      </c>
      <c r="F76" s="33" t="e">
        <f>IF(ISBLANK(Data!#REF!),"",Data!#REF!)</f>
        <v>#REF!</v>
      </c>
      <c r="G76" s="21" t="e">
        <f>IF(ISBLANK(Data!#REF!),"",Data!#REF!)</f>
        <v>#REF!</v>
      </c>
      <c r="H76" s="33" t="e">
        <f>IF(ISBLANK(Data!#REF!),"",Data!#REF!)</f>
        <v>#REF!</v>
      </c>
      <c r="I76" s="33" t="e">
        <f>IF(ISBLANK(Data!#REF!),"",Data!#REF!)</f>
        <v>#REF!</v>
      </c>
      <c r="J76" s="33" t="e">
        <f>IF(ISBLANK(Data!#REF!),"",Data!#REF!)</f>
        <v>#REF!</v>
      </c>
      <c r="K76" s="21" t="e">
        <f>IF(ISBLANK(Data!#REF!),"",Data!#REF!)</f>
        <v>#REF!</v>
      </c>
      <c r="L76" s="21" t="e">
        <f>IF(ISBLANK(Data!#REF!),"",Data!#REF!)</f>
        <v>#REF!</v>
      </c>
      <c r="N76" s="46" t="e">
        <f>IF(ISBLANK(Data!#REF!),"",Data!#REF!)</f>
        <v>#REF!</v>
      </c>
      <c r="O76" s="46" t="e">
        <f>IF(ISBLANK(Data!#REF!),"",Data!#REF!)</f>
        <v>#REF!</v>
      </c>
      <c r="P76" s="46" t="e">
        <f>IF(ISBLANK(Data!#REF!),"",Data!#REF!)</f>
        <v>#REF!</v>
      </c>
      <c r="Q76" s="46" t="e">
        <f t="shared" si="1"/>
        <v>#REF!</v>
      </c>
      <c r="R76" s="47" t="e">
        <f>IF(ISBLANK(Data!#REF!),"",Data!#REF!)</f>
        <v>#REF!</v>
      </c>
      <c r="S76" s="33" t="e">
        <f>IF(ISBLANK(Data!#REF!),"",Data!#REF!)</f>
        <v>#REF!</v>
      </c>
      <c r="T76" s="33" t="e">
        <f>IF(ISBLANK(Data!#REF!),"",Data!#REF!)</f>
        <v>#REF!</v>
      </c>
      <c r="U76" s="21" t="e">
        <f>IF(ISBLANK(Data!#REF!),"",Data!#REF!)</f>
        <v>#REF!</v>
      </c>
    </row>
    <row r="77" spans="1:21" x14ac:dyDescent="0.25">
      <c r="A77" s="33" t="e">
        <f>IF(ISBLANK(Data!#REF!),"",YEAR(Data!#REF!))</f>
        <v>#REF!</v>
      </c>
      <c r="B77" s="44" t="e">
        <f>IF(ISBLANK(Data!#REF!),"",Data!#REF!)</f>
        <v>#REF!</v>
      </c>
      <c r="C77" s="45" t="e">
        <f>IF(ISBLANK(Data!#REF!),"",Data!#REF!)</f>
        <v>#REF!</v>
      </c>
      <c r="D77" s="21" t="e">
        <f>IF(ISBLANK(Data!#REF!),"",Data!#REF!)</f>
        <v>#REF!</v>
      </c>
      <c r="E77" s="21" t="e">
        <f>IF(ISBLANK(Data!#REF!),"",Data!#REF!)</f>
        <v>#REF!</v>
      </c>
      <c r="F77" s="33" t="e">
        <f>IF(ISBLANK(Data!#REF!),"",Data!#REF!)</f>
        <v>#REF!</v>
      </c>
      <c r="G77" s="21" t="e">
        <f>IF(ISBLANK(Data!#REF!),"",Data!#REF!)</f>
        <v>#REF!</v>
      </c>
      <c r="H77" s="33" t="e">
        <f>IF(ISBLANK(Data!#REF!),"",Data!#REF!)</f>
        <v>#REF!</v>
      </c>
      <c r="I77" s="33" t="e">
        <f>IF(ISBLANK(Data!#REF!),"",Data!#REF!)</f>
        <v>#REF!</v>
      </c>
      <c r="J77" s="33" t="e">
        <f>IF(ISBLANK(Data!#REF!),"",Data!#REF!)</f>
        <v>#REF!</v>
      </c>
      <c r="K77" s="21" t="e">
        <f>IF(ISBLANK(Data!#REF!),"",Data!#REF!)</f>
        <v>#REF!</v>
      </c>
      <c r="L77" s="21" t="e">
        <f>IF(ISBLANK(Data!#REF!),"",Data!#REF!)</f>
        <v>#REF!</v>
      </c>
      <c r="N77" s="46" t="e">
        <f>IF(ISBLANK(Data!#REF!),"",Data!#REF!)</f>
        <v>#REF!</v>
      </c>
      <c r="O77" s="46" t="e">
        <f>IF(ISBLANK(Data!#REF!),"",Data!#REF!)</f>
        <v>#REF!</v>
      </c>
      <c r="P77" s="46" t="e">
        <f>IF(ISBLANK(Data!#REF!),"",Data!#REF!)</f>
        <v>#REF!</v>
      </c>
      <c r="Q77" s="46" t="e">
        <f t="shared" si="1"/>
        <v>#REF!</v>
      </c>
      <c r="R77" s="47" t="e">
        <f>IF(ISBLANK(Data!#REF!),"",Data!#REF!)</f>
        <v>#REF!</v>
      </c>
      <c r="S77" s="33" t="e">
        <f>IF(ISBLANK(Data!#REF!),"",Data!#REF!)</f>
        <v>#REF!</v>
      </c>
      <c r="T77" s="33" t="e">
        <f>IF(ISBLANK(Data!#REF!),"",Data!#REF!)</f>
        <v>#REF!</v>
      </c>
      <c r="U77" s="21" t="e">
        <f>IF(ISBLANK(Data!#REF!),"",Data!#REF!)</f>
        <v>#REF!</v>
      </c>
    </row>
    <row r="78" spans="1:21" x14ac:dyDescent="0.25">
      <c r="A78" s="33" t="e">
        <f>IF(ISBLANK(Data!#REF!),"",YEAR(Data!#REF!))</f>
        <v>#REF!</v>
      </c>
      <c r="B78" s="44" t="e">
        <f>IF(ISBLANK(Data!#REF!),"",Data!#REF!)</f>
        <v>#REF!</v>
      </c>
      <c r="C78" s="45" t="e">
        <f>IF(ISBLANK(Data!#REF!),"",Data!#REF!)</f>
        <v>#REF!</v>
      </c>
      <c r="D78" s="21" t="e">
        <f>IF(ISBLANK(Data!#REF!),"",Data!#REF!)</f>
        <v>#REF!</v>
      </c>
      <c r="E78" s="21" t="e">
        <f>IF(ISBLANK(Data!#REF!),"",Data!#REF!)</f>
        <v>#REF!</v>
      </c>
      <c r="F78" s="33" t="e">
        <f>IF(ISBLANK(Data!#REF!),"",Data!#REF!)</f>
        <v>#REF!</v>
      </c>
      <c r="G78" s="21" t="e">
        <f>IF(ISBLANK(Data!#REF!),"",Data!#REF!)</f>
        <v>#REF!</v>
      </c>
      <c r="H78" s="33" t="e">
        <f>IF(ISBLANK(Data!#REF!),"",Data!#REF!)</f>
        <v>#REF!</v>
      </c>
      <c r="I78" s="33" t="e">
        <f>IF(ISBLANK(Data!#REF!),"",Data!#REF!)</f>
        <v>#REF!</v>
      </c>
      <c r="J78" s="33" t="e">
        <f>IF(ISBLANK(Data!#REF!),"",Data!#REF!)</f>
        <v>#REF!</v>
      </c>
      <c r="K78" s="21" t="e">
        <f>IF(ISBLANK(Data!#REF!),"",Data!#REF!)</f>
        <v>#REF!</v>
      </c>
      <c r="L78" s="21" t="e">
        <f>IF(ISBLANK(Data!#REF!),"",Data!#REF!)</f>
        <v>#REF!</v>
      </c>
      <c r="N78" s="46" t="e">
        <f>IF(ISBLANK(Data!#REF!),"",Data!#REF!)</f>
        <v>#REF!</v>
      </c>
      <c r="O78" s="46" t="e">
        <f>IF(ISBLANK(Data!#REF!),"",Data!#REF!)</f>
        <v>#REF!</v>
      </c>
      <c r="P78" s="46" t="e">
        <f>IF(ISBLANK(Data!#REF!),"",Data!#REF!)</f>
        <v>#REF!</v>
      </c>
      <c r="Q78" s="46" t="e">
        <f t="shared" si="1"/>
        <v>#REF!</v>
      </c>
      <c r="R78" s="47" t="e">
        <f>IF(ISBLANK(Data!#REF!),"",Data!#REF!)</f>
        <v>#REF!</v>
      </c>
      <c r="S78" s="33" t="e">
        <f>IF(ISBLANK(Data!#REF!),"",Data!#REF!)</f>
        <v>#REF!</v>
      </c>
      <c r="T78" s="33" t="e">
        <f>IF(ISBLANK(Data!#REF!),"",Data!#REF!)</f>
        <v>#REF!</v>
      </c>
      <c r="U78" s="21" t="e">
        <f>IF(ISBLANK(Data!#REF!),"",Data!#REF!)</f>
        <v>#REF!</v>
      </c>
    </row>
    <row r="79" spans="1:21" x14ac:dyDescent="0.25">
      <c r="A79" s="33" t="e">
        <f>IF(ISBLANK(Data!#REF!),"",YEAR(Data!#REF!))</f>
        <v>#REF!</v>
      </c>
      <c r="B79" s="44" t="e">
        <f>IF(ISBLANK(Data!#REF!),"",Data!#REF!)</f>
        <v>#REF!</v>
      </c>
      <c r="C79" s="45" t="e">
        <f>IF(ISBLANK(Data!#REF!),"",Data!#REF!)</f>
        <v>#REF!</v>
      </c>
      <c r="D79" s="21" t="e">
        <f>IF(ISBLANK(Data!#REF!),"",Data!#REF!)</f>
        <v>#REF!</v>
      </c>
      <c r="E79" s="21" t="e">
        <f>IF(ISBLANK(Data!#REF!),"",Data!#REF!)</f>
        <v>#REF!</v>
      </c>
      <c r="F79" s="33" t="e">
        <f>IF(ISBLANK(Data!#REF!),"",Data!#REF!)</f>
        <v>#REF!</v>
      </c>
      <c r="G79" s="21" t="e">
        <f>IF(ISBLANK(Data!#REF!),"",Data!#REF!)</f>
        <v>#REF!</v>
      </c>
      <c r="H79" s="33" t="e">
        <f>IF(ISBLANK(Data!#REF!),"",Data!#REF!)</f>
        <v>#REF!</v>
      </c>
      <c r="I79" s="33" t="e">
        <f>IF(ISBLANK(Data!#REF!),"",Data!#REF!)</f>
        <v>#REF!</v>
      </c>
      <c r="J79" s="33" t="e">
        <f>IF(ISBLANK(Data!#REF!),"",Data!#REF!)</f>
        <v>#REF!</v>
      </c>
      <c r="K79" s="21" t="e">
        <f>IF(ISBLANK(Data!#REF!),"",Data!#REF!)</f>
        <v>#REF!</v>
      </c>
      <c r="L79" s="21" t="e">
        <f>IF(ISBLANK(Data!#REF!),"",Data!#REF!)</f>
        <v>#REF!</v>
      </c>
      <c r="N79" s="46" t="e">
        <f>IF(ISBLANK(Data!#REF!),"",Data!#REF!)</f>
        <v>#REF!</v>
      </c>
      <c r="O79" s="46" t="e">
        <f>IF(ISBLANK(Data!#REF!),"",Data!#REF!)</f>
        <v>#REF!</v>
      </c>
      <c r="P79" s="46" t="e">
        <f>IF(ISBLANK(Data!#REF!),"",Data!#REF!)</f>
        <v>#REF!</v>
      </c>
      <c r="Q79" s="46" t="e">
        <f t="shared" si="1"/>
        <v>#REF!</v>
      </c>
      <c r="R79" s="47" t="e">
        <f>IF(ISBLANK(Data!#REF!),"",Data!#REF!)</f>
        <v>#REF!</v>
      </c>
      <c r="S79" s="33" t="e">
        <f>IF(ISBLANK(Data!#REF!),"",Data!#REF!)</f>
        <v>#REF!</v>
      </c>
      <c r="T79" s="33" t="e">
        <f>IF(ISBLANK(Data!#REF!),"",Data!#REF!)</f>
        <v>#REF!</v>
      </c>
      <c r="U79" s="21" t="e">
        <f>IF(ISBLANK(Data!#REF!),"",Data!#REF!)</f>
        <v>#REF!</v>
      </c>
    </row>
    <row r="80" spans="1:21" x14ac:dyDescent="0.25">
      <c r="A80" s="33" t="e">
        <f>IF(ISBLANK(Data!#REF!),"",YEAR(Data!#REF!))</f>
        <v>#REF!</v>
      </c>
      <c r="B80" s="44" t="e">
        <f>IF(ISBLANK(Data!#REF!),"",Data!#REF!)</f>
        <v>#REF!</v>
      </c>
      <c r="C80" s="45" t="e">
        <f>IF(ISBLANK(Data!#REF!),"",Data!#REF!)</f>
        <v>#REF!</v>
      </c>
      <c r="D80" s="21" t="e">
        <f>IF(ISBLANK(Data!#REF!),"",Data!#REF!)</f>
        <v>#REF!</v>
      </c>
      <c r="E80" s="21" t="e">
        <f>IF(ISBLANK(Data!#REF!),"",Data!#REF!)</f>
        <v>#REF!</v>
      </c>
      <c r="F80" s="33" t="e">
        <f>IF(ISBLANK(Data!#REF!),"",Data!#REF!)</f>
        <v>#REF!</v>
      </c>
      <c r="G80" s="21" t="e">
        <f>IF(ISBLANK(Data!#REF!),"",Data!#REF!)</f>
        <v>#REF!</v>
      </c>
      <c r="H80" s="33" t="e">
        <f>IF(ISBLANK(Data!#REF!),"",Data!#REF!)</f>
        <v>#REF!</v>
      </c>
      <c r="I80" s="33" t="e">
        <f>IF(ISBLANK(Data!#REF!),"",Data!#REF!)</f>
        <v>#REF!</v>
      </c>
      <c r="J80" s="33" t="e">
        <f>IF(ISBLANK(Data!#REF!),"",Data!#REF!)</f>
        <v>#REF!</v>
      </c>
      <c r="K80" s="21" t="e">
        <f>IF(ISBLANK(Data!#REF!),"",Data!#REF!)</f>
        <v>#REF!</v>
      </c>
      <c r="L80" s="21" t="e">
        <f>IF(ISBLANK(Data!#REF!),"",Data!#REF!)</f>
        <v>#REF!</v>
      </c>
      <c r="N80" s="46" t="e">
        <f>IF(ISBLANK(Data!#REF!),"",Data!#REF!)</f>
        <v>#REF!</v>
      </c>
      <c r="O80" s="46" t="e">
        <f>IF(ISBLANK(Data!#REF!),"",Data!#REF!)</f>
        <v>#REF!</v>
      </c>
      <c r="P80" s="46" t="e">
        <f>IF(ISBLANK(Data!#REF!),"",Data!#REF!)</f>
        <v>#REF!</v>
      </c>
      <c r="Q80" s="46" t="e">
        <f t="shared" si="1"/>
        <v>#REF!</v>
      </c>
      <c r="R80" s="47" t="e">
        <f>IF(ISBLANK(Data!#REF!),"",Data!#REF!)</f>
        <v>#REF!</v>
      </c>
      <c r="S80" s="33" t="e">
        <f>IF(ISBLANK(Data!#REF!),"",Data!#REF!)</f>
        <v>#REF!</v>
      </c>
      <c r="T80" s="33" t="e">
        <f>IF(ISBLANK(Data!#REF!),"",Data!#REF!)</f>
        <v>#REF!</v>
      </c>
      <c r="U80" s="21" t="e">
        <f>IF(ISBLANK(Data!#REF!),"",Data!#REF!)</f>
        <v>#REF!</v>
      </c>
    </row>
    <row r="81" spans="1:21" x14ac:dyDescent="0.25">
      <c r="A81" s="33" t="e">
        <f>IF(ISBLANK(Data!#REF!),"",YEAR(Data!#REF!))</f>
        <v>#REF!</v>
      </c>
      <c r="B81" s="44" t="e">
        <f>IF(ISBLANK(Data!#REF!),"",Data!#REF!)</f>
        <v>#REF!</v>
      </c>
      <c r="C81" s="45" t="e">
        <f>IF(ISBLANK(Data!#REF!),"",Data!#REF!)</f>
        <v>#REF!</v>
      </c>
      <c r="D81" s="21" t="e">
        <f>IF(ISBLANK(Data!#REF!),"",Data!#REF!)</f>
        <v>#REF!</v>
      </c>
      <c r="E81" s="21" t="e">
        <f>IF(ISBLANK(Data!#REF!),"",Data!#REF!)</f>
        <v>#REF!</v>
      </c>
      <c r="F81" s="33" t="e">
        <f>IF(ISBLANK(Data!#REF!),"",Data!#REF!)</f>
        <v>#REF!</v>
      </c>
      <c r="G81" s="21" t="e">
        <f>IF(ISBLANK(Data!#REF!),"",Data!#REF!)</f>
        <v>#REF!</v>
      </c>
      <c r="H81" s="33" t="e">
        <f>IF(ISBLANK(Data!#REF!),"",Data!#REF!)</f>
        <v>#REF!</v>
      </c>
      <c r="I81" s="33" t="e">
        <f>IF(ISBLANK(Data!#REF!),"",Data!#REF!)</f>
        <v>#REF!</v>
      </c>
      <c r="J81" s="33" t="e">
        <f>IF(ISBLANK(Data!#REF!),"",Data!#REF!)</f>
        <v>#REF!</v>
      </c>
      <c r="K81" s="21" t="e">
        <f>IF(ISBLANK(Data!#REF!),"",Data!#REF!)</f>
        <v>#REF!</v>
      </c>
      <c r="L81" s="21" t="e">
        <f>IF(ISBLANK(Data!#REF!),"",Data!#REF!)</f>
        <v>#REF!</v>
      </c>
      <c r="N81" s="46" t="e">
        <f>IF(ISBLANK(Data!#REF!),"",Data!#REF!)</f>
        <v>#REF!</v>
      </c>
      <c r="O81" s="46" t="e">
        <f>IF(ISBLANK(Data!#REF!),"",Data!#REF!)</f>
        <v>#REF!</v>
      </c>
      <c r="P81" s="46" t="e">
        <f>IF(ISBLANK(Data!#REF!),"",Data!#REF!)</f>
        <v>#REF!</v>
      </c>
      <c r="Q81" s="46" t="e">
        <f t="shared" si="1"/>
        <v>#REF!</v>
      </c>
      <c r="R81" s="47" t="e">
        <f>IF(ISBLANK(Data!#REF!),"",Data!#REF!)</f>
        <v>#REF!</v>
      </c>
      <c r="S81" s="33" t="e">
        <f>IF(ISBLANK(Data!#REF!),"",Data!#REF!)</f>
        <v>#REF!</v>
      </c>
      <c r="T81" s="33" t="e">
        <f>IF(ISBLANK(Data!#REF!),"",Data!#REF!)</f>
        <v>#REF!</v>
      </c>
      <c r="U81" s="21" t="e">
        <f>IF(ISBLANK(Data!#REF!),"",Data!#REF!)</f>
        <v>#REF!</v>
      </c>
    </row>
    <row r="82" spans="1:21" x14ac:dyDescent="0.25">
      <c r="A82" s="33" t="e">
        <f>IF(ISBLANK(Data!#REF!),"",YEAR(Data!#REF!))</f>
        <v>#REF!</v>
      </c>
      <c r="B82" s="44" t="e">
        <f>IF(ISBLANK(Data!#REF!),"",Data!#REF!)</f>
        <v>#REF!</v>
      </c>
      <c r="C82" s="45" t="e">
        <f>IF(ISBLANK(Data!#REF!),"",Data!#REF!)</f>
        <v>#REF!</v>
      </c>
      <c r="D82" s="21" t="e">
        <f>IF(ISBLANK(Data!#REF!),"",Data!#REF!)</f>
        <v>#REF!</v>
      </c>
      <c r="E82" s="21" t="e">
        <f>IF(ISBLANK(Data!#REF!),"",Data!#REF!)</f>
        <v>#REF!</v>
      </c>
      <c r="F82" s="33" t="e">
        <f>IF(ISBLANK(Data!#REF!),"",Data!#REF!)</f>
        <v>#REF!</v>
      </c>
      <c r="G82" s="21" t="e">
        <f>IF(ISBLANK(Data!#REF!),"",Data!#REF!)</f>
        <v>#REF!</v>
      </c>
      <c r="H82" s="33" t="e">
        <f>IF(ISBLANK(Data!#REF!),"",Data!#REF!)</f>
        <v>#REF!</v>
      </c>
      <c r="I82" s="33" t="e">
        <f>IF(ISBLANK(Data!#REF!),"",Data!#REF!)</f>
        <v>#REF!</v>
      </c>
      <c r="J82" s="33" t="e">
        <f>IF(ISBLANK(Data!#REF!),"",Data!#REF!)</f>
        <v>#REF!</v>
      </c>
      <c r="K82" s="21" t="e">
        <f>IF(ISBLANK(Data!#REF!),"",Data!#REF!)</f>
        <v>#REF!</v>
      </c>
      <c r="L82" s="21" t="e">
        <f>IF(ISBLANK(Data!#REF!),"",Data!#REF!)</f>
        <v>#REF!</v>
      </c>
      <c r="N82" s="46" t="e">
        <f>IF(ISBLANK(Data!#REF!),"",Data!#REF!)</f>
        <v>#REF!</v>
      </c>
      <c r="O82" s="46" t="e">
        <f>IF(ISBLANK(Data!#REF!),"",Data!#REF!)</f>
        <v>#REF!</v>
      </c>
      <c r="P82" s="46" t="e">
        <f>IF(ISBLANK(Data!#REF!),"",Data!#REF!)</f>
        <v>#REF!</v>
      </c>
      <c r="Q82" s="46" t="e">
        <f t="shared" si="1"/>
        <v>#REF!</v>
      </c>
      <c r="R82" s="47" t="e">
        <f>IF(ISBLANK(Data!#REF!),"",Data!#REF!)</f>
        <v>#REF!</v>
      </c>
      <c r="S82" s="33" t="e">
        <f>IF(ISBLANK(Data!#REF!),"",Data!#REF!)</f>
        <v>#REF!</v>
      </c>
      <c r="T82" s="33" t="e">
        <f>IF(ISBLANK(Data!#REF!),"",Data!#REF!)</f>
        <v>#REF!</v>
      </c>
      <c r="U82" s="21" t="e">
        <f>IF(ISBLANK(Data!#REF!),"",Data!#REF!)</f>
        <v>#REF!</v>
      </c>
    </row>
    <row r="83" spans="1:21" x14ac:dyDescent="0.25">
      <c r="A83" s="33" t="e">
        <f>IF(ISBLANK(Data!#REF!),"",YEAR(Data!#REF!))</f>
        <v>#REF!</v>
      </c>
      <c r="B83" s="44" t="e">
        <f>IF(ISBLANK(Data!#REF!),"",Data!#REF!)</f>
        <v>#REF!</v>
      </c>
      <c r="C83" s="45" t="e">
        <f>IF(ISBLANK(Data!#REF!),"",Data!#REF!)</f>
        <v>#REF!</v>
      </c>
      <c r="D83" s="21" t="e">
        <f>IF(ISBLANK(Data!#REF!),"",Data!#REF!)</f>
        <v>#REF!</v>
      </c>
      <c r="E83" s="21" t="e">
        <f>IF(ISBLANK(Data!#REF!),"",Data!#REF!)</f>
        <v>#REF!</v>
      </c>
      <c r="F83" s="33" t="e">
        <f>IF(ISBLANK(Data!#REF!),"",Data!#REF!)</f>
        <v>#REF!</v>
      </c>
      <c r="G83" s="21" t="e">
        <f>IF(ISBLANK(Data!#REF!),"",Data!#REF!)</f>
        <v>#REF!</v>
      </c>
      <c r="H83" s="33" t="e">
        <f>IF(ISBLANK(Data!#REF!),"",Data!#REF!)</f>
        <v>#REF!</v>
      </c>
      <c r="I83" s="33" t="e">
        <f>IF(ISBLANK(Data!#REF!),"",Data!#REF!)</f>
        <v>#REF!</v>
      </c>
      <c r="J83" s="33" t="e">
        <f>IF(ISBLANK(Data!#REF!),"",Data!#REF!)</f>
        <v>#REF!</v>
      </c>
      <c r="K83" s="21" t="e">
        <f>IF(ISBLANK(Data!#REF!),"",Data!#REF!)</f>
        <v>#REF!</v>
      </c>
      <c r="L83" s="21" t="e">
        <f>IF(ISBLANK(Data!#REF!),"",Data!#REF!)</f>
        <v>#REF!</v>
      </c>
      <c r="N83" s="46" t="e">
        <f>IF(ISBLANK(Data!#REF!),"",Data!#REF!)</f>
        <v>#REF!</v>
      </c>
      <c r="O83" s="46" t="e">
        <f>IF(ISBLANK(Data!#REF!),"",Data!#REF!)</f>
        <v>#REF!</v>
      </c>
      <c r="P83" s="46" t="e">
        <f>IF(ISBLANK(Data!#REF!),"",Data!#REF!)</f>
        <v>#REF!</v>
      </c>
      <c r="Q83" s="46" t="e">
        <f t="shared" si="1"/>
        <v>#REF!</v>
      </c>
      <c r="R83" s="47" t="e">
        <f>IF(ISBLANK(Data!#REF!),"",Data!#REF!)</f>
        <v>#REF!</v>
      </c>
      <c r="S83" s="33" t="e">
        <f>IF(ISBLANK(Data!#REF!),"",Data!#REF!)</f>
        <v>#REF!</v>
      </c>
      <c r="T83" s="33" t="e">
        <f>IF(ISBLANK(Data!#REF!),"",Data!#REF!)</f>
        <v>#REF!</v>
      </c>
      <c r="U83" s="21" t="e">
        <f>IF(ISBLANK(Data!#REF!),"",Data!#REF!)</f>
        <v>#REF!</v>
      </c>
    </row>
    <row r="84" spans="1:21" x14ac:dyDescent="0.25">
      <c r="A84" s="33" t="e">
        <f>IF(ISBLANK(Data!#REF!),"",YEAR(Data!#REF!))</f>
        <v>#REF!</v>
      </c>
      <c r="B84" s="44" t="e">
        <f>IF(ISBLANK(Data!#REF!),"",Data!#REF!)</f>
        <v>#REF!</v>
      </c>
      <c r="C84" s="45" t="e">
        <f>IF(ISBLANK(Data!#REF!),"",Data!#REF!)</f>
        <v>#REF!</v>
      </c>
      <c r="D84" s="21" t="e">
        <f>IF(ISBLANK(Data!#REF!),"",Data!#REF!)</f>
        <v>#REF!</v>
      </c>
      <c r="E84" s="21" t="e">
        <f>IF(ISBLANK(Data!#REF!),"",Data!#REF!)</f>
        <v>#REF!</v>
      </c>
      <c r="F84" s="33" t="e">
        <f>IF(ISBLANK(Data!#REF!),"",Data!#REF!)</f>
        <v>#REF!</v>
      </c>
      <c r="G84" s="21" t="e">
        <f>IF(ISBLANK(Data!#REF!),"",Data!#REF!)</f>
        <v>#REF!</v>
      </c>
      <c r="H84" s="33" t="e">
        <f>IF(ISBLANK(Data!#REF!),"",Data!#REF!)</f>
        <v>#REF!</v>
      </c>
      <c r="I84" s="33" t="e">
        <f>IF(ISBLANK(Data!#REF!),"",Data!#REF!)</f>
        <v>#REF!</v>
      </c>
      <c r="J84" s="33" t="e">
        <f>IF(ISBLANK(Data!#REF!),"",Data!#REF!)</f>
        <v>#REF!</v>
      </c>
      <c r="K84" s="21" t="e">
        <f>IF(ISBLANK(Data!#REF!),"",Data!#REF!)</f>
        <v>#REF!</v>
      </c>
      <c r="L84" s="21" t="e">
        <f>IF(ISBLANK(Data!#REF!),"",Data!#REF!)</f>
        <v>#REF!</v>
      </c>
      <c r="N84" s="46" t="e">
        <f>IF(ISBLANK(Data!#REF!),"",Data!#REF!)</f>
        <v>#REF!</v>
      </c>
      <c r="O84" s="46" t="e">
        <f>IF(ISBLANK(Data!#REF!),"",Data!#REF!)</f>
        <v>#REF!</v>
      </c>
      <c r="P84" s="46" t="e">
        <f>IF(ISBLANK(Data!#REF!),"",Data!#REF!)</f>
        <v>#REF!</v>
      </c>
      <c r="Q84" s="46" t="e">
        <f t="shared" si="1"/>
        <v>#REF!</v>
      </c>
      <c r="R84" s="47" t="e">
        <f>IF(ISBLANK(Data!#REF!),"",Data!#REF!)</f>
        <v>#REF!</v>
      </c>
      <c r="S84" s="33" t="e">
        <f>IF(ISBLANK(Data!#REF!),"",Data!#REF!)</f>
        <v>#REF!</v>
      </c>
      <c r="T84" s="33" t="e">
        <f>IF(ISBLANK(Data!#REF!),"",Data!#REF!)</f>
        <v>#REF!</v>
      </c>
      <c r="U84" s="21" t="e">
        <f>IF(ISBLANK(Data!#REF!),"",Data!#REF!)</f>
        <v>#REF!</v>
      </c>
    </row>
    <row r="85" spans="1:21" x14ac:dyDescent="0.25">
      <c r="A85" s="33" t="e">
        <f>IF(ISBLANK(Data!#REF!),"",YEAR(Data!#REF!))</f>
        <v>#REF!</v>
      </c>
      <c r="B85" s="44" t="e">
        <f>IF(ISBLANK(Data!#REF!),"",Data!#REF!)</f>
        <v>#REF!</v>
      </c>
      <c r="C85" s="45" t="e">
        <f>IF(ISBLANK(Data!#REF!),"",Data!#REF!)</f>
        <v>#REF!</v>
      </c>
      <c r="D85" s="21" t="e">
        <f>IF(ISBLANK(Data!#REF!),"",Data!#REF!)</f>
        <v>#REF!</v>
      </c>
      <c r="E85" s="21" t="e">
        <f>IF(ISBLANK(Data!#REF!),"",Data!#REF!)</f>
        <v>#REF!</v>
      </c>
      <c r="F85" s="33" t="e">
        <f>IF(ISBLANK(Data!#REF!),"",Data!#REF!)</f>
        <v>#REF!</v>
      </c>
      <c r="G85" s="21" t="e">
        <f>IF(ISBLANK(Data!#REF!),"",Data!#REF!)</f>
        <v>#REF!</v>
      </c>
      <c r="H85" s="33" t="e">
        <f>IF(ISBLANK(Data!#REF!),"",Data!#REF!)</f>
        <v>#REF!</v>
      </c>
      <c r="I85" s="33" t="e">
        <f>IF(ISBLANK(Data!#REF!),"",Data!#REF!)</f>
        <v>#REF!</v>
      </c>
      <c r="J85" s="33" t="e">
        <f>IF(ISBLANK(Data!#REF!),"",Data!#REF!)</f>
        <v>#REF!</v>
      </c>
      <c r="K85" s="21" t="e">
        <f>IF(ISBLANK(Data!#REF!),"",Data!#REF!)</f>
        <v>#REF!</v>
      </c>
      <c r="L85" s="21" t="e">
        <f>IF(ISBLANK(Data!#REF!),"",Data!#REF!)</f>
        <v>#REF!</v>
      </c>
      <c r="N85" s="46" t="e">
        <f>IF(ISBLANK(Data!#REF!),"",Data!#REF!)</f>
        <v>#REF!</v>
      </c>
      <c r="O85" s="46" t="e">
        <f>IF(ISBLANK(Data!#REF!),"",Data!#REF!)</f>
        <v>#REF!</v>
      </c>
      <c r="P85" s="46" t="e">
        <f>IF(ISBLANK(Data!#REF!),"",Data!#REF!)</f>
        <v>#REF!</v>
      </c>
      <c r="Q85" s="46" t="e">
        <f t="shared" si="1"/>
        <v>#REF!</v>
      </c>
      <c r="R85" s="47" t="e">
        <f>IF(ISBLANK(Data!#REF!),"",Data!#REF!)</f>
        <v>#REF!</v>
      </c>
      <c r="S85" s="33" t="e">
        <f>IF(ISBLANK(Data!#REF!),"",Data!#REF!)</f>
        <v>#REF!</v>
      </c>
      <c r="T85" s="33" t="e">
        <f>IF(ISBLANK(Data!#REF!),"",Data!#REF!)</f>
        <v>#REF!</v>
      </c>
      <c r="U85" s="21" t="e">
        <f>IF(ISBLANK(Data!#REF!),"",Data!#REF!)</f>
        <v>#REF!</v>
      </c>
    </row>
    <row r="86" spans="1:21" x14ac:dyDescent="0.25">
      <c r="A86" s="33" t="e">
        <f>IF(ISBLANK(Data!#REF!),"",YEAR(Data!#REF!))</f>
        <v>#REF!</v>
      </c>
      <c r="B86" s="44" t="e">
        <f>IF(ISBLANK(Data!#REF!),"",Data!#REF!)</f>
        <v>#REF!</v>
      </c>
      <c r="C86" s="45" t="e">
        <f>IF(ISBLANK(Data!#REF!),"",Data!#REF!)</f>
        <v>#REF!</v>
      </c>
      <c r="D86" s="21" t="e">
        <f>IF(ISBLANK(Data!#REF!),"",Data!#REF!)</f>
        <v>#REF!</v>
      </c>
      <c r="E86" s="21" t="e">
        <f>IF(ISBLANK(Data!#REF!),"",Data!#REF!)</f>
        <v>#REF!</v>
      </c>
      <c r="F86" s="33" t="e">
        <f>IF(ISBLANK(Data!#REF!),"",Data!#REF!)</f>
        <v>#REF!</v>
      </c>
      <c r="G86" s="21" t="e">
        <f>IF(ISBLANK(Data!#REF!),"",Data!#REF!)</f>
        <v>#REF!</v>
      </c>
      <c r="H86" s="33" t="e">
        <f>IF(ISBLANK(Data!#REF!),"",Data!#REF!)</f>
        <v>#REF!</v>
      </c>
      <c r="I86" s="33" t="e">
        <f>IF(ISBLANK(Data!#REF!),"",Data!#REF!)</f>
        <v>#REF!</v>
      </c>
      <c r="J86" s="33" t="e">
        <f>IF(ISBLANK(Data!#REF!),"",Data!#REF!)</f>
        <v>#REF!</v>
      </c>
      <c r="K86" s="21" t="e">
        <f>IF(ISBLANK(Data!#REF!),"",Data!#REF!)</f>
        <v>#REF!</v>
      </c>
      <c r="L86" s="21" t="e">
        <f>IF(ISBLANK(Data!#REF!),"",Data!#REF!)</f>
        <v>#REF!</v>
      </c>
      <c r="N86" s="46" t="e">
        <f>IF(ISBLANK(Data!#REF!),"",Data!#REF!)</f>
        <v>#REF!</v>
      </c>
      <c r="O86" s="46" t="e">
        <f>IF(ISBLANK(Data!#REF!),"",Data!#REF!)</f>
        <v>#REF!</v>
      </c>
      <c r="P86" s="46" t="e">
        <f>IF(ISBLANK(Data!#REF!),"",Data!#REF!)</f>
        <v>#REF!</v>
      </c>
      <c r="Q86" s="46" t="e">
        <f t="shared" si="1"/>
        <v>#REF!</v>
      </c>
      <c r="R86" s="47" t="e">
        <f>IF(ISBLANK(Data!#REF!),"",Data!#REF!)</f>
        <v>#REF!</v>
      </c>
      <c r="S86" s="33" t="e">
        <f>IF(ISBLANK(Data!#REF!),"",Data!#REF!)</f>
        <v>#REF!</v>
      </c>
      <c r="T86" s="33" t="e">
        <f>IF(ISBLANK(Data!#REF!),"",Data!#REF!)</f>
        <v>#REF!</v>
      </c>
      <c r="U86" s="21" t="e">
        <f>IF(ISBLANK(Data!#REF!),"",Data!#REF!)</f>
        <v>#REF!</v>
      </c>
    </row>
    <row r="87" spans="1:21" x14ac:dyDescent="0.25">
      <c r="A87" s="33" t="e">
        <f>IF(ISBLANK(Data!#REF!),"",YEAR(Data!#REF!))</f>
        <v>#REF!</v>
      </c>
      <c r="B87" s="44" t="e">
        <f>IF(ISBLANK(Data!#REF!),"",Data!#REF!)</f>
        <v>#REF!</v>
      </c>
      <c r="C87" s="45" t="e">
        <f>IF(ISBLANK(Data!#REF!),"",Data!#REF!)</f>
        <v>#REF!</v>
      </c>
      <c r="D87" s="21" t="e">
        <f>IF(ISBLANK(Data!#REF!),"",Data!#REF!)</f>
        <v>#REF!</v>
      </c>
      <c r="E87" s="21" t="e">
        <f>IF(ISBLANK(Data!#REF!),"",Data!#REF!)</f>
        <v>#REF!</v>
      </c>
      <c r="F87" s="33" t="e">
        <f>IF(ISBLANK(Data!#REF!),"",Data!#REF!)</f>
        <v>#REF!</v>
      </c>
      <c r="G87" s="21" t="e">
        <f>IF(ISBLANK(Data!#REF!),"",Data!#REF!)</f>
        <v>#REF!</v>
      </c>
      <c r="H87" s="33" t="e">
        <f>IF(ISBLANK(Data!#REF!),"",Data!#REF!)</f>
        <v>#REF!</v>
      </c>
      <c r="I87" s="33" t="e">
        <f>IF(ISBLANK(Data!#REF!),"",Data!#REF!)</f>
        <v>#REF!</v>
      </c>
      <c r="J87" s="33" t="e">
        <f>IF(ISBLANK(Data!#REF!),"",Data!#REF!)</f>
        <v>#REF!</v>
      </c>
      <c r="K87" s="21" t="e">
        <f>IF(ISBLANK(Data!#REF!),"",Data!#REF!)</f>
        <v>#REF!</v>
      </c>
      <c r="L87" s="21" t="e">
        <f>IF(ISBLANK(Data!#REF!),"",Data!#REF!)</f>
        <v>#REF!</v>
      </c>
      <c r="N87" s="46" t="e">
        <f>IF(ISBLANK(Data!#REF!),"",Data!#REF!)</f>
        <v>#REF!</v>
      </c>
      <c r="O87" s="46" t="e">
        <f>IF(ISBLANK(Data!#REF!),"",Data!#REF!)</f>
        <v>#REF!</v>
      </c>
      <c r="P87" s="46" t="e">
        <f>IF(ISBLANK(Data!#REF!),"",Data!#REF!)</f>
        <v>#REF!</v>
      </c>
      <c r="Q87" s="46" t="e">
        <f t="shared" si="1"/>
        <v>#REF!</v>
      </c>
      <c r="R87" s="47" t="e">
        <f>IF(ISBLANK(Data!#REF!),"",Data!#REF!)</f>
        <v>#REF!</v>
      </c>
      <c r="S87" s="33" t="e">
        <f>IF(ISBLANK(Data!#REF!),"",Data!#REF!)</f>
        <v>#REF!</v>
      </c>
      <c r="T87" s="33" t="e">
        <f>IF(ISBLANK(Data!#REF!),"",Data!#REF!)</f>
        <v>#REF!</v>
      </c>
      <c r="U87" s="21" t="e">
        <f>IF(ISBLANK(Data!#REF!),"",Data!#REF!)</f>
        <v>#REF!</v>
      </c>
    </row>
    <row r="88" spans="1:21" x14ac:dyDescent="0.25">
      <c r="A88" s="33" t="e">
        <f>IF(ISBLANK(Data!#REF!),"",YEAR(Data!#REF!))</f>
        <v>#REF!</v>
      </c>
      <c r="B88" s="44" t="e">
        <f>IF(ISBLANK(Data!#REF!),"",Data!#REF!)</f>
        <v>#REF!</v>
      </c>
      <c r="C88" s="45" t="e">
        <f>IF(ISBLANK(Data!#REF!),"",Data!#REF!)</f>
        <v>#REF!</v>
      </c>
      <c r="D88" s="21" t="e">
        <f>IF(ISBLANK(Data!#REF!),"",Data!#REF!)</f>
        <v>#REF!</v>
      </c>
      <c r="E88" s="21" t="e">
        <f>IF(ISBLANK(Data!#REF!),"",Data!#REF!)</f>
        <v>#REF!</v>
      </c>
      <c r="F88" s="33" t="e">
        <f>IF(ISBLANK(Data!#REF!),"",Data!#REF!)</f>
        <v>#REF!</v>
      </c>
      <c r="G88" s="21" t="e">
        <f>IF(ISBLANK(Data!#REF!),"",Data!#REF!)</f>
        <v>#REF!</v>
      </c>
      <c r="H88" s="33" t="e">
        <f>IF(ISBLANK(Data!#REF!),"",Data!#REF!)</f>
        <v>#REF!</v>
      </c>
      <c r="I88" s="33" t="e">
        <f>IF(ISBLANK(Data!#REF!),"",Data!#REF!)</f>
        <v>#REF!</v>
      </c>
      <c r="J88" s="33" t="e">
        <f>IF(ISBLANK(Data!#REF!),"",Data!#REF!)</f>
        <v>#REF!</v>
      </c>
      <c r="K88" s="21" t="e">
        <f>IF(ISBLANK(Data!#REF!),"",Data!#REF!)</f>
        <v>#REF!</v>
      </c>
      <c r="L88" s="21" t="e">
        <f>IF(ISBLANK(Data!#REF!),"",Data!#REF!)</f>
        <v>#REF!</v>
      </c>
      <c r="N88" s="46" t="e">
        <f>IF(ISBLANK(Data!#REF!),"",Data!#REF!)</f>
        <v>#REF!</v>
      </c>
      <c r="O88" s="46" t="e">
        <f>IF(ISBLANK(Data!#REF!),"",Data!#REF!)</f>
        <v>#REF!</v>
      </c>
      <c r="P88" s="46" t="e">
        <f>IF(ISBLANK(Data!#REF!),"",Data!#REF!)</f>
        <v>#REF!</v>
      </c>
      <c r="Q88" s="46" t="e">
        <f t="shared" si="1"/>
        <v>#REF!</v>
      </c>
      <c r="R88" s="47" t="e">
        <f>IF(ISBLANK(Data!#REF!),"",Data!#REF!)</f>
        <v>#REF!</v>
      </c>
      <c r="S88" s="33" t="e">
        <f>IF(ISBLANK(Data!#REF!),"",Data!#REF!)</f>
        <v>#REF!</v>
      </c>
      <c r="T88" s="33" t="e">
        <f>IF(ISBLANK(Data!#REF!),"",Data!#REF!)</f>
        <v>#REF!</v>
      </c>
      <c r="U88" s="21" t="e">
        <f>IF(ISBLANK(Data!#REF!),"",Data!#REF!)</f>
        <v>#REF!</v>
      </c>
    </row>
    <row r="89" spans="1:21" x14ac:dyDescent="0.25">
      <c r="A89" s="33" t="e">
        <f>IF(ISBLANK(Data!#REF!),"",YEAR(Data!#REF!))</f>
        <v>#REF!</v>
      </c>
      <c r="B89" s="44" t="e">
        <f>IF(ISBLANK(Data!#REF!),"",Data!#REF!)</f>
        <v>#REF!</v>
      </c>
      <c r="C89" s="45" t="e">
        <f>IF(ISBLANK(Data!#REF!),"",Data!#REF!)</f>
        <v>#REF!</v>
      </c>
      <c r="D89" s="21" t="e">
        <f>IF(ISBLANK(Data!#REF!),"",Data!#REF!)</f>
        <v>#REF!</v>
      </c>
      <c r="E89" s="21" t="e">
        <f>IF(ISBLANK(Data!#REF!),"",Data!#REF!)</f>
        <v>#REF!</v>
      </c>
      <c r="F89" s="33" t="e">
        <f>IF(ISBLANK(Data!#REF!),"",Data!#REF!)</f>
        <v>#REF!</v>
      </c>
      <c r="G89" s="21" t="e">
        <f>IF(ISBLANK(Data!#REF!),"",Data!#REF!)</f>
        <v>#REF!</v>
      </c>
      <c r="H89" s="33" t="e">
        <f>IF(ISBLANK(Data!#REF!),"",Data!#REF!)</f>
        <v>#REF!</v>
      </c>
      <c r="I89" s="33" t="e">
        <f>IF(ISBLANK(Data!#REF!),"",Data!#REF!)</f>
        <v>#REF!</v>
      </c>
      <c r="J89" s="33" t="e">
        <f>IF(ISBLANK(Data!#REF!),"",Data!#REF!)</f>
        <v>#REF!</v>
      </c>
      <c r="K89" s="21" t="e">
        <f>IF(ISBLANK(Data!#REF!),"",Data!#REF!)</f>
        <v>#REF!</v>
      </c>
      <c r="L89" s="21" t="e">
        <f>IF(ISBLANK(Data!#REF!),"",Data!#REF!)</f>
        <v>#REF!</v>
      </c>
      <c r="N89" s="46" t="e">
        <f>IF(ISBLANK(Data!#REF!),"",Data!#REF!)</f>
        <v>#REF!</v>
      </c>
      <c r="O89" s="46" t="e">
        <f>IF(ISBLANK(Data!#REF!),"",Data!#REF!)</f>
        <v>#REF!</v>
      </c>
      <c r="P89" s="46" t="e">
        <f>IF(ISBLANK(Data!#REF!),"",Data!#REF!)</f>
        <v>#REF!</v>
      </c>
      <c r="Q89" s="46" t="e">
        <f t="shared" si="1"/>
        <v>#REF!</v>
      </c>
      <c r="R89" s="47" t="e">
        <f>IF(ISBLANK(Data!#REF!),"",Data!#REF!)</f>
        <v>#REF!</v>
      </c>
      <c r="S89" s="33" t="e">
        <f>IF(ISBLANK(Data!#REF!),"",Data!#REF!)</f>
        <v>#REF!</v>
      </c>
      <c r="T89" s="33" t="e">
        <f>IF(ISBLANK(Data!#REF!),"",Data!#REF!)</f>
        <v>#REF!</v>
      </c>
      <c r="U89" s="21" t="e">
        <f>IF(ISBLANK(Data!#REF!),"",Data!#REF!)</f>
        <v>#REF!</v>
      </c>
    </row>
    <row r="90" spans="1:21" x14ac:dyDescent="0.25">
      <c r="A90" s="33" t="e">
        <f>IF(ISBLANK(Data!#REF!),"",YEAR(Data!#REF!))</f>
        <v>#REF!</v>
      </c>
      <c r="B90" s="44" t="e">
        <f>IF(ISBLANK(Data!#REF!),"",Data!#REF!)</f>
        <v>#REF!</v>
      </c>
      <c r="C90" s="45" t="e">
        <f>IF(ISBLANK(Data!#REF!),"",Data!#REF!)</f>
        <v>#REF!</v>
      </c>
      <c r="D90" s="21" t="e">
        <f>IF(ISBLANK(Data!#REF!),"",Data!#REF!)</f>
        <v>#REF!</v>
      </c>
      <c r="E90" s="21" t="e">
        <f>IF(ISBLANK(Data!#REF!),"",Data!#REF!)</f>
        <v>#REF!</v>
      </c>
      <c r="F90" s="33" t="e">
        <f>IF(ISBLANK(Data!#REF!),"",Data!#REF!)</f>
        <v>#REF!</v>
      </c>
      <c r="G90" s="21" t="e">
        <f>IF(ISBLANK(Data!#REF!),"",Data!#REF!)</f>
        <v>#REF!</v>
      </c>
      <c r="H90" s="33" t="e">
        <f>IF(ISBLANK(Data!#REF!),"",Data!#REF!)</f>
        <v>#REF!</v>
      </c>
      <c r="I90" s="33" t="e">
        <f>IF(ISBLANK(Data!#REF!),"",Data!#REF!)</f>
        <v>#REF!</v>
      </c>
      <c r="J90" s="33" t="e">
        <f>IF(ISBLANK(Data!#REF!),"",Data!#REF!)</f>
        <v>#REF!</v>
      </c>
      <c r="K90" s="21" t="e">
        <f>IF(ISBLANK(Data!#REF!),"",Data!#REF!)</f>
        <v>#REF!</v>
      </c>
      <c r="L90" s="21" t="e">
        <f>IF(ISBLANK(Data!#REF!),"",Data!#REF!)</f>
        <v>#REF!</v>
      </c>
      <c r="N90" s="46" t="e">
        <f>IF(ISBLANK(Data!#REF!),"",Data!#REF!)</f>
        <v>#REF!</v>
      </c>
      <c r="O90" s="46" t="e">
        <f>IF(ISBLANK(Data!#REF!),"",Data!#REF!)</f>
        <v>#REF!</v>
      </c>
      <c r="P90" s="46" t="e">
        <f>IF(ISBLANK(Data!#REF!),"",Data!#REF!)</f>
        <v>#REF!</v>
      </c>
      <c r="Q90" s="46" t="e">
        <f t="shared" si="1"/>
        <v>#REF!</v>
      </c>
      <c r="R90" s="47" t="e">
        <f>IF(ISBLANK(Data!#REF!),"",Data!#REF!)</f>
        <v>#REF!</v>
      </c>
      <c r="S90" s="33" t="e">
        <f>IF(ISBLANK(Data!#REF!),"",Data!#REF!)</f>
        <v>#REF!</v>
      </c>
      <c r="T90" s="33" t="e">
        <f>IF(ISBLANK(Data!#REF!),"",Data!#REF!)</f>
        <v>#REF!</v>
      </c>
      <c r="U90" s="21" t="e">
        <f>IF(ISBLANK(Data!#REF!),"",Data!#REF!)</f>
        <v>#REF!</v>
      </c>
    </row>
    <row r="91" spans="1:21" x14ac:dyDescent="0.25">
      <c r="A91" s="33" t="e">
        <f>IF(ISBLANK(Data!#REF!),"",YEAR(Data!#REF!))</f>
        <v>#REF!</v>
      </c>
      <c r="B91" s="44" t="e">
        <f>IF(ISBLANK(Data!#REF!),"",Data!#REF!)</f>
        <v>#REF!</v>
      </c>
      <c r="C91" s="45" t="e">
        <f>IF(ISBLANK(Data!#REF!),"",Data!#REF!)</f>
        <v>#REF!</v>
      </c>
      <c r="D91" s="21" t="e">
        <f>IF(ISBLANK(Data!#REF!),"",Data!#REF!)</f>
        <v>#REF!</v>
      </c>
      <c r="E91" s="21" t="e">
        <f>IF(ISBLANK(Data!#REF!),"",Data!#REF!)</f>
        <v>#REF!</v>
      </c>
      <c r="F91" s="33" t="e">
        <f>IF(ISBLANK(Data!#REF!),"",Data!#REF!)</f>
        <v>#REF!</v>
      </c>
      <c r="G91" s="21" t="e">
        <f>IF(ISBLANK(Data!#REF!),"",Data!#REF!)</f>
        <v>#REF!</v>
      </c>
      <c r="H91" s="33" t="e">
        <f>IF(ISBLANK(Data!#REF!),"",Data!#REF!)</f>
        <v>#REF!</v>
      </c>
      <c r="I91" s="33" t="e">
        <f>IF(ISBLANK(Data!#REF!),"",Data!#REF!)</f>
        <v>#REF!</v>
      </c>
      <c r="J91" s="33" t="e">
        <f>IF(ISBLANK(Data!#REF!),"",Data!#REF!)</f>
        <v>#REF!</v>
      </c>
      <c r="K91" s="21" t="e">
        <f>IF(ISBLANK(Data!#REF!),"",Data!#REF!)</f>
        <v>#REF!</v>
      </c>
      <c r="L91" s="21" t="e">
        <f>IF(ISBLANK(Data!#REF!),"",Data!#REF!)</f>
        <v>#REF!</v>
      </c>
      <c r="N91" s="46" t="e">
        <f>IF(ISBLANK(Data!#REF!),"",Data!#REF!)</f>
        <v>#REF!</v>
      </c>
      <c r="O91" s="46" t="e">
        <f>IF(ISBLANK(Data!#REF!),"",Data!#REF!)</f>
        <v>#REF!</v>
      </c>
      <c r="P91" s="46" t="e">
        <f>IF(ISBLANK(Data!#REF!),"",Data!#REF!)</f>
        <v>#REF!</v>
      </c>
      <c r="Q91" s="46" t="e">
        <f t="shared" si="1"/>
        <v>#REF!</v>
      </c>
      <c r="R91" s="47" t="e">
        <f>IF(ISBLANK(Data!#REF!),"",Data!#REF!)</f>
        <v>#REF!</v>
      </c>
      <c r="S91" s="33" t="e">
        <f>IF(ISBLANK(Data!#REF!),"",Data!#REF!)</f>
        <v>#REF!</v>
      </c>
      <c r="T91" s="33" t="e">
        <f>IF(ISBLANK(Data!#REF!),"",Data!#REF!)</f>
        <v>#REF!</v>
      </c>
      <c r="U91" s="21" t="e">
        <f>IF(ISBLANK(Data!#REF!),"",Data!#REF!)</f>
        <v>#REF!</v>
      </c>
    </row>
    <row r="92" spans="1:21" x14ac:dyDescent="0.25">
      <c r="A92" s="33" t="e">
        <f>IF(ISBLANK(Data!#REF!),"",YEAR(Data!#REF!))</f>
        <v>#REF!</v>
      </c>
      <c r="B92" s="44" t="e">
        <f>IF(ISBLANK(Data!#REF!),"",Data!#REF!)</f>
        <v>#REF!</v>
      </c>
      <c r="C92" s="45" t="e">
        <f>IF(ISBLANK(Data!#REF!),"",Data!#REF!)</f>
        <v>#REF!</v>
      </c>
      <c r="D92" s="21" t="e">
        <f>IF(ISBLANK(Data!#REF!),"",Data!#REF!)</f>
        <v>#REF!</v>
      </c>
      <c r="E92" s="21" t="e">
        <f>IF(ISBLANK(Data!#REF!),"",Data!#REF!)</f>
        <v>#REF!</v>
      </c>
      <c r="F92" s="33" t="e">
        <f>IF(ISBLANK(Data!#REF!),"",Data!#REF!)</f>
        <v>#REF!</v>
      </c>
      <c r="G92" s="21" t="e">
        <f>IF(ISBLANK(Data!#REF!),"",Data!#REF!)</f>
        <v>#REF!</v>
      </c>
      <c r="H92" s="33" t="e">
        <f>IF(ISBLANK(Data!#REF!),"",Data!#REF!)</f>
        <v>#REF!</v>
      </c>
      <c r="I92" s="33" t="e">
        <f>IF(ISBLANK(Data!#REF!),"",Data!#REF!)</f>
        <v>#REF!</v>
      </c>
      <c r="J92" s="33" t="e">
        <f>IF(ISBLANK(Data!#REF!),"",Data!#REF!)</f>
        <v>#REF!</v>
      </c>
      <c r="K92" s="21" t="e">
        <f>IF(ISBLANK(Data!#REF!),"",Data!#REF!)</f>
        <v>#REF!</v>
      </c>
      <c r="L92" s="21" t="e">
        <f>IF(ISBLANK(Data!#REF!),"",Data!#REF!)</f>
        <v>#REF!</v>
      </c>
      <c r="N92" s="46" t="e">
        <f>IF(ISBLANK(Data!#REF!),"",Data!#REF!)</f>
        <v>#REF!</v>
      </c>
      <c r="O92" s="46" t="e">
        <f>IF(ISBLANK(Data!#REF!),"",Data!#REF!)</f>
        <v>#REF!</v>
      </c>
      <c r="P92" s="46" t="e">
        <f>IF(ISBLANK(Data!#REF!),"",Data!#REF!)</f>
        <v>#REF!</v>
      </c>
      <c r="Q92" s="46" t="e">
        <f t="shared" si="1"/>
        <v>#REF!</v>
      </c>
      <c r="R92" s="47" t="e">
        <f>IF(ISBLANK(Data!#REF!),"",Data!#REF!)</f>
        <v>#REF!</v>
      </c>
      <c r="S92" s="33" t="e">
        <f>IF(ISBLANK(Data!#REF!),"",Data!#REF!)</f>
        <v>#REF!</v>
      </c>
      <c r="T92" s="33" t="e">
        <f>IF(ISBLANK(Data!#REF!),"",Data!#REF!)</f>
        <v>#REF!</v>
      </c>
      <c r="U92" s="21" t="e">
        <f>IF(ISBLANK(Data!#REF!),"",Data!#REF!)</f>
        <v>#REF!</v>
      </c>
    </row>
    <row r="93" spans="1:21" x14ac:dyDescent="0.25">
      <c r="A93" s="33" t="e">
        <f>IF(ISBLANK(Data!#REF!),"",YEAR(Data!#REF!))</f>
        <v>#REF!</v>
      </c>
      <c r="B93" s="44" t="e">
        <f>IF(ISBLANK(Data!#REF!),"",Data!#REF!)</f>
        <v>#REF!</v>
      </c>
      <c r="C93" s="45" t="e">
        <f>IF(ISBLANK(Data!#REF!),"",Data!#REF!)</f>
        <v>#REF!</v>
      </c>
      <c r="D93" s="21" t="e">
        <f>IF(ISBLANK(Data!#REF!),"",Data!#REF!)</f>
        <v>#REF!</v>
      </c>
      <c r="E93" s="21" t="e">
        <f>IF(ISBLANK(Data!#REF!),"",Data!#REF!)</f>
        <v>#REF!</v>
      </c>
      <c r="F93" s="33" t="e">
        <f>IF(ISBLANK(Data!#REF!),"",Data!#REF!)</f>
        <v>#REF!</v>
      </c>
      <c r="G93" s="21" t="e">
        <f>IF(ISBLANK(Data!#REF!),"",Data!#REF!)</f>
        <v>#REF!</v>
      </c>
      <c r="H93" s="33" t="e">
        <f>IF(ISBLANK(Data!#REF!),"",Data!#REF!)</f>
        <v>#REF!</v>
      </c>
      <c r="I93" s="33" t="e">
        <f>IF(ISBLANK(Data!#REF!),"",Data!#REF!)</f>
        <v>#REF!</v>
      </c>
      <c r="J93" s="33" t="e">
        <f>IF(ISBLANK(Data!#REF!),"",Data!#REF!)</f>
        <v>#REF!</v>
      </c>
      <c r="K93" s="21" t="e">
        <f>IF(ISBLANK(Data!#REF!),"",Data!#REF!)</f>
        <v>#REF!</v>
      </c>
      <c r="L93" s="21" t="e">
        <f>IF(ISBLANK(Data!#REF!),"",Data!#REF!)</f>
        <v>#REF!</v>
      </c>
      <c r="N93" s="46" t="e">
        <f>IF(ISBLANK(Data!#REF!),"",Data!#REF!)</f>
        <v>#REF!</v>
      </c>
      <c r="O93" s="46" t="e">
        <f>IF(ISBLANK(Data!#REF!),"",Data!#REF!)</f>
        <v>#REF!</v>
      </c>
      <c r="P93" s="46" t="e">
        <f>IF(ISBLANK(Data!#REF!),"",Data!#REF!)</f>
        <v>#REF!</v>
      </c>
      <c r="Q93" s="46" t="e">
        <f t="shared" si="1"/>
        <v>#REF!</v>
      </c>
      <c r="R93" s="47" t="e">
        <f>IF(ISBLANK(Data!#REF!),"",Data!#REF!)</f>
        <v>#REF!</v>
      </c>
      <c r="S93" s="33" t="e">
        <f>IF(ISBLANK(Data!#REF!),"",Data!#REF!)</f>
        <v>#REF!</v>
      </c>
      <c r="T93" s="33" t="e">
        <f>IF(ISBLANK(Data!#REF!),"",Data!#REF!)</f>
        <v>#REF!</v>
      </c>
      <c r="U93" s="21" t="e">
        <f>IF(ISBLANK(Data!#REF!),"",Data!#REF!)</f>
        <v>#REF!</v>
      </c>
    </row>
    <row r="94" spans="1:21" x14ac:dyDescent="0.25">
      <c r="A94" s="33" t="e">
        <f>IF(ISBLANK(Data!#REF!),"",YEAR(Data!#REF!))</f>
        <v>#REF!</v>
      </c>
      <c r="B94" s="44" t="e">
        <f>IF(ISBLANK(Data!#REF!),"",Data!#REF!)</f>
        <v>#REF!</v>
      </c>
      <c r="C94" s="45" t="e">
        <f>IF(ISBLANK(Data!#REF!),"",Data!#REF!)</f>
        <v>#REF!</v>
      </c>
      <c r="D94" s="21" t="e">
        <f>IF(ISBLANK(Data!#REF!),"",Data!#REF!)</f>
        <v>#REF!</v>
      </c>
      <c r="E94" s="21" t="e">
        <f>IF(ISBLANK(Data!#REF!),"",Data!#REF!)</f>
        <v>#REF!</v>
      </c>
      <c r="F94" s="33" t="e">
        <f>IF(ISBLANK(Data!#REF!),"",Data!#REF!)</f>
        <v>#REF!</v>
      </c>
      <c r="G94" s="21" t="e">
        <f>IF(ISBLANK(Data!#REF!),"",Data!#REF!)</f>
        <v>#REF!</v>
      </c>
      <c r="H94" s="33" t="e">
        <f>IF(ISBLANK(Data!#REF!),"",Data!#REF!)</f>
        <v>#REF!</v>
      </c>
      <c r="I94" s="33" t="e">
        <f>IF(ISBLANK(Data!#REF!),"",Data!#REF!)</f>
        <v>#REF!</v>
      </c>
      <c r="J94" s="33" t="e">
        <f>IF(ISBLANK(Data!#REF!),"",Data!#REF!)</f>
        <v>#REF!</v>
      </c>
      <c r="K94" s="21" t="e">
        <f>IF(ISBLANK(Data!#REF!),"",Data!#REF!)</f>
        <v>#REF!</v>
      </c>
      <c r="L94" s="21" t="e">
        <f>IF(ISBLANK(Data!#REF!),"",Data!#REF!)</f>
        <v>#REF!</v>
      </c>
      <c r="N94" s="46" t="e">
        <f>IF(ISBLANK(Data!#REF!),"",Data!#REF!)</f>
        <v>#REF!</v>
      </c>
      <c r="O94" s="46" t="e">
        <f>IF(ISBLANK(Data!#REF!),"",Data!#REF!)</f>
        <v>#REF!</v>
      </c>
      <c r="P94" s="46" t="e">
        <f>IF(ISBLANK(Data!#REF!),"",Data!#REF!)</f>
        <v>#REF!</v>
      </c>
      <c r="Q94" s="46" t="e">
        <f t="shared" si="1"/>
        <v>#REF!</v>
      </c>
      <c r="R94" s="47" t="e">
        <f>IF(ISBLANK(Data!#REF!),"",Data!#REF!)</f>
        <v>#REF!</v>
      </c>
      <c r="S94" s="33" t="e">
        <f>IF(ISBLANK(Data!#REF!),"",Data!#REF!)</f>
        <v>#REF!</v>
      </c>
      <c r="T94" s="33" t="e">
        <f>IF(ISBLANK(Data!#REF!),"",Data!#REF!)</f>
        <v>#REF!</v>
      </c>
      <c r="U94" s="21" t="e">
        <f>IF(ISBLANK(Data!#REF!),"",Data!#REF!)</f>
        <v>#REF!</v>
      </c>
    </row>
    <row r="95" spans="1:21" x14ac:dyDescent="0.25">
      <c r="A95" s="33" t="e">
        <f>IF(ISBLANK(Data!#REF!),"",YEAR(Data!#REF!))</f>
        <v>#REF!</v>
      </c>
      <c r="B95" s="44" t="e">
        <f>IF(ISBLANK(Data!#REF!),"",Data!#REF!)</f>
        <v>#REF!</v>
      </c>
      <c r="C95" s="45" t="e">
        <f>IF(ISBLANK(Data!#REF!),"",Data!#REF!)</f>
        <v>#REF!</v>
      </c>
      <c r="D95" s="21" t="e">
        <f>IF(ISBLANK(Data!#REF!),"",Data!#REF!)</f>
        <v>#REF!</v>
      </c>
      <c r="E95" s="21" t="e">
        <f>IF(ISBLANK(Data!#REF!),"",Data!#REF!)</f>
        <v>#REF!</v>
      </c>
      <c r="F95" s="33" t="e">
        <f>IF(ISBLANK(Data!#REF!),"",Data!#REF!)</f>
        <v>#REF!</v>
      </c>
      <c r="G95" s="21" t="e">
        <f>IF(ISBLANK(Data!#REF!),"",Data!#REF!)</f>
        <v>#REF!</v>
      </c>
      <c r="H95" s="33" t="e">
        <f>IF(ISBLANK(Data!#REF!),"",Data!#REF!)</f>
        <v>#REF!</v>
      </c>
      <c r="I95" s="33" t="e">
        <f>IF(ISBLANK(Data!#REF!),"",Data!#REF!)</f>
        <v>#REF!</v>
      </c>
      <c r="J95" s="33" t="e">
        <f>IF(ISBLANK(Data!#REF!),"",Data!#REF!)</f>
        <v>#REF!</v>
      </c>
      <c r="K95" s="21" t="e">
        <f>IF(ISBLANK(Data!#REF!),"",Data!#REF!)</f>
        <v>#REF!</v>
      </c>
      <c r="L95" s="21" t="e">
        <f>IF(ISBLANK(Data!#REF!),"",Data!#REF!)</f>
        <v>#REF!</v>
      </c>
      <c r="N95" s="46" t="e">
        <f>IF(ISBLANK(Data!#REF!),"",Data!#REF!)</f>
        <v>#REF!</v>
      </c>
      <c r="O95" s="46" t="e">
        <f>IF(ISBLANK(Data!#REF!),"",Data!#REF!)</f>
        <v>#REF!</v>
      </c>
      <c r="P95" s="46" t="e">
        <f>IF(ISBLANK(Data!#REF!),"",Data!#REF!)</f>
        <v>#REF!</v>
      </c>
      <c r="Q95" s="46" t="e">
        <f t="shared" si="1"/>
        <v>#REF!</v>
      </c>
      <c r="R95" s="47" t="e">
        <f>IF(ISBLANK(Data!#REF!),"",Data!#REF!)</f>
        <v>#REF!</v>
      </c>
      <c r="S95" s="33" t="e">
        <f>IF(ISBLANK(Data!#REF!),"",Data!#REF!)</f>
        <v>#REF!</v>
      </c>
      <c r="T95" s="33" t="e">
        <f>IF(ISBLANK(Data!#REF!),"",Data!#REF!)</f>
        <v>#REF!</v>
      </c>
      <c r="U95" s="21" t="e">
        <f>IF(ISBLANK(Data!#REF!),"",Data!#REF!)</f>
        <v>#REF!</v>
      </c>
    </row>
    <row r="96" spans="1:21" x14ac:dyDescent="0.25">
      <c r="A96" s="33" t="e">
        <f>IF(ISBLANK(Data!#REF!),"",YEAR(Data!#REF!))</f>
        <v>#REF!</v>
      </c>
      <c r="B96" s="44" t="e">
        <f>IF(ISBLANK(Data!#REF!),"",Data!#REF!)</f>
        <v>#REF!</v>
      </c>
      <c r="C96" s="45" t="e">
        <f>IF(ISBLANK(Data!#REF!),"",Data!#REF!)</f>
        <v>#REF!</v>
      </c>
      <c r="D96" s="21" t="e">
        <f>IF(ISBLANK(Data!#REF!),"",Data!#REF!)</f>
        <v>#REF!</v>
      </c>
      <c r="E96" s="21" t="e">
        <f>IF(ISBLANK(Data!#REF!),"",Data!#REF!)</f>
        <v>#REF!</v>
      </c>
      <c r="F96" s="33" t="e">
        <f>IF(ISBLANK(Data!#REF!),"",Data!#REF!)</f>
        <v>#REF!</v>
      </c>
      <c r="G96" s="21" t="e">
        <f>IF(ISBLANK(Data!#REF!),"",Data!#REF!)</f>
        <v>#REF!</v>
      </c>
      <c r="H96" s="33" t="e">
        <f>IF(ISBLANK(Data!#REF!),"",Data!#REF!)</f>
        <v>#REF!</v>
      </c>
      <c r="I96" s="33" t="e">
        <f>IF(ISBLANK(Data!#REF!),"",Data!#REF!)</f>
        <v>#REF!</v>
      </c>
      <c r="J96" s="33" t="e">
        <f>IF(ISBLANK(Data!#REF!),"",Data!#REF!)</f>
        <v>#REF!</v>
      </c>
      <c r="K96" s="21" t="e">
        <f>IF(ISBLANK(Data!#REF!),"",Data!#REF!)</f>
        <v>#REF!</v>
      </c>
      <c r="L96" s="21" t="e">
        <f>IF(ISBLANK(Data!#REF!),"",Data!#REF!)</f>
        <v>#REF!</v>
      </c>
      <c r="N96" s="46" t="e">
        <f>IF(ISBLANK(Data!#REF!),"",Data!#REF!)</f>
        <v>#REF!</v>
      </c>
      <c r="O96" s="46" t="e">
        <f>IF(ISBLANK(Data!#REF!),"",Data!#REF!)</f>
        <v>#REF!</v>
      </c>
      <c r="P96" s="46" t="e">
        <f>IF(ISBLANK(Data!#REF!),"",Data!#REF!)</f>
        <v>#REF!</v>
      </c>
      <c r="Q96" s="46" t="e">
        <f t="shared" si="1"/>
        <v>#REF!</v>
      </c>
      <c r="R96" s="47" t="e">
        <f>IF(ISBLANK(Data!#REF!),"",Data!#REF!)</f>
        <v>#REF!</v>
      </c>
      <c r="S96" s="33" t="e">
        <f>IF(ISBLANK(Data!#REF!),"",Data!#REF!)</f>
        <v>#REF!</v>
      </c>
      <c r="T96" s="33" t="e">
        <f>IF(ISBLANK(Data!#REF!),"",Data!#REF!)</f>
        <v>#REF!</v>
      </c>
      <c r="U96" s="21" t="e">
        <f>IF(ISBLANK(Data!#REF!),"",Data!#REF!)</f>
        <v>#REF!</v>
      </c>
    </row>
    <row r="97" spans="1:21" x14ac:dyDescent="0.25">
      <c r="A97" s="33" t="e">
        <f>IF(ISBLANK(Data!#REF!),"",YEAR(Data!#REF!))</f>
        <v>#REF!</v>
      </c>
      <c r="B97" s="44" t="e">
        <f>IF(ISBLANK(Data!#REF!),"",Data!#REF!)</f>
        <v>#REF!</v>
      </c>
      <c r="C97" s="45" t="e">
        <f>IF(ISBLANK(Data!#REF!),"",Data!#REF!)</f>
        <v>#REF!</v>
      </c>
      <c r="D97" s="21" t="e">
        <f>IF(ISBLANK(Data!#REF!),"",Data!#REF!)</f>
        <v>#REF!</v>
      </c>
      <c r="E97" s="21" t="e">
        <f>IF(ISBLANK(Data!#REF!),"",Data!#REF!)</f>
        <v>#REF!</v>
      </c>
      <c r="F97" s="33" t="e">
        <f>IF(ISBLANK(Data!#REF!),"",Data!#REF!)</f>
        <v>#REF!</v>
      </c>
      <c r="G97" s="21" t="e">
        <f>IF(ISBLANK(Data!#REF!),"",Data!#REF!)</f>
        <v>#REF!</v>
      </c>
      <c r="H97" s="33" t="e">
        <f>IF(ISBLANK(Data!#REF!),"",Data!#REF!)</f>
        <v>#REF!</v>
      </c>
      <c r="I97" s="33" t="e">
        <f>IF(ISBLANK(Data!#REF!),"",Data!#REF!)</f>
        <v>#REF!</v>
      </c>
      <c r="J97" s="33" t="e">
        <f>IF(ISBLANK(Data!#REF!),"",Data!#REF!)</f>
        <v>#REF!</v>
      </c>
      <c r="K97" s="21" t="e">
        <f>IF(ISBLANK(Data!#REF!),"",Data!#REF!)</f>
        <v>#REF!</v>
      </c>
      <c r="L97" s="21" t="e">
        <f>IF(ISBLANK(Data!#REF!),"",Data!#REF!)</f>
        <v>#REF!</v>
      </c>
      <c r="N97" s="46" t="e">
        <f>IF(ISBLANK(Data!#REF!),"",Data!#REF!)</f>
        <v>#REF!</v>
      </c>
      <c r="O97" s="46" t="e">
        <f>IF(ISBLANK(Data!#REF!),"",Data!#REF!)</f>
        <v>#REF!</v>
      </c>
      <c r="P97" s="46" t="e">
        <f>IF(ISBLANK(Data!#REF!),"",Data!#REF!)</f>
        <v>#REF!</v>
      </c>
      <c r="Q97" s="46" t="e">
        <f t="shared" si="1"/>
        <v>#REF!</v>
      </c>
      <c r="R97" s="47" t="e">
        <f>IF(ISBLANK(Data!#REF!),"",Data!#REF!)</f>
        <v>#REF!</v>
      </c>
      <c r="S97" s="33" t="e">
        <f>IF(ISBLANK(Data!#REF!),"",Data!#REF!)</f>
        <v>#REF!</v>
      </c>
      <c r="T97" s="33" t="e">
        <f>IF(ISBLANK(Data!#REF!),"",Data!#REF!)</f>
        <v>#REF!</v>
      </c>
      <c r="U97" s="21" t="e">
        <f>IF(ISBLANK(Data!#REF!),"",Data!#REF!)</f>
        <v>#REF!</v>
      </c>
    </row>
    <row r="98" spans="1:21" x14ac:dyDescent="0.25">
      <c r="A98" s="33" t="e">
        <f>IF(ISBLANK(Data!#REF!),"",YEAR(Data!#REF!))</f>
        <v>#REF!</v>
      </c>
      <c r="B98" s="44" t="e">
        <f>IF(ISBLANK(Data!#REF!),"",Data!#REF!)</f>
        <v>#REF!</v>
      </c>
      <c r="C98" s="45" t="e">
        <f>IF(ISBLANK(Data!#REF!),"",Data!#REF!)</f>
        <v>#REF!</v>
      </c>
      <c r="D98" s="21" t="e">
        <f>IF(ISBLANK(Data!#REF!),"",Data!#REF!)</f>
        <v>#REF!</v>
      </c>
      <c r="E98" s="21" t="e">
        <f>IF(ISBLANK(Data!#REF!),"",Data!#REF!)</f>
        <v>#REF!</v>
      </c>
      <c r="F98" s="33" t="e">
        <f>IF(ISBLANK(Data!#REF!),"",Data!#REF!)</f>
        <v>#REF!</v>
      </c>
      <c r="G98" s="21" t="e">
        <f>IF(ISBLANK(Data!#REF!),"",Data!#REF!)</f>
        <v>#REF!</v>
      </c>
      <c r="H98" s="33" t="e">
        <f>IF(ISBLANK(Data!#REF!),"",Data!#REF!)</f>
        <v>#REF!</v>
      </c>
      <c r="I98" s="33" t="e">
        <f>IF(ISBLANK(Data!#REF!),"",Data!#REF!)</f>
        <v>#REF!</v>
      </c>
      <c r="J98" s="33" t="e">
        <f>IF(ISBLANK(Data!#REF!),"",Data!#REF!)</f>
        <v>#REF!</v>
      </c>
      <c r="K98" s="21" t="e">
        <f>IF(ISBLANK(Data!#REF!),"",Data!#REF!)</f>
        <v>#REF!</v>
      </c>
      <c r="L98" s="21" t="e">
        <f>IF(ISBLANK(Data!#REF!),"",Data!#REF!)</f>
        <v>#REF!</v>
      </c>
      <c r="N98" s="46" t="e">
        <f>IF(ISBLANK(Data!#REF!),"",Data!#REF!)</f>
        <v>#REF!</v>
      </c>
      <c r="O98" s="46" t="e">
        <f>IF(ISBLANK(Data!#REF!),"",Data!#REF!)</f>
        <v>#REF!</v>
      </c>
      <c r="P98" s="46" t="e">
        <f>IF(ISBLANK(Data!#REF!),"",Data!#REF!)</f>
        <v>#REF!</v>
      </c>
      <c r="Q98" s="46" t="e">
        <f t="shared" si="1"/>
        <v>#REF!</v>
      </c>
      <c r="R98" s="47" t="e">
        <f>IF(ISBLANK(Data!#REF!),"",Data!#REF!)</f>
        <v>#REF!</v>
      </c>
      <c r="S98" s="33" t="e">
        <f>IF(ISBLANK(Data!#REF!),"",Data!#REF!)</f>
        <v>#REF!</v>
      </c>
      <c r="T98" s="33" t="e">
        <f>IF(ISBLANK(Data!#REF!),"",Data!#REF!)</f>
        <v>#REF!</v>
      </c>
      <c r="U98" s="21" t="e">
        <f>IF(ISBLANK(Data!#REF!),"",Data!#REF!)</f>
        <v>#REF!</v>
      </c>
    </row>
    <row r="99" spans="1:21" x14ac:dyDescent="0.25">
      <c r="A99" s="33" t="e">
        <f>IF(ISBLANK(Data!#REF!),"",YEAR(Data!#REF!))</f>
        <v>#REF!</v>
      </c>
      <c r="B99" s="44" t="e">
        <f>IF(ISBLANK(Data!#REF!),"",Data!#REF!)</f>
        <v>#REF!</v>
      </c>
      <c r="C99" s="45" t="e">
        <f>IF(ISBLANK(Data!#REF!),"",Data!#REF!)</f>
        <v>#REF!</v>
      </c>
      <c r="D99" s="21" t="e">
        <f>IF(ISBLANK(Data!#REF!),"",Data!#REF!)</f>
        <v>#REF!</v>
      </c>
      <c r="E99" s="21" t="e">
        <f>IF(ISBLANK(Data!#REF!),"",Data!#REF!)</f>
        <v>#REF!</v>
      </c>
      <c r="F99" s="33" t="e">
        <f>IF(ISBLANK(Data!#REF!),"",Data!#REF!)</f>
        <v>#REF!</v>
      </c>
      <c r="G99" s="21" t="e">
        <f>IF(ISBLANK(Data!#REF!),"",Data!#REF!)</f>
        <v>#REF!</v>
      </c>
      <c r="H99" s="33" t="e">
        <f>IF(ISBLANK(Data!#REF!),"",Data!#REF!)</f>
        <v>#REF!</v>
      </c>
      <c r="I99" s="33" t="e">
        <f>IF(ISBLANK(Data!#REF!),"",Data!#REF!)</f>
        <v>#REF!</v>
      </c>
      <c r="J99" s="33" t="e">
        <f>IF(ISBLANK(Data!#REF!),"",Data!#REF!)</f>
        <v>#REF!</v>
      </c>
      <c r="K99" s="21" t="e">
        <f>IF(ISBLANK(Data!#REF!),"",Data!#REF!)</f>
        <v>#REF!</v>
      </c>
      <c r="L99" s="21" t="e">
        <f>IF(ISBLANK(Data!#REF!),"",Data!#REF!)</f>
        <v>#REF!</v>
      </c>
      <c r="N99" s="46" t="e">
        <f>IF(ISBLANK(Data!#REF!),"",Data!#REF!)</f>
        <v>#REF!</v>
      </c>
      <c r="O99" s="46" t="e">
        <f>IF(ISBLANK(Data!#REF!),"",Data!#REF!)</f>
        <v>#REF!</v>
      </c>
      <c r="P99" s="46" t="e">
        <f>IF(ISBLANK(Data!#REF!),"",Data!#REF!)</f>
        <v>#REF!</v>
      </c>
      <c r="Q99" s="46" t="e">
        <f t="shared" si="1"/>
        <v>#REF!</v>
      </c>
      <c r="R99" s="47" t="e">
        <f>IF(ISBLANK(Data!#REF!),"",Data!#REF!)</f>
        <v>#REF!</v>
      </c>
      <c r="S99" s="33" t="e">
        <f>IF(ISBLANK(Data!#REF!),"",Data!#REF!)</f>
        <v>#REF!</v>
      </c>
      <c r="T99" s="33" t="e">
        <f>IF(ISBLANK(Data!#REF!),"",Data!#REF!)</f>
        <v>#REF!</v>
      </c>
      <c r="U99" s="21" t="e">
        <f>IF(ISBLANK(Data!#REF!),"",Data!#REF!)</f>
        <v>#REF!</v>
      </c>
    </row>
    <row r="100" spans="1:21" x14ac:dyDescent="0.25">
      <c r="A100" s="33" t="e">
        <f>IF(ISBLANK(Data!#REF!),"",YEAR(Data!#REF!))</f>
        <v>#REF!</v>
      </c>
      <c r="B100" s="44" t="e">
        <f>IF(ISBLANK(Data!#REF!),"",Data!#REF!)</f>
        <v>#REF!</v>
      </c>
      <c r="C100" s="45" t="e">
        <f>IF(ISBLANK(Data!#REF!),"",Data!#REF!)</f>
        <v>#REF!</v>
      </c>
      <c r="D100" s="21" t="e">
        <f>IF(ISBLANK(Data!#REF!),"",Data!#REF!)</f>
        <v>#REF!</v>
      </c>
      <c r="E100" s="21" t="e">
        <f>IF(ISBLANK(Data!#REF!),"",Data!#REF!)</f>
        <v>#REF!</v>
      </c>
      <c r="F100" s="33" t="e">
        <f>IF(ISBLANK(Data!#REF!),"",Data!#REF!)</f>
        <v>#REF!</v>
      </c>
      <c r="G100" s="21" t="e">
        <f>IF(ISBLANK(Data!#REF!),"",Data!#REF!)</f>
        <v>#REF!</v>
      </c>
      <c r="H100" s="33" t="e">
        <f>IF(ISBLANK(Data!#REF!),"",Data!#REF!)</f>
        <v>#REF!</v>
      </c>
      <c r="I100" s="33" t="e">
        <f>IF(ISBLANK(Data!#REF!),"",Data!#REF!)</f>
        <v>#REF!</v>
      </c>
      <c r="J100" s="33" t="e">
        <f>IF(ISBLANK(Data!#REF!),"",Data!#REF!)</f>
        <v>#REF!</v>
      </c>
      <c r="K100" s="21" t="e">
        <f>IF(ISBLANK(Data!#REF!),"",Data!#REF!)</f>
        <v>#REF!</v>
      </c>
      <c r="L100" s="21" t="e">
        <f>IF(ISBLANK(Data!#REF!),"",Data!#REF!)</f>
        <v>#REF!</v>
      </c>
      <c r="N100" s="46" t="e">
        <f>IF(ISBLANK(Data!#REF!),"",Data!#REF!)</f>
        <v>#REF!</v>
      </c>
      <c r="O100" s="46" t="e">
        <f>IF(ISBLANK(Data!#REF!),"",Data!#REF!)</f>
        <v>#REF!</v>
      </c>
      <c r="P100" s="46" t="e">
        <f>IF(ISBLANK(Data!#REF!),"",Data!#REF!)</f>
        <v>#REF!</v>
      </c>
      <c r="Q100" s="46" t="e">
        <f t="shared" si="1"/>
        <v>#REF!</v>
      </c>
      <c r="R100" s="47" t="e">
        <f>IF(ISBLANK(Data!#REF!),"",Data!#REF!)</f>
        <v>#REF!</v>
      </c>
      <c r="S100" s="33" t="e">
        <f>IF(ISBLANK(Data!#REF!),"",Data!#REF!)</f>
        <v>#REF!</v>
      </c>
      <c r="T100" s="33" t="e">
        <f>IF(ISBLANK(Data!#REF!),"",Data!#REF!)</f>
        <v>#REF!</v>
      </c>
      <c r="U100" s="21" t="e">
        <f>IF(ISBLANK(Data!#REF!),"",Data!#REF!)</f>
        <v>#REF!</v>
      </c>
    </row>
    <row r="101" spans="1:21" x14ac:dyDescent="0.25">
      <c r="A101" s="33" t="e">
        <f>IF(ISBLANK(Data!#REF!),"",YEAR(Data!#REF!))</f>
        <v>#REF!</v>
      </c>
      <c r="B101" s="44" t="e">
        <f>IF(ISBLANK(Data!#REF!),"",Data!#REF!)</f>
        <v>#REF!</v>
      </c>
      <c r="C101" s="45" t="e">
        <f>IF(ISBLANK(Data!#REF!),"",Data!#REF!)</f>
        <v>#REF!</v>
      </c>
      <c r="D101" s="21" t="e">
        <f>IF(ISBLANK(Data!#REF!),"",Data!#REF!)</f>
        <v>#REF!</v>
      </c>
      <c r="E101" s="21" t="e">
        <f>IF(ISBLANK(Data!#REF!),"",Data!#REF!)</f>
        <v>#REF!</v>
      </c>
      <c r="F101" s="33" t="e">
        <f>IF(ISBLANK(Data!#REF!),"",Data!#REF!)</f>
        <v>#REF!</v>
      </c>
      <c r="G101" s="21" t="e">
        <f>IF(ISBLANK(Data!#REF!),"",Data!#REF!)</f>
        <v>#REF!</v>
      </c>
      <c r="H101" s="33" t="e">
        <f>IF(ISBLANK(Data!#REF!),"",Data!#REF!)</f>
        <v>#REF!</v>
      </c>
      <c r="I101" s="33" t="e">
        <f>IF(ISBLANK(Data!#REF!),"",Data!#REF!)</f>
        <v>#REF!</v>
      </c>
      <c r="J101" s="33" t="e">
        <f>IF(ISBLANK(Data!#REF!),"",Data!#REF!)</f>
        <v>#REF!</v>
      </c>
      <c r="K101" s="21" t="e">
        <f>IF(ISBLANK(Data!#REF!),"",Data!#REF!)</f>
        <v>#REF!</v>
      </c>
      <c r="L101" s="21" t="e">
        <f>IF(ISBLANK(Data!#REF!),"",Data!#REF!)</f>
        <v>#REF!</v>
      </c>
      <c r="N101" s="46" t="e">
        <f>IF(ISBLANK(Data!#REF!),"",Data!#REF!)</f>
        <v>#REF!</v>
      </c>
      <c r="O101" s="46" t="e">
        <f>IF(ISBLANK(Data!#REF!),"",Data!#REF!)</f>
        <v>#REF!</v>
      </c>
      <c r="P101" s="46" t="e">
        <f>IF(ISBLANK(Data!#REF!),"",Data!#REF!)</f>
        <v>#REF!</v>
      </c>
      <c r="Q101" s="46" t="e">
        <f t="shared" si="1"/>
        <v>#REF!</v>
      </c>
      <c r="R101" s="47" t="e">
        <f>IF(ISBLANK(Data!#REF!),"",Data!#REF!)</f>
        <v>#REF!</v>
      </c>
      <c r="S101" s="33" t="e">
        <f>IF(ISBLANK(Data!#REF!),"",Data!#REF!)</f>
        <v>#REF!</v>
      </c>
      <c r="T101" s="33" t="e">
        <f>IF(ISBLANK(Data!#REF!),"",Data!#REF!)</f>
        <v>#REF!</v>
      </c>
      <c r="U101" s="21" t="e">
        <f>IF(ISBLANK(Data!#REF!),"",Data!#REF!)</f>
        <v>#REF!</v>
      </c>
    </row>
    <row r="102" spans="1:21" x14ac:dyDescent="0.25">
      <c r="A102" s="33" t="e">
        <f>IF(ISBLANK(Data!#REF!),"",YEAR(Data!#REF!))</f>
        <v>#REF!</v>
      </c>
      <c r="B102" s="44" t="e">
        <f>IF(ISBLANK(Data!#REF!),"",Data!#REF!)</f>
        <v>#REF!</v>
      </c>
      <c r="C102" s="45" t="e">
        <f>IF(ISBLANK(Data!#REF!),"",Data!#REF!)</f>
        <v>#REF!</v>
      </c>
      <c r="D102" s="21" t="e">
        <f>IF(ISBLANK(Data!#REF!),"",Data!#REF!)</f>
        <v>#REF!</v>
      </c>
      <c r="E102" s="21" t="e">
        <f>IF(ISBLANK(Data!#REF!),"",Data!#REF!)</f>
        <v>#REF!</v>
      </c>
      <c r="F102" s="33" t="e">
        <f>IF(ISBLANK(Data!#REF!),"",Data!#REF!)</f>
        <v>#REF!</v>
      </c>
      <c r="G102" s="21" t="e">
        <f>IF(ISBLANK(Data!#REF!),"",Data!#REF!)</f>
        <v>#REF!</v>
      </c>
      <c r="H102" s="33" t="e">
        <f>IF(ISBLANK(Data!#REF!),"",Data!#REF!)</f>
        <v>#REF!</v>
      </c>
      <c r="I102" s="33" t="e">
        <f>IF(ISBLANK(Data!#REF!),"",Data!#REF!)</f>
        <v>#REF!</v>
      </c>
      <c r="J102" s="33" t="e">
        <f>IF(ISBLANK(Data!#REF!),"",Data!#REF!)</f>
        <v>#REF!</v>
      </c>
      <c r="K102" s="21" t="e">
        <f>IF(ISBLANK(Data!#REF!),"",Data!#REF!)</f>
        <v>#REF!</v>
      </c>
      <c r="L102" s="21" t="e">
        <f>IF(ISBLANK(Data!#REF!),"",Data!#REF!)</f>
        <v>#REF!</v>
      </c>
      <c r="N102" s="46" t="e">
        <f>IF(ISBLANK(Data!#REF!),"",Data!#REF!)</f>
        <v>#REF!</v>
      </c>
      <c r="O102" s="46" t="e">
        <f>IF(ISBLANK(Data!#REF!),"",Data!#REF!)</f>
        <v>#REF!</v>
      </c>
      <c r="P102" s="46" t="e">
        <f>IF(ISBLANK(Data!#REF!),"",Data!#REF!)</f>
        <v>#REF!</v>
      </c>
      <c r="Q102" s="46" t="e">
        <f t="shared" si="1"/>
        <v>#REF!</v>
      </c>
      <c r="R102" s="47" t="e">
        <f>IF(ISBLANK(Data!#REF!),"",Data!#REF!)</f>
        <v>#REF!</v>
      </c>
      <c r="S102" s="33" t="e">
        <f>IF(ISBLANK(Data!#REF!),"",Data!#REF!)</f>
        <v>#REF!</v>
      </c>
      <c r="T102" s="33" t="e">
        <f>IF(ISBLANK(Data!#REF!),"",Data!#REF!)</f>
        <v>#REF!</v>
      </c>
      <c r="U102" s="21" t="e">
        <f>IF(ISBLANK(Data!#REF!),"",Data!#REF!)</f>
        <v>#REF!</v>
      </c>
    </row>
    <row r="103" spans="1:21" x14ac:dyDescent="0.25">
      <c r="A103" s="33" t="e">
        <f>IF(ISBLANK(Data!#REF!),"",YEAR(Data!#REF!))</f>
        <v>#REF!</v>
      </c>
      <c r="B103" s="44" t="e">
        <f>IF(ISBLANK(Data!#REF!),"",Data!#REF!)</f>
        <v>#REF!</v>
      </c>
      <c r="C103" s="45" t="e">
        <f>IF(ISBLANK(Data!#REF!),"",Data!#REF!)</f>
        <v>#REF!</v>
      </c>
      <c r="D103" s="21" t="e">
        <f>IF(ISBLANK(Data!#REF!),"",Data!#REF!)</f>
        <v>#REF!</v>
      </c>
      <c r="E103" s="21" t="e">
        <f>IF(ISBLANK(Data!#REF!),"",Data!#REF!)</f>
        <v>#REF!</v>
      </c>
      <c r="F103" s="33" t="e">
        <f>IF(ISBLANK(Data!#REF!),"",Data!#REF!)</f>
        <v>#REF!</v>
      </c>
      <c r="G103" s="21" t="e">
        <f>IF(ISBLANK(Data!#REF!),"",Data!#REF!)</f>
        <v>#REF!</v>
      </c>
      <c r="H103" s="33" t="e">
        <f>IF(ISBLANK(Data!#REF!),"",Data!#REF!)</f>
        <v>#REF!</v>
      </c>
      <c r="I103" s="33" t="e">
        <f>IF(ISBLANK(Data!#REF!),"",Data!#REF!)</f>
        <v>#REF!</v>
      </c>
      <c r="J103" s="33" t="e">
        <f>IF(ISBLANK(Data!#REF!),"",Data!#REF!)</f>
        <v>#REF!</v>
      </c>
      <c r="K103" s="21" t="e">
        <f>IF(ISBLANK(Data!#REF!),"",Data!#REF!)</f>
        <v>#REF!</v>
      </c>
      <c r="L103" s="21" t="e">
        <f>IF(ISBLANK(Data!#REF!),"",Data!#REF!)</f>
        <v>#REF!</v>
      </c>
      <c r="N103" s="46" t="e">
        <f>IF(ISBLANK(Data!#REF!),"",Data!#REF!)</f>
        <v>#REF!</v>
      </c>
      <c r="O103" s="46" t="e">
        <f>IF(ISBLANK(Data!#REF!),"",Data!#REF!)</f>
        <v>#REF!</v>
      </c>
      <c r="P103" s="46" t="e">
        <f>IF(ISBLANK(Data!#REF!),"",Data!#REF!)</f>
        <v>#REF!</v>
      </c>
      <c r="Q103" s="46" t="e">
        <f t="shared" si="1"/>
        <v>#REF!</v>
      </c>
      <c r="R103" s="47" t="e">
        <f>IF(ISBLANK(Data!#REF!),"",Data!#REF!)</f>
        <v>#REF!</v>
      </c>
      <c r="S103" s="33" t="e">
        <f>IF(ISBLANK(Data!#REF!),"",Data!#REF!)</f>
        <v>#REF!</v>
      </c>
      <c r="T103" s="33" t="e">
        <f>IF(ISBLANK(Data!#REF!),"",Data!#REF!)</f>
        <v>#REF!</v>
      </c>
      <c r="U103" s="21" t="e">
        <f>IF(ISBLANK(Data!#REF!),"",Data!#REF!)</f>
        <v>#REF!</v>
      </c>
    </row>
    <row r="104" spans="1:21" x14ac:dyDescent="0.25">
      <c r="A104" s="33" t="e">
        <f>IF(ISBLANK(Data!#REF!),"",YEAR(Data!#REF!))</f>
        <v>#REF!</v>
      </c>
      <c r="B104" s="44" t="e">
        <f>IF(ISBLANK(Data!#REF!),"",Data!#REF!)</f>
        <v>#REF!</v>
      </c>
      <c r="C104" s="45" t="e">
        <f>IF(ISBLANK(Data!#REF!),"",Data!#REF!)</f>
        <v>#REF!</v>
      </c>
      <c r="D104" s="21" t="e">
        <f>IF(ISBLANK(Data!#REF!),"",Data!#REF!)</f>
        <v>#REF!</v>
      </c>
      <c r="E104" s="21" t="e">
        <f>IF(ISBLANK(Data!#REF!),"",Data!#REF!)</f>
        <v>#REF!</v>
      </c>
      <c r="F104" s="33" t="e">
        <f>IF(ISBLANK(Data!#REF!),"",Data!#REF!)</f>
        <v>#REF!</v>
      </c>
      <c r="G104" s="21" t="e">
        <f>IF(ISBLANK(Data!#REF!),"",Data!#REF!)</f>
        <v>#REF!</v>
      </c>
      <c r="H104" s="33" t="e">
        <f>IF(ISBLANK(Data!#REF!),"",Data!#REF!)</f>
        <v>#REF!</v>
      </c>
      <c r="I104" s="33" t="e">
        <f>IF(ISBLANK(Data!#REF!),"",Data!#REF!)</f>
        <v>#REF!</v>
      </c>
      <c r="J104" s="33" t="e">
        <f>IF(ISBLANK(Data!#REF!),"",Data!#REF!)</f>
        <v>#REF!</v>
      </c>
      <c r="K104" s="21" t="e">
        <f>IF(ISBLANK(Data!#REF!),"",Data!#REF!)</f>
        <v>#REF!</v>
      </c>
      <c r="L104" s="21" t="e">
        <f>IF(ISBLANK(Data!#REF!),"",Data!#REF!)</f>
        <v>#REF!</v>
      </c>
      <c r="N104" s="46" t="e">
        <f>IF(ISBLANK(Data!#REF!),"",Data!#REF!)</f>
        <v>#REF!</v>
      </c>
      <c r="O104" s="46" t="e">
        <f>IF(ISBLANK(Data!#REF!),"",Data!#REF!)</f>
        <v>#REF!</v>
      </c>
      <c r="P104" s="46" t="e">
        <f>IF(ISBLANK(Data!#REF!),"",Data!#REF!)</f>
        <v>#REF!</v>
      </c>
      <c r="Q104" s="46" t="e">
        <f t="shared" si="1"/>
        <v>#REF!</v>
      </c>
      <c r="R104" s="47" t="e">
        <f>IF(ISBLANK(Data!#REF!),"",Data!#REF!)</f>
        <v>#REF!</v>
      </c>
      <c r="S104" s="33" t="e">
        <f>IF(ISBLANK(Data!#REF!),"",Data!#REF!)</f>
        <v>#REF!</v>
      </c>
      <c r="T104" s="33" t="e">
        <f>IF(ISBLANK(Data!#REF!),"",Data!#REF!)</f>
        <v>#REF!</v>
      </c>
      <c r="U104" s="21" t="e">
        <f>IF(ISBLANK(Data!#REF!),"",Data!#REF!)</f>
        <v>#REF!</v>
      </c>
    </row>
    <row r="105" spans="1:21" x14ac:dyDescent="0.25">
      <c r="A105" s="33" t="e">
        <f>IF(ISBLANK(Data!#REF!),"",YEAR(Data!#REF!))</f>
        <v>#REF!</v>
      </c>
      <c r="B105" s="44" t="e">
        <f>IF(ISBLANK(Data!#REF!),"",Data!#REF!)</f>
        <v>#REF!</v>
      </c>
      <c r="C105" s="45" t="e">
        <f>IF(ISBLANK(Data!#REF!),"",Data!#REF!)</f>
        <v>#REF!</v>
      </c>
      <c r="D105" s="21" t="e">
        <f>IF(ISBLANK(Data!#REF!),"",Data!#REF!)</f>
        <v>#REF!</v>
      </c>
      <c r="E105" s="21" t="e">
        <f>IF(ISBLANK(Data!#REF!),"",Data!#REF!)</f>
        <v>#REF!</v>
      </c>
      <c r="F105" s="33" t="e">
        <f>IF(ISBLANK(Data!#REF!),"",Data!#REF!)</f>
        <v>#REF!</v>
      </c>
      <c r="G105" s="21" t="e">
        <f>IF(ISBLANK(Data!#REF!),"",Data!#REF!)</f>
        <v>#REF!</v>
      </c>
      <c r="H105" s="33" t="e">
        <f>IF(ISBLANK(Data!#REF!),"",Data!#REF!)</f>
        <v>#REF!</v>
      </c>
      <c r="I105" s="33" t="e">
        <f>IF(ISBLANK(Data!#REF!),"",Data!#REF!)</f>
        <v>#REF!</v>
      </c>
      <c r="J105" s="33" t="e">
        <f>IF(ISBLANK(Data!#REF!),"",Data!#REF!)</f>
        <v>#REF!</v>
      </c>
      <c r="K105" s="21" t="e">
        <f>IF(ISBLANK(Data!#REF!),"",Data!#REF!)</f>
        <v>#REF!</v>
      </c>
      <c r="L105" s="21" t="e">
        <f>IF(ISBLANK(Data!#REF!),"",Data!#REF!)</f>
        <v>#REF!</v>
      </c>
      <c r="N105" s="46" t="e">
        <f>IF(ISBLANK(Data!#REF!),"",Data!#REF!)</f>
        <v>#REF!</v>
      </c>
      <c r="O105" s="46" t="e">
        <f>IF(ISBLANK(Data!#REF!),"",Data!#REF!)</f>
        <v>#REF!</v>
      </c>
      <c r="P105" s="46" t="e">
        <f>IF(ISBLANK(Data!#REF!),"",Data!#REF!)</f>
        <v>#REF!</v>
      </c>
      <c r="Q105" s="46" t="e">
        <f t="shared" si="1"/>
        <v>#REF!</v>
      </c>
      <c r="R105" s="47" t="e">
        <f>IF(ISBLANK(Data!#REF!),"",Data!#REF!)</f>
        <v>#REF!</v>
      </c>
      <c r="S105" s="33" t="e">
        <f>IF(ISBLANK(Data!#REF!),"",Data!#REF!)</f>
        <v>#REF!</v>
      </c>
      <c r="T105" s="33" t="e">
        <f>IF(ISBLANK(Data!#REF!),"",Data!#REF!)</f>
        <v>#REF!</v>
      </c>
      <c r="U105" s="21" t="e">
        <f>IF(ISBLANK(Data!#REF!),"",Data!#REF!)</f>
        <v>#REF!</v>
      </c>
    </row>
    <row r="106" spans="1:21" x14ac:dyDescent="0.25">
      <c r="A106" s="33" t="e">
        <f>IF(ISBLANK(Data!#REF!),"",YEAR(Data!#REF!))</f>
        <v>#REF!</v>
      </c>
      <c r="B106" s="44" t="e">
        <f>IF(ISBLANK(Data!#REF!),"",Data!#REF!)</f>
        <v>#REF!</v>
      </c>
      <c r="C106" s="45" t="e">
        <f>IF(ISBLANK(Data!#REF!),"",Data!#REF!)</f>
        <v>#REF!</v>
      </c>
      <c r="D106" s="21" t="e">
        <f>IF(ISBLANK(Data!#REF!),"",Data!#REF!)</f>
        <v>#REF!</v>
      </c>
      <c r="E106" s="21" t="e">
        <f>IF(ISBLANK(Data!#REF!),"",Data!#REF!)</f>
        <v>#REF!</v>
      </c>
      <c r="F106" s="33" t="e">
        <f>IF(ISBLANK(Data!#REF!),"",Data!#REF!)</f>
        <v>#REF!</v>
      </c>
      <c r="G106" s="21" t="e">
        <f>IF(ISBLANK(Data!#REF!),"",Data!#REF!)</f>
        <v>#REF!</v>
      </c>
      <c r="H106" s="33" t="e">
        <f>IF(ISBLANK(Data!#REF!),"",Data!#REF!)</f>
        <v>#REF!</v>
      </c>
      <c r="I106" s="33" t="e">
        <f>IF(ISBLANK(Data!#REF!),"",Data!#REF!)</f>
        <v>#REF!</v>
      </c>
      <c r="J106" s="33" t="e">
        <f>IF(ISBLANK(Data!#REF!),"",Data!#REF!)</f>
        <v>#REF!</v>
      </c>
      <c r="K106" s="21" t="e">
        <f>IF(ISBLANK(Data!#REF!),"",Data!#REF!)</f>
        <v>#REF!</v>
      </c>
      <c r="L106" s="21" t="e">
        <f>IF(ISBLANK(Data!#REF!),"",Data!#REF!)</f>
        <v>#REF!</v>
      </c>
      <c r="N106" s="46" t="e">
        <f>IF(ISBLANK(Data!#REF!),"",Data!#REF!)</f>
        <v>#REF!</v>
      </c>
      <c r="O106" s="46" t="e">
        <f>IF(ISBLANK(Data!#REF!),"",Data!#REF!)</f>
        <v>#REF!</v>
      </c>
      <c r="P106" s="46" t="e">
        <f>IF(ISBLANK(Data!#REF!),"",Data!#REF!)</f>
        <v>#REF!</v>
      </c>
      <c r="Q106" s="46" t="e">
        <f t="shared" si="1"/>
        <v>#REF!</v>
      </c>
      <c r="R106" s="47" t="e">
        <f>IF(ISBLANK(Data!#REF!),"",Data!#REF!)</f>
        <v>#REF!</v>
      </c>
      <c r="S106" s="33" t="e">
        <f>IF(ISBLANK(Data!#REF!),"",Data!#REF!)</f>
        <v>#REF!</v>
      </c>
      <c r="T106" s="33" t="e">
        <f>IF(ISBLANK(Data!#REF!),"",Data!#REF!)</f>
        <v>#REF!</v>
      </c>
      <c r="U106" s="21" t="e">
        <f>IF(ISBLANK(Data!#REF!),"",Data!#REF!)</f>
        <v>#REF!</v>
      </c>
    </row>
    <row r="107" spans="1:21" x14ac:dyDescent="0.25">
      <c r="A107" s="33" t="e">
        <f>IF(ISBLANK(Data!#REF!),"",YEAR(Data!#REF!))</f>
        <v>#REF!</v>
      </c>
      <c r="B107" s="44" t="e">
        <f>IF(ISBLANK(Data!#REF!),"",Data!#REF!)</f>
        <v>#REF!</v>
      </c>
      <c r="C107" s="45" t="e">
        <f>IF(ISBLANK(Data!#REF!),"",Data!#REF!)</f>
        <v>#REF!</v>
      </c>
      <c r="D107" s="21" t="e">
        <f>IF(ISBLANK(Data!#REF!),"",Data!#REF!)</f>
        <v>#REF!</v>
      </c>
      <c r="E107" s="21" t="e">
        <f>IF(ISBLANK(Data!#REF!),"",Data!#REF!)</f>
        <v>#REF!</v>
      </c>
      <c r="F107" s="33" t="e">
        <f>IF(ISBLANK(Data!#REF!),"",Data!#REF!)</f>
        <v>#REF!</v>
      </c>
      <c r="G107" s="21" t="e">
        <f>IF(ISBLANK(Data!#REF!),"",Data!#REF!)</f>
        <v>#REF!</v>
      </c>
      <c r="H107" s="33" t="e">
        <f>IF(ISBLANK(Data!#REF!),"",Data!#REF!)</f>
        <v>#REF!</v>
      </c>
      <c r="I107" s="33" t="e">
        <f>IF(ISBLANK(Data!#REF!),"",Data!#REF!)</f>
        <v>#REF!</v>
      </c>
      <c r="J107" s="33" t="e">
        <f>IF(ISBLANK(Data!#REF!),"",Data!#REF!)</f>
        <v>#REF!</v>
      </c>
      <c r="K107" s="21" t="e">
        <f>IF(ISBLANK(Data!#REF!),"",Data!#REF!)</f>
        <v>#REF!</v>
      </c>
      <c r="L107" s="21" t="e">
        <f>IF(ISBLANK(Data!#REF!),"",Data!#REF!)</f>
        <v>#REF!</v>
      </c>
      <c r="N107" s="46" t="e">
        <f>IF(ISBLANK(Data!#REF!),"",Data!#REF!)</f>
        <v>#REF!</v>
      </c>
      <c r="O107" s="46" t="e">
        <f>IF(ISBLANK(Data!#REF!),"",Data!#REF!)</f>
        <v>#REF!</v>
      </c>
      <c r="P107" s="46" t="e">
        <f>IF(ISBLANK(Data!#REF!),"",Data!#REF!)</f>
        <v>#REF!</v>
      </c>
      <c r="Q107" s="46" t="e">
        <f t="shared" si="1"/>
        <v>#REF!</v>
      </c>
      <c r="R107" s="47" t="e">
        <f>IF(ISBLANK(Data!#REF!),"",Data!#REF!)</f>
        <v>#REF!</v>
      </c>
      <c r="S107" s="33" t="e">
        <f>IF(ISBLANK(Data!#REF!),"",Data!#REF!)</f>
        <v>#REF!</v>
      </c>
      <c r="T107" s="33" t="e">
        <f>IF(ISBLANK(Data!#REF!),"",Data!#REF!)</f>
        <v>#REF!</v>
      </c>
      <c r="U107" s="21" t="e">
        <f>IF(ISBLANK(Data!#REF!),"",Data!#REF!)</f>
        <v>#REF!</v>
      </c>
    </row>
    <row r="108" spans="1:21" x14ac:dyDescent="0.25">
      <c r="A108" s="33" t="e">
        <f>IF(ISBLANK(Data!#REF!),"",YEAR(Data!#REF!))</f>
        <v>#REF!</v>
      </c>
      <c r="B108" s="44" t="e">
        <f>IF(ISBLANK(Data!#REF!),"",Data!#REF!)</f>
        <v>#REF!</v>
      </c>
      <c r="C108" s="45" t="e">
        <f>IF(ISBLANK(Data!#REF!),"",Data!#REF!)</f>
        <v>#REF!</v>
      </c>
      <c r="D108" s="21" t="e">
        <f>IF(ISBLANK(Data!#REF!),"",Data!#REF!)</f>
        <v>#REF!</v>
      </c>
      <c r="E108" s="21" t="e">
        <f>IF(ISBLANK(Data!#REF!),"",Data!#REF!)</f>
        <v>#REF!</v>
      </c>
      <c r="F108" s="33" t="e">
        <f>IF(ISBLANK(Data!#REF!),"",Data!#REF!)</f>
        <v>#REF!</v>
      </c>
      <c r="G108" s="21" t="e">
        <f>IF(ISBLANK(Data!#REF!),"",Data!#REF!)</f>
        <v>#REF!</v>
      </c>
      <c r="H108" s="33" t="e">
        <f>IF(ISBLANK(Data!#REF!),"",Data!#REF!)</f>
        <v>#REF!</v>
      </c>
      <c r="I108" s="33" t="e">
        <f>IF(ISBLANK(Data!#REF!),"",Data!#REF!)</f>
        <v>#REF!</v>
      </c>
      <c r="J108" s="33" t="e">
        <f>IF(ISBLANK(Data!#REF!),"",Data!#REF!)</f>
        <v>#REF!</v>
      </c>
      <c r="K108" s="21" t="e">
        <f>IF(ISBLANK(Data!#REF!),"",Data!#REF!)</f>
        <v>#REF!</v>
      </c>
      <c r="L108" s="21" t="e">
        <f>IF(ISBLANK(Data!#REF!),"",Data!#REF!)</f>
        <v>#REF!</v>
      </c>
      <c r="N108" s="46" t="e">
        <f>IF(ISBLANK(Data!#REF!),"",Data!#REF!)</f>
        <v>#REF!</v>
      </c>
      <c r="O108" s="46" t="e">
        <f>IF(ISBLANK(Data!#REF!),"",Data!#REF!)</f>
        <v>#REF!</v>
      </c>
      <c r="P108" s="46" t="e">
        <f>IF(ISBLANK(Data!#REF!),"",Data!#REF!)</f>
        <v>#REF!</v>
      </c>
      <c r="Q108" s="46" t="e">
        <f t="shared" si="1"/>
        <v>#REF!</v>
      </c>
      <c r="R108" s="47" t="e">
        <f>IF(ISBLANK(Data!#REF!),"",Data!#REF!)</f>
        <v>#REF!</v>
      </c>
      <c r="S108" s="33" t="e">
        <f>IF(ISBLANK(Data!#REF!),"",Data!#REF!)</f>
        <v>#REF!</v>
      </c>
      <c r="T108" s="33" t="e">
        <f>IF(ISBLANK(Data!#REF!),"",Data!#REF!)</f>
        <v>#REF!</v>
      </c>
      <c r="U108" s="21" t="e">
        <f>IF(ISBLANK(Data!#REF!),"",Data!#REF!)</f>
        <v>#REF!</v>
      </c>
    </row>
    <row r="109" spans="1:21" x14ac:dyDescent="0.25">
      <c r="A109" s="33" t="e">
        <f>IF(ISBLANK(Data!#REF!),"",YEAR(Data!#REF!))</f>
        <v>#REF!</v>
      </c>
      <c r="B109" s="44" t="e">
        <f>IF(ISBLANK(Data!#REF!),"",Data!#REF!)</f>
        <v>#REF!</v>
      </c>
      <c r="C109" s="45" t="e">
        <f>IF(ISBLANK(Data!#REF!),"",Data!#REF!)</f>
        <v>#REF!</v>
      </c>
      <c r="D109" s="21" t="e">
        <f>IF(ISBLANK(Data!#REF!),"",Data!#REF!)</f>
        <v>#REF!</v>
      </c>
      <c r="E109" s="21" t="e">
        <f>IF(ISBLANK(Data!#REF!),"",Data!#REF!)</f>
        <v>#REF!</v>
      </c>
      <c r="F109" s="33" t="e">
        <f>IF(ISBLANK(Data!#REF!),"",Data!#REF!)</f>
        <v>#REF!</v>
      </c>
      <c r="G109" s="21" t="e">
        <f>IF(ISBLANK(Data!#REF!),"",Data!#REF!)</f>
        <v>#REF!</v>
      </c>
      <c r="H109" s="33" t="e">
        <f>IF(ISBLANK(Data!#REF!),"",Data!#REF!)</f>
        <v>#REF!</v>
      </c>
      <c r="I109" s="33" t="e">
        <f>IF(ISBLANK(Data!#REF!),"",Data!#REF!)</f>
        <v>#REF!</v>
      </c>
      <c r="J109" s="33" t="e">
        <f>IF(ISBLANK(Data!#REF!),"",Data!#REF!)</f>
        <v>#REF!</v>
      </c>
      <c r="K109" s="21" t="e">
        <f>IF(ISBLANK(Data!#REF!),"",Data!#REF!)</f>
        <v>#REF!</v>
      </c>
      <c r="L109" s="21" t="e">
        <f>IF(ISBLANK(Data!#REF!),"",Data!#REF!)</f>
        <v>#REF!</v>
      </c>
      <c r="N109" s="46" t="e">
        <f>IF(ISBLANK(Data!#REF!),"",Data!#REF!)</f>
        <v>#REF!</v>
      </c>
      <c r="O109" s="46" t="e">
        <f>IF(ISBLANK(Data!#REF!),"",Data!#REF!)</f>
        <v>#REF!</v>
      </c>
      <c r="P109" s="46" t="e">
        <f>IF(ISBLANK(Data!#REF!),"",Data!#REF!)</f>
        <v>#REF!</v>
      </c>
      <c r="Q109" s="46" t="e">
        <f t="shared" si="1"/>
        <v>#REF!</v>
      </c>
      <c r="R109" s="47" t="e">
        <f>IF(ISBLANK(Data!#REF!),"",Data!#REF!)</f>
        <v>#REF!</v>
      </c>
      <c r="S109" s="33" t="e">
        <f>IF(ISBLANK(Data!#REF!),"",Data!#REF!)</f>
        <v>#REF!</v>
      </c>
      <c r="T109" s="33" t="e">
        <f>IF(ISBLANK(Data!#REF!),"",Data!#REF!)</f>
        <v>#REF!</v>
      </c>
      <c r="U109" s="21" t="e">
        <f>IF(ISBLANK(Data!#REF!),"",Data!#REF!)</f>
        <v>#REF!</v>
      </c>
    </row>
    <row r="110" spans="1:21" x14ac:dyDescent="0.25">
      <c r="A110" s="33" t="e">
        <f>IF(ISBLANK(Data!#REF!),"",YEAR(Data!#REF!))</f>
        <v>#REF!</v>
      </c>
      <c r="B110" s="44" t="e">
        <f>IF(ISBLANK(Data!#REF!),"",Data!#REF!)</f>
        <v>#REF!</v>
      </c>
      <c r="C110" s="45" t="e">
        <f>IF(ISBLANK(Data!#REF!),"",Data!#REF!)</f>
        <v>#REF!</v>
      </c>
      <c r="D110" s="21" t="e">
        <f>IF(ISBLANK(Data!#REF!),"",Data!#REF!)</f>
        <v>#REF!</v>
      </c>
      <c r="E110" s="21" t="e">
        <f>IF(ISBLANK(Data!#REF!),"",Data!#REF!)</f>
        <v>#REF!</v>
      </c>
      <c r="F110" s="33" t="e">
        <f>IF(ISBLANK(Data!#REF!),"",Data!#REF!)</f>
        <v>#REF!</v>
      </c>
      <c r="G110" s="21" t="e">
        <f>IF(ISBLANK(Data!#REF!),"",Data!#REF!)</f>
        <v>#REF!</v>
      </c>
      <c r="H110" s="33" t="e">
        <f>IF(ISBLANK(Data!#REF!),"",Data!#REF!)</f>
        <v>#REF!</v>
      </c>
      <c r="I110" s="33" t="e">
        <f>IF(ISBLANK(Data!#REF!),"",Data!#REF!)</f>
        <v>#REF!</v>
      </c>
      <c r="J110" s="33" t="e">
        <f>IF(ISBLANK(Data!#REF!),"",Data!#REF!)</f>
        <v>#REF!</v>
      </c>
      <c r="K110" s="21" t="e">
        <f>IF(ISBLANK(Data!#REF!),"",Data!#REF!)</f>
        <v>#REF!</v>
      </c>
      <c r="L110" s="21" t="e">
        <f>IF(ISBLANK(Data!#REF!),"",Data!#REF!)</f>
        <v>#REF!</v>
      </c>
      <c r="N110" s="46" t="e">
        <f>IF(ISBLANK(Data!#REF!),"",Data!#REF!)</f>
        <v>#REF!</v>
      </c>
      <c r="O110" s="46" t="e">
        <f>IF(ISBLANK(Data!#REF!),"",Data!#REF!)</f>
        <v>#REF!</v>
      </c>
      <c r="P110" s="46" t="e">
        <f>IF(ISBLANK(Data!#REF!),"",Data!#REF!)</f>
        <v>#REF!</v>
      </c>
      <c r="Q110" s="46" t="e">
        <f t="shared" si="1"/>
        <v>#REF!</v>
      </c>
      <c r="R110" s="47" t="e">
        <f>IF(ISBLANK(Data!#REF!),"",Data!#REF!)</f>
        <v>#REF!</v>
      </c>
      <c r="S110" s="33" t="e">
        <f>IF(ISBLANK(Data!#REF!),"",Data!#REF!)</f>
        <v>#REF!</v>
      </c>
      <c r="T110" s="33" t="e">
        <f>IF(ISBLANK(Data!#REF!),"",Data!#REF!)</f>
        <v>#REF!</v>
      </c>
      <c r="U110" s="21" t="e">
        <f>IF(ISBLANK(Data!#REF!),"",Data!#REF!)</f>
        <v>#REF!</v>
      </c>
    </row>
    <row r="111" spans="1:21" x14ac:dyDescent="0.25">
      <c r="A111" s="33" t="e">
        <f>IF(ISBLANK(Data!#REF!),"",YEAR(Data!#REF!))</f>
        <v>#REF!</v>
      </c>
      <c r="B111" s="44" t="e">
        <f>IF(ISBLANK(Data!#REF!),"",Data!#REF!)</f>
        <v>#REF!</v>
      </c>
      <c r="C111" s="45" t="e">
        <f>IF(ISBLANK(Data!#REF!),"",Data!#REF!)</f>
        <v>#REF!</v>
      </c>
      <c r="D111" s="21" t="e">
        <f>IF(ISBLANK(Data!#REF!),"",Data!#REF!)</f>
        <v>#REF!</v>
      </c>
      <c r="E111" s="21" t="e">
        <f>IF(ISBLANK(Data!#REF!),"",Data!#REF!)</f>
        <v>#REF!</v>
      </c>
      <c r="F111" s="33" t="e">
        <f>IF(ISBLANK(Data!#REF!),"",Data!#REF!)</f>
        <v>#REF!</v>
      </c>
      <c r="G111" s="21" t="e">
        <f>IF(ISBLANK(Data!#REF!),"",Data!#REF!)</f>
        <v>#REF!</v>
      </c>
      <c r="H111" s="33" t="e">
        <f>IF(ISBLANK(Data!#REF!),"",Data!#REF!)</f>
        <v>#REF!</v>
      </c>
      <c r="I111" s="33" t="e">
        <f>IF(ISBLANK(Data!#REF!),"",Data!#REF!)</f>
        <v>#REF!</v>
      </c>
      <c r="J111" s="33" t="e">
        <f>IF(ISBLANK(Data!#REF!),"",Data!#REF!)</f>
        <v>#REF!</v>
      </c>
      <c r="K111" s="21" t="e">
        <f>IF(ISBLANK(Data!#REF!),"",Data!#REF!)</f>
        <v>#REF!</v>
      </c>
      <c r="L111" s="21" t="e">
        <f>IF(ISBLANK(Data!#REF!),"",Data!#REF!)</f>
        <v>#REF!</v>
      </c>
      <c r="N111" s="46" t="e">
        <f>IF(ISBLANK(Data!#REF!),"",Data!#REF!)</f>
        <v>#REF!</v>
      </c>
      <c r="O111" s="46" t="e">
        <f>IF(ISBLANK(Data!#REF!),"",Data!#REF!)</f>
        <v>#REF!</v>
      </c>
      <c r="P111" s="46" t="e">
        <f>IF(ISBLANK(Data!#REF!),"",Data!#REF!)</f>
        <v>#REF!</v>
      </c>
      <c r="Q111" s="46" t="e">
        <f t="shared" si="1"/>
        <v>#REF!</v>
      </c>
      <c r="R111" s="47" t="e">
        <f>IF(ISBLANK(Data!#REF!),"",Data!#REF!)</f>
        <v>#REF!</v>
      </c>
      <c r="S111" s="33" t="e">
        <f>IF(ISBLANK(Data!#REF!),"",Data!#REF!)</f>
        <v>#REF!</v>
      </c>
      <c r="T111" s="33" t="e">
        <f>IF(ISBLANK(Data!#REF!),"",Data!#REF!)</f>
        <v>#REF!</v>
      </c>
      <c r="U111" s="21" t="e">
        <f>IF(ISBLANK(Data!#REF!),"",Data!#REF!)</f>
        <v>#REF!</v>
      </c>
    </row>
    <row r="112" spans="1:21" x14ac:dyDescent="0.25">
      <c r="A112" s="33" t="e">
        <f>IF(ISBLANK(Data!#REF!),"",YEAR(Data!#REF!))</f>
        <v>#REF!</v>
      </c>
      <c r="B112" s="44" t="e">
        <f>IF(ISBLANK(Data!#REF!),"",Data!#REF!)</f>
        <v>#REF!</v>
      </c>
      <c r="C112" s="45" t="e">
        <f>IF(ISBLANK(Data!#REF!),"",Data!#REF!)</f>
        <v>#REF!</v>
      </c>
      <c r="D112" s="21" t="e">
        <f>IF(ISBLANK(Data!#REF!),"",Data!#REF!)</f>
        <v>#REF!</v>
      </c>
      <c r="E112" s="21" t="e">
        <f>IF(ISBLANK(Data!#REF!),"",Data!#REF!)</f>
        <v>#REF!</v>
      </c>
      <c r="F112" s="33" t="e">
        <f>IF(ISBLANK(Data!#REF!),"",Data!#REF!)</f>
        <v>#REF!</v>
      </c>
      <c r="G112" s="21" t="e">
        <f>IF(ISBLANK(Data!#REF!),"",Data!#REF!)</f>
        <v>#REF!</v>
      </c>
      <c r="H112" s="33" t="e">
        <f>IF(ISBLANK(Data!#REF!),"",Data!#REF!)</f>
        <v>#REF!</v>
      </c>
      <c r="I112" s="33" t="e">
        <f>IF(ISBLANK(Data!#REF!),"",Data!#REF!)</f>
        <v>#REF!</v>
      </c>
      <c r="J112" s="33" t="e">
        <f>IF(ISBLANK(Data!#REF!),"",Data!#REF!)</f>
        <v>#REF!</v>
      </c>
      <c r="K112" s="21" t="e">
        <f>IF(ISBLANK(Data!#REF!),"",Data!#REF!)</f>
        <v>#REF!</v>
      </c>
      <c r="L112" s="21" t="e">
        <f>IF(ISBLANK(Data!#REF!),"",Data!#REF!)</f>
        <v>#REF!</v>
      </c>
      <c r="N112" s="46" t="e">
        <f>IF(ISBLANK(Data!#REF!),"",Data!#REF!)</f>
        <v>#REF!</v>
      </c>
      <c r="O112" s="46" t="e">
        <f>IF(ISBLANK(Data!#REF!),"",Data!#REF!)</f>
        <v>#REF!</v>
      </c>
      <c r="P112" s="46" t="e">
        <f>IF(ISBLANK(Data!#REF!),"",Data!#REF!)</f>
        <v>#REF!</v>
      </c>
      <c r="Q112" s="46" t="e">
        <f t="shared" si="1"/>
        <v>#REF!</v>
      </c>
      <c r="R112" s="47" t="e">
        <f>IF(ISBLANK(Data!#REF!),"",Data!#REF!)</f>
        <v>#REF!</v>
      </c>
      <c r="S112" s="33" t="e">
        <f>IF(ISBLANK(Data!#REF!),"",Data!#REF!)</f>
        <v>#REF!</v>
      </c>
      <c r="T112" s="33" t="e">
        <f>IF(ISBLANK(Data!#REF!),"",Data!#REF!)</f>
        <v>#REF!</v>
      </c>
      <c r="U112" s="21" t="e">
        <f>IF(ISBLANK(Data!#REF!),"",Data!#REF!)</f>
        <v>#REF!</v>
      </c>
    </row>
    <row r="113" spans="1:21" x14ac:dyDescent="0.25">
      <c r="A113" s="33" t="e">
        <f>IF(ISBLANK(Data!#REF!),"",YEAR(Data!#REF!))</f>
        <v>#REF!</v>
      </c>
      <c r="B113" s="44" t="e">
        <f>IF(ISBLANK(Data!#REF!),"",Data!#REF!)</f>
        <v>#REF!</v>
      </c>
      <c r="C113" s="45" t="e">
        <f>IF(ISBLANK(Data!#REF!),"",Data!#REF!)</f>
        <v>#REF!</v>
      </c>
      <c r="D113" s="21" t="e">
        <f>IF(ISBLANK(Data!#REF!),"",Data!#REF!)</f>
        <v>#REF!</v>
      </c>
      <c r="E113" s="21" t="e">
        <f>IF(ISBLANK(Data!#REF!),"",Data!#REF!)</f>
        <v>#REF!</v>
      </c>
      <c r="F113" s="33" t="e">
        <f>IF(ISBLANK(Data!#REF!),"",Data!#REF!)</f>
        <v>#REF!</v>
      </c>
      <c r="G113" s="21" t="e">
        <f>IF(ISBLANK(Data!#REF!),"",Data!#REF!)</f>
        <v>#REF!</v>
      </c>
      <c r="H113" s="33" t="e">
        <f>IF(ISBLANK(Data!#REF!),"",Data!#REF!)</f>
        <v>#REF!</v>
      </c>
      <c r="I113" s="33" t="e">
        <f>IF(ISBLANK(Data!#REF!),"",Data!#REF!)</f>
        <v>#REF!</v>
      </c>
      <c r="J113" s="33" t="e">
        <f>IF(ISBLANK(Data!#REF!),"",Data!#REF!)</f>
        <v>#REF!</v>
      </c>
      <c r="K113" s="21" t="e">
        <f>IF(ISBLANK(Data!#REF!),"",Data!#REF!)</f>
        <v>#REF!</v>
      </c>
      <c r="L113" s="21" t="e">
        <f>IF(ISBLANK(Data!#REF!),"",Data!#REF!)</f>
        <v>#REF!</v>
      </c>
      <c r="N113" s="46" t="e">
        <f>IF(ISBLANK(Data!#REF!),"",Data!#REF!)</f>
        <v>#REF!</v>
      </c>
      <c r="O113" s="46" t="e">
        <f>IF(ISBLANK(Data!#REF!),"",Data!#REF!)</f>
        <v>#REF!</v>
      </c>
      <c r="P113" s="46" t="e">
        <f>IF(ISBLANK(Data!#REF!),"",Data!#REF!)</f>
        <v>#REF!</v>
      </c>
      <c r="Q113" s="46" t="e">
        <f t="shared" si="1"/>
        <v>#REF!</v>
      </c>
      <c r="R113" s="47" t="e">
        <f>IF(ISBLANK(Data!#REF!),"",Data!#REF!)</f>
        <v>#REF!</v>
      </c>
      <c r="S113" s="33" t="e">
        <f>IF(ISBLANK(Data!#REF!),"",Data!#REF!)</f>
        <v>#REF!</v>
      </c>
      <c r="T113" s="33" t="e">
        <f>IF(ISBLANK(Data!#REF!),"",Data!#REF!)</f>
        <v>#REF!</v>
      </c>
      <c r="U113" s="21" t="e">
        <f>IF(ISBLANK(Data!#REF!),"",Data!#REF!)</f>
        <v>#REF!</v>
      </c>
    </row>
    <row r="114" spans="1:21" x14ac:dyDescent="0.25">
      <c r="A114" s="33" t="e">
        <f>IF(ISBLANK(Data!#REF!),"",YEAR(Data!#REF!))</f>
        <v>#REF!</v>
      </c>
      <c r="B114" s="44" t="e">
        <f>IF(ISBLANK(Data!#REF!),"",Data!#REF!)</f>
        <v>#REF!</v>
      </c>
      <c r="C114" s="45" t="e">
        <f>IF(ISBLANK(Data!#REF!),"",Data!#REF!)</f>
        <v>#REF!</v>
      </c>
      <c r="D114" s="21" t="e">
        <f>IF(ISBLANK(Data!#REF!),"",Data!#REF!)</f>
        <v>#REF!</v>
      </c>
      <c r="E114" s="21" t="e">
        <f>IF(ISBLANK(Data!#REF!),"",Data!#REF!)</f>
        <v>#REF!</v>
      </c>
      <c r="F114" s="33" t="e">
        <f>IF(ISBLANK(Data!#REF!),"",Data!#REF!)</f>
        <v>#REF!</v>
      </c>
      <c r="G114" s="21" t="e">
        <f>IF(ISBLANK(Data!#REF!),"",Data!#REF!)</f>
        <v>#REF!</v>
      </c>
      <c r="H114" s="33" t="e">
        <f>IF(ISBLANK(Data!#REF!),"",Data!#REF!)</f>
        <v>#REF!</v>
      </c>
      <c r="I114" s="33" t="e">
        <f>IF(ISBLANK(Data!#REF!),"",Data!#REF!)</f>
        <v>#REF!</v>
      </c>
      <c r="J114" s="33" t="e">
        <f>IF(ISBLANK(Data!#REF!),"",Data!#REF!)</f>
        <v>#REF!</v>
      </c>
      <c r="K114" s="21" t="e">
        <f>IF(ISBLANK(Data!#REF!),"",Data!#REF!)</f>
        <v>#REF!</v>
      </c>
      <c r="L114" s="21" t="e">
        <f>IF(ISBLANK(Data!#REF!),"",Data!#REF!)</f>
        <v>#REF!</v>
      </c>
      <c r="N114" s="46" t="e">
        <f>IF(ISBLANK(Data!#REF!),"",Data!#REF!)</f>
        <v>#REF!</v>
      </c>
      <c r="O114" s="46" t="e">
        <f>IF(ISBLANK(Data!#REF!),"",Data!#REF!)</f>
        <v>#REF!</v>
      </c>
      <c r="P114" s="46" t="e">
        <f>IF(ISBLANK(Data!#REF!),"",Data!#REF!)</f>
        <v>#REF!</v>
      </c>
      <c r="Q114" s="46" t="e">
        <f t="shared" si="1"/>
        <v>#REF!</v>
      </c>
      <c r="R114" s="47" t="e">
        <f>IF(ISBLANK(Data!#REF!),"",Data!#REF!)</f>
        <v>#REF!</v>
      </c>
      <c r="S114" s="33" t="e">
        <f>IF(ISBLANK(Data!#REF!),"",Data!#REF!)</f>
        <v>#REF!</v>
      </c>
      <c r="T114" s="33" t="e">
        <f>IF(ISBLANK(Data!#REF!),"",Data!#REF!)</f>
        <v>#REF!</v>
      </c>
      <c r="U114" s="21" t="e">
        <f>IF(ISBLANK(Data!#REF!),"",Data!#REF!)</f>
        <v>#REF!</v>
      </c>
    </row>
    <row r="115" spans="1:21" x14ac:dyDescent="0.25">
      <c r="A115" s="33" t="e">
        <f>IF(ISBLANK(Data!#REF!),"",YEAR(Data!#REF!))</f>
        <v>#REF!</v>
      </c>
      <c r="B115" s="44" t="e">
        <f>IF(ISBLANK(Data!#REF!),"",Data!#REF!)</f>
        <v>#REF!</v>
      </c>
      <c r="C115" s="45" t="e">
        <f>IF(ISBLANK(Data!#REF!),"",Data!#REF!)</f>
        <v>#REF!</v>
      </c>
      <c r="D115" s="21" t="e">
        <f>IF(ISBLANK(Data!#REF!),"",Data!#REF!)</f>
        <v>#REF!</v>
      </c>
      <c r="E115" s="21" t="e">
        <f>IF(ISBLANK(Data!#REF!),"",Data!#REF!)</f>
        <v>#REF!</v>
      </c>
      <c r="F115" s="33" t="e">
        <f>IF(ISBLANK(Data!#REF!),"",Data!#REF!)</f>
        <v>#REF!</v>
      </c>
      <c r="G115" s="21" t="e">
        <f>IF(ISBLANK(Data!#REF!),"",Data!#REF!)</f>
        <v>#REF!</v>
      </c>
      <c r="H115" s="33" t="e">
        <f>IF(ISBLANK(Data!#REF!),"",Data!#REF!)</f>
        <v>#REF!</v>
      </c>
      <c r="I115" s="33" t="e">
        <f>IF(ISBLANK(Data!#REF!),"",Data!#REF!)</f>
        <v>#REF!</v>
      </c>
      <c r="J115" s="33" t="e">
        <f>IF(ISBLANK(Data!#REF!),"",Data!#REF!)</f>
        <v>#REF!</v>
      </c>
      <c r="K115" s="21" t="e">
        <f>IF(ISBLANK(Data!#REF!),"",Data!#REF!)</f>
        <v>#REF!</v>
      </c>
      <c r="L115" s="21" t="e">
        <f>IF(ISBLANK(Data!#REF!),"",Data!#REF!)</f>
        <v>#REF!</v>
      </c>
      <c r="N115" s="46" t="e">
        <f>IF(ISBLANK(Data!#REF!),"",Data!#REF!)</f>
        <v>#REF!</v>
      </c>
      <c r="O115" s="46" t="e">
        <f>IF(ISBLANK(Data!#REF!),"",Data!#REF!)</f>
        <v>#REF!</v>
      </c>
      <c r="P115" s="46" t="e">
        <f>IF(ISBLANK(Data!#REF!),"",Data!#REF!)</f>
        <v>#REF!</v>
      </c>
      <c r="Q115" s="46" t="e">
        <f t="shared" si="1"/>
        <v>#REF!</v>
      </c>
      <c r="R115" s="47" t="e">
        <f>IF(ISBLANK(Data!#REF!),"",Data!#REF!)</f>
        <v>#REF!</v>
      </c>
      <c r="S115" s="33" t="e">
        <f>IF(ISBLANK(Data!#REF!),"",Data!#REF!)</f>
        <v>#REF!</v>
      </c>
      <c r="T115" s="33" t="e">
        <f>IF(ISBLANK(Data!#REF!),"",Data!#REF!)</f>
        <v>#REF!</v>
      </c>
      <c r="U115" s="21" t="e">
        <f>IF(ISBLANK(Data!#REF!),"",Data!#REF!)</f>
        <v>#REF!</v>
      </c>
    </row>
    <row r="116" spans="1:21" x14ac:dyDescent="0.25">
      <c r="A116" s="33" t="e">
        <f>IF(ISBLANK(Data!#REF!),"",YEAR(Data!#REF!))</f>
        <v>#REF!</v>
      </c>
      <c r="B116" s="44" t="e">
        <f>IF(ISBLANK(Data!#REF!),"",Data!#REF!)</f>
        <v>#REF!</v>
      </c>
      <c r="C116" s="45" t="e">
        <f>IF(ISBLANK(Data!#REF!),"",Data!#REF!)</f>
        <v>#REF!</v>
      </c>
      <c r="D116" s="21" t="e">
        <f>IF(ISBLANK(Data!#REF!),"",Data!#REF!)</f>
        <v>#REF!</v>
      </c>
      <c r="E116" s="21" t="e">
        <f>IF(ISBLANK(Data!#REF!),"",Data!#REF!)</f>
        <v>#REF!</v>
      </c>
      <c r="F116" s="33" t="e">
        <f>IF(ISBLANK(Data!#REF!),"",Data!#REF!)</f>
        <v>#REF!</v>
      </c>
      <c r="G116" s="21" t="e">
        <f>IF(ISBLANK(Data!#REF!),"",Data!#REF!)</f>
        <v>#REF!</v>
      </c>
      <c r="H116" s="33" t="e">
        <f>IF(ISBLANK(Data!#REF!),"",Data!#REF!)</f>
        <v>#REF!</v>
      </c>
      <c r="I116" s="33" t="e">
        <f>IF(ISBLANK(Data!#REF!),"",Data!#REF!)</f>
        <v>#REF!</v>
      </c>
      <c r="J116" s="33" t="e">
        <f>IF(ISBLANK(Data!#REF!),"",Data!#REF!)</f>
        <v>#REF!</v>
      </c>
      <c r="K116" s="21" t="e">
        <f>IF(ISBLANK(Data!#REF!),"",Data!#REF!)</f>
        <v>#REF!</v>
      </c>
      <c r="L116" s="21" t="e">
        <f>IF(ISBLANK(Data!#REF!),"",Data!#REF!)</f>
        <v>#REF!</v>
      </c>
      <c r="N116" s="46" t="e">
        <f>IF(ISBLANK(Data!#REF!),"",Data!#REF!)</f>
        <v>#REF!</v>
      </c>
      <c r="O116" s="46" t="e">
        <f>IF(ISBLANK(Data!#REF!),"",Data!#REF!)</f>
        <v>#REF!</v>
      </c>
      <c r="P116" s="46" t="e">
        <f>IF(ISBLANK(Data!#REF!),"",Data!#REF!)</f>
        <v>#REF!</v>
      </c>
      <c r="Q116" s="46" t="e">
        <f t="shared" si="1"/>
        <v>#REF!</v>
      </c>
      <c r="R116" s="47" t="e">
        <f>IF(ISBLANK(Data!#REF!),"",Data!#REF!)</f>
        <v>#REF!</v>
      </c>
      <c r="S116" s="33" t="e">
        <f>IF(ISBLANK(Data!#REF!),"",Data!#REF!)</f>
        <v>#REF!</v>
      </c>
      <c r="T116" s="33" t="e">
        <f>IF(ISBLANK(Data!#REF!),"",Data!#REF!)</f>
        <v>#REF!</v>
      </c>
      <c r="U116" s="21" t="e">
        <f>IF(ISBLANK(Data!#REF!),"",Data!#REF!)</f>
        <v>#REF!</v>
      </c>
    </row>
    <row r="117" spans="1:21" x14ac:dyDescent="0.25">
      <c r="A117" s="33" t="e">
        <f>IF(ISBLANK(Data!#REF!),"",YEAR(Data!#REF!))</f>
        <v>#REF!</v>
      </c>
      <c r="B117" s="44" t="e">
        <f>IF(ISBLANK(Data!#REF!),"",Data!#REF!)</f>
        <v>#REF!</v>
      </c>
      <c r="C117" s="45" t="e">
        <f>IF(ISBLANK(Data!#REF!),"",Data!#REF!)</f>
        <v>#REF!</v>
      </c>
      <c r="D117" s="21" t="e">
        <f>IF(ISBLANK(Data!#REF!),"",Data!#REF!)</f>
        <v>#REF!</v>
      </c>
      <c r="E117" s="21" t="e">
        <f>IF(ISBLANK(Data!#REF!),"",Data!#REF!)</f>
        <v>#REF!</v>
      </c>
      <c r="F117" s="33" t="e">
        <f>IF(ISBLANK(Data!#REF!),"",Data!#REF!)</f>
        <v>#REF!</v>
      </c>
      <c r="G117" s="21" t="e">
        <f>IF(ISBLANK(Data!#REF!),"",Data!#REF!)</f>
        <v>#REF!</v>
      </c>
      <c r="H117" s="33" t="e">
        <f>IF(ISBLANK(Data!#REF!),"",Data!#REF!)</f>
        <v>#REF!</v>
      </c>
      <c r="I117" s="33" t="e">
        <f>IF(ISBLANK(Data!#REF!),"",Data!#REF!)</f>
        <v>#REF!</v>
      </c>
      <c r="J117" s="33" t="e">
        <f>IF(ISBLANK(Data!#REF!),"",Data!#REF!)</f>
        <v>#REF!</v>
      </c>
      <c r="K117" s="21" t="e">
        <f>IF(ISBLANK(Data!#REF!),"",Data!#REF!)</f>
        <v>#REF!</v>
      </c>
      <c r="L117" s="21" t="e">
        <f>IF(ISBLANK(Data!#REF!),"",Data!#REF!)</f>
        <v>#REF!</v>
      </c>
      <c r="N117" s="46" t="e">
        <f>IF(ISBLANK(Data!#REF!),"",Data!#REF!)</f>
        <v>#REF!</v>
      </c>
      <c r="O117" s="46" t="e">
        <f>IF(ISBLANK(Data!#REF!),"",Data!#REF!)</f>
        <v>#REF!</v>
      </c>
      <c r="P117" s="46" t="e">
        <f>IF(ISBLANK(Data!#REF!),"",Data!#REF!)</f>
        <v>#REF!</v>
      </c>
      <c r="Q117" s="46" t="e">
        <f t="shared" si="1"/>
        <v>#REF!</v>
      </c>
      <c r="R117" s="47" t="e">
        <f>IF(ISBLANK(Data!#REF!),"",Data!#REF!)</f>
        <v>#REF!</v>
      </c>
      <c r="S117" s="33" t="e">
        <f>IF(ISBLANK(Data!#REF!),"",Data!#REF!)</f>
        <v>#REF!</v>
      </c>
      <c r="T117" s="33" t="e">
        <f>IF(ISBLANK(Data!#REF!),"",Data!#REF!)</f>
        <v>#REF!</v>
      </c>
      <c r="U117" s="21" t="e">
        <f>IF(ISBLANK(Data!#REF!),"",Data!#REF!)</f>
        <v>#REF!</v>
      </c>
    </row>
    <row r="118" spans="1:21" x14ac:dyDescent="0.25">
      <c r="A118" s="33" t="e">
        <f>IF(ISBLANK(Data!#REF!),"",YEAR(Data!#REF!))</f>
        <v>#REF!</v>
      </c>
      <c r="B118" s="44" t="e">
        <f>IF(ISBLANK(Data!#REF!),"",Data!#REF!)</f>
        <v>#REF!</v>
      </c>
      <c r="C118" s="45" t="e">
        <f>IF(ISBLANK(Data!#REF!),"",Data!#REF!)</f>
        <v>#REF!</v>
      </c>
      <c r="D118" s="21" t="e">
        <f>IF(ISBLANK(Data!#REF!),"",Data!#REF!)</f>
        <v>#REF!</v>
      </c>
      <c r="E118" s="21" t="e">
        <f>IF(ISBLANK(Data!#REF!),"",Data!#REF!)</f>
        <v>#REF!</v>
      </c>
      <c r="F118" s="33" t="e">
        <f>IF(ISBLANK(Data!#REF!),"",Data!#REF!)</f>
        <v>#REF!</v>
      </c>
      <c r="G118" s="21" t="e">
        <f>IF(ISBLANK(Data!#REF!),"",Data!#REF!)</f>
        <v>#REF!</v>
      </c>
      <c r="H118" s="33" t="e">
        <f>IF(ISBLANK(Data!#REF!),"",Data!#REF!)</f>
        <v>#REF!</v>
      </c>
      <c r="I118" s="33" t="e">
        <f>IF(ISBLANK(Data!#REF!),"",Data!#REF!)</f>
        <v>#REF!</v>
      </c>
      <c r="J118" s="33" t="e">
        <f>IF(ISBLANK(Data!#REF!),"",Data!#REF!)</f>
        <v>#REF!</v>
      </c>
      <c r="K118" s="21" t="e">
        <f>IF(ISBLANK(Data!#REF!),"",Data!#REF!)</f>
        <v>#REF!</v>
      </c>
      <c r="L118" s="21" t="e">
        <f>IF(ISBLANK(Data!#REF!),"",Data!#REF!)</f>
        <v>#REF!</v>
      </c>
      <c r="N118" s="46" t="e">
        <f>IF(ISBLANK(Data!#REF!),"",Data!#REF!)</f>
        <v>#REF!</v>
      </c>
      <c r="O118" s="46" t="e">
        <f>IF(ISBLANK(Data!#REF!),"",Data!#REF!)</f>
        <v>#REF!</v>
      </c>
      <c r="P118" s="46" t="e">
        <f>IF(ISBLANK(Data!#REF!),"",Data!#REF!)</f>
        <v>#REF!</v>
      </c>
      <c r="Q118" s="46" t="e">
        <f t="shared" si="1"/>
        <v>#REF!</v>
      </c>
      <c r="R118" s="47" t="e">
        <f>IF(ISBLANK(Data!#REF!),"",Data!#REF!)</f>
        <v>#REF!</v>
      </c>
      <c r="S118" s="33" t="e">
        <f>IF(ISBLANK(Data!#REF!),"",Data!#REF!)</f>
        <v>#REF!</v>
      </c>
      <c r="T118" s="33" t="e">
        <f>IF(ISBLANK(Data!#REF!),"",Data!#REF!)</f>
        <v>#REF!</v>
      </c>
      <c r="U118" s="21" t="e">
        <f>IF(ISBLANK(Data!#REF!),"",Data!#REF!)</f>
        <v>#REF!</v>
      </c>
    </row>
    <row r="119" spans="1:21" x14ac:dyDescent="0.25">
      <c r="A119" s="33" t="e">
        <f>IF(ISBLANK(Data!#REF!),"",YEAR(Data!#REF!))</f>
        <v>#REF!</v>
      </c>
      <c r="B119" s="44" t="e">
        <f>IF(ISBLANK(Data!#REF!),"",Data!#REF!)</f>
        <v>#REF!</v>
      </c>
      <c r="C119" s="45" t="e">
        <f>IF(ISBLANK(Data!#REF!),"",Data!#REF!)</f>
        <v>#REF!</v>
      </c>
      <c r="D119" s="21" t="e">
        <f>IF(ISBLANK(Data!#REF!),"",Data!#REF!)</f>
        <v>#REF!</v>
      </c>
      <c r="E119" s="21" t="e">
        <f>IF(ISBLANK(Data!#REF!),"",Data!#REF!)</f>
        <v>#REF!</v>
      </c>
      <c r="F119" s="33" t="e">
        <f>IF(ISBLANK(Data!#REF!),"",Data!#REF!)</f>
        <v>#REF!</v>
      </c>
      <c r="G119" s="21" t="e">
        <f>IF(ISBLANK(Data!#REF!),"",Data!#REF!)</f>
        <v>#REF!</v>
      </c>
      <c r="H119" s="33" t="e">
        <f>IF(ISBLANK(Data!#REF!),"",Data!#REF!)</f>
        <v>#REF!</v>
      </c>
      <c r="I119" s="33" t="e">
        <f>IF(ISBLANK(Data!#REF!),"",Data!#REF!)</f>
        <v>#REF!</v>
      </c>
      <c r="J119" s="33" t="e">
        <f>IF(ISBLANK(Data!#REF!),"",Data!#REF!)</f>
        <v>#REF!</v>
      </c>
      <c r="K119" s="21" t="e">
        <f>IF(ISBLANK(Data!#REF!),"",Data!#REF!)</f>
        <v>#REF!</v>
      </c>
      <c r="L119" s="21" t="e">
        <f>IF(ISBLANK(Data!#REF!),"",Data!#REF!)</f>
        <v>#REF!</v>
      </c>
      <c r="N119" s="46" t="e">
        <f>IF(ISBLANK(Data!#REF!),"",Data!#REF!)</f>
        <v>#REF!</v>
      </c>
      <c r="O119" s="46" t="e">
        <f>IF(ISBLANK(Data!#REF!),"",Data!#REF!)</f>
        <v>#REF!</v>
      </c>
      <c r="P119" s="46" t="e">
        <f>IF(ISBLANK(Data!#REF!),"",Data!#REF!)</f>
        <v>#REF!</v>
      </c>
      <c r="Q119" s="46" t="e">
        <f t="shared" si="1"/>
        <v>#REF!</v>
      </c>
      <c r="R119" s="47" t="e">
        <f>IF(ISBLANK(Data!#REF!),"",Data!#REF!)</f>
        <v>#REF!</v>
      </c>
      <c r="S119" s="33" t="e">
        <f>IF(ISBLANK(Data!#REF!),"",Data!#REF!)</f>
        <v>#REF!</v>
      </c>
      <c r="T119" s="33" t="e">
        <f>IF(ISBLANK(Data!#REF!),"",Data!#REF!)</f>
        <v>#REF!</v>
      </c>
      <c r="U119" s="21" t="e">
        <f>IF(ISBLANK(Data!#REF!),"",Data!#REF!)</f>
        <v>#REF!</v>
      </c>
    </row>
    <row r="120" spans="1:21" x14ac:dyDescent="0.25">
      <c r="A120" s="33" t="e">
        <f>IF(ISBLANK(Data!#REF!),"",YEAR(Data!#REF!))</f>
        <v>#REF!</v>
      </c>
      <c r="B120" s="44" t="e">
        <f>IF(ISBLANK(Data!#REF!),"",Data!#REF!)</f>
        <v>#REF!</v>
      </c>
      <c r="C120" s="45" t="e">
        <f>IF(ISBLANK(Data!#REF!),"",Data!#REF!)</f>
        <v>#REF!</v>
      </c>
      <c r="D120" s="21" t="e">
        <f>IF(ISBLANK(Data!#REF!),"",Data!#REF!)</f>
        <v>#REF!</v>
      </c>
      <c r="E120" s="21" t="e">
        <f>IF(ISBLANK(Data!#REF!),"",Data!#REF!)</f>
        <v>#REF!</v>
      </c>
      <c r="F120" s="33" t="e">
        <f>IF(ISBLANK(Data!#REF!),"",Data!#REF!)</f>
        <v>#REF!</v>
      </c>
      <c r="G120" s="21" t="e">
        <f>IF(ISBLANK(Data!#REF!),"",Data!#REF!)</f>
        <v>#REF!</v>
      </c>
      <c r="H120" s="33" t="e">
        <f>IF(ISBLANK(Data!#REF!),"",Data!#REF!)</f>
        <v>#REF!</v>
      </c>
      <c r="I120" s="33" t="e">
        <f>IF(ISBLANK(Data!#REF!),"",Data!#REF!)</f>
        <v>#REF!</v>
      </c>
      <c r="J120" s="33" t="e">
        <f>IF(ISBLANK(Data!#REF!),"",Data!#REF!)</f>
        <v>#REF!</v>
      </c>
      <c r="K120" s="21" t="e">
        <f>IF(ISBLANK(Data!#REF!),"",Data!#REF!)</f>
        <v>#REF!</v>
      </c>
      <c r="L120" s="21" t="e">
        <f>IF(ISBLANK(Data!#REF!),"",Data!#REF!)</f>
        <v>#REF!</v>
      </c>
      <c r="N120" s="46" t="e">
        <f>IF(ISBLANK(Data!#REF!),"",Data!#REF!)</f>
        <v>#REF!</v>
      </c>
      <c r="O120" s="46" t="e">
        <f>IF(ISBLANK(Data!#REF!),"",Data!#REF!)</f>
        <v>#REF!</v>
      </c>
      <c r="P120" s="46" t="e">
        <f>IF(ISBLANK(Data!#REF!),"",Data!#REF!)</f>
        <v>#REF!</v>
      </c>
      <c r="Q120" s="46" t="e">
        <f t="shared" si="1"/>
        <v>#REF!</v>
      </c>
      <c r="R120" s="47" t="e">
        <f>IF(ISBLANK(Data!#REF!),"",Data!#REF!)</f>
        <v>#REF!</v>
      </c>
      <c r="S120" s="33" t="e">
        <f>IF(ISBLANK(Data!#REF!),"",Data!#REF!)</f>
        <v>#REF!</v>
      </c>
      <c r="T120" s="33" t="e">
        <f>IF(ISBLANK(Data!#REF!),"",Data!#REF!)</f>
        <v>#REF!</v>
      </c>
      <c r="U120" s="21" t="e">
        <f>IF(ISBLANK(Data!#REF!),"",Data!#REF!)</f>
        <v>#REF!</v>
      </c>
    </row>
    <row r="121" spans="1:21" x14ac:dyDescent="0.25">
      <c r="A121" s="33" t="e">
        <f>IF(ISBLANK(Data!#REF!),"",YEAR(Data!#REF!))</f>
        <v>#REF!</v>
      </c>
      <c r="B121" s="44" t="e">
        <f>IF(ISBLANK(Data!#REF!),"",Data!#REF!)</f>
        <v>#REF!</v>
      </c>
      <c r="C121" s="45" t="e">
        <f>IF(ISBLANK(Data!#REF!),"",Data!#REF!)</f>
        <v>#REF!</v>
      </c>
      <c r="D121" s="21" t="e">
        <f>IF(ISBLANK(Data!#REF!),"",Data!#REF!)</f>
        <v>#REF!</v>
      </c>
      <c r="E121" s="21" t="e">
        <f>IF(ISBLANK(Data!#REF!),"",Data!#REF!)</f>
        <v>#REF!</v>
      </c>
      <c r="F121" s="33" t="e">
        <f>IF(ISBLANK(Data!#REF!),"",Data!#REF!)</f>
        <v>#REF!</v>
      </c>
      <c r="G121" s="21" t="e">
        <f>IF(ISBLANK(Data!#REF!),"",Data!#REF!)</f>
        <v>#REF!</v>
      </c>
      <c r="H121" s="33" t="e">
        <f>IF(ISBLANK(Data!#REF!),"",Data!#REF!)</f>
        <v>#REF!</v>
      </c>
      <c r="I121" s="33" t="e">
        <f>IF(ISBLANK(Data!#REF!),"",Data!#REF!)</f>
        <v>#REF!</v>
      </c>
      <c r="J121" s="33" t="e">
        <f>IF(ISBLANK(Data!#REF!),"",Data!#REF!)</f>
        <v>#REF!</v>
      </c>
      <c r="K121" s="21" t="e">
        <f>IF(ISBLANK(Data!#REF!),"",Data!#REF!)</f>
        <v>#REF!</v>
      </c>
      <c r="L121" s="21" t="e">
        <f>IF(ISBLANK(Data!#REF!),"",Data!#REF!)</f>
        <v>#REF!</v>
      </c>
      <c r="N121" s="46" t="e">
        <f>IF(ISBLANK(Data!#REF!),"",Data!#REF!)</f>
        <v>#REF!</v>
      </c>
      <c r="O121" s="46" t="e">
        <f>IF(ISBLANK(Data!#REF!),"",Data!#REF!)</f>
        <v>#REF!</v>
      </c>
      <c r="P121" s="46" t="e">
        <f>IF(ISBLANK(Data!#REF!),"",Data!#REF!)</f>
        <v>#REF!</v>
      </c>
      <c r="Q121" s="46" t="e">
        <f t="shared" si="1"/>
        <v>#REF!</v>
      </c>
      <c r="R121" s="47" t="e">
        <f>IF(ISBLANK(Data!#REF!),"",Data!#REF!)</f>
        <v>#REF!</v>
      </c>
      <c r="S121" s="33" t="e">
        <f>IF(ISBLANK(Data!#REF!),"",Data!#REF!)</f>
        <v>#REF!</v>
      </c>
      <c r="T121" s="33" t="e">
        <f>IF(ISBLANK(Data!#REF!),"",Data!#REF!)</f>
        <v>#REF!</v>
      </c>
      <c r="U121" s="21" t="e">
        <f>IF(ISBLANK(Data!#REF!),"",Data!#REF!)</f>
        <v>#REF!</v>
      </c>
    </row>
    <row r="122" spans="1:21" x14ac:dyDescent="0.25">
      <c r="A122" s="33" t="e">
        <f>IF(ISBLANK(Data!#REF!),"",YEAR(Data!#REF!))</f>
        <v>#REF!</v>
      </c>
      <c r="B122" s="44" t="e">
        <f>IF(ISBLANK(Data!#REF!),"",Data!#REF!)</f>
        <v>#REF!</v>
      </c>
      <c r="C122" s="45" t="e">
        <f>IF(ISBLANK(Data!#REF!),"",Data!#REF!)</f>
        <v>#REF!</v>
      </c>
      <c r="D122" s="21" t="e">
        <f>IF(ISBLANK(Data!#REF!),"",Data!#REF!)</f>
        <v>#REF!</v>
      </c>
      <c r="E122" s="21" t="e">
        <f>IF(ISBLANK(Data!#REF!),"",Data!#REF!)</f>
        <v>#REF!</v>
      </c>
      <c r="F122" s="33" t="e">
        <f>IF(ISBLANK(Data!#REF!),"",Data!#REF!)</f>
        <v>#REF!</v>
      </c>
      <c r="G122" s="21" t="e">
        <f>IF(ISBLANK(Data!#REF!),"",Data!#REF!)</f>
        <v>#REF!</v>
      </c>
      <c r="H122" s="33" t="e">
        <f>IF(ISBLANK(Data!#REF!),"",Data!#REF!)</f>
        <v>#REF!</v>
      </c>
      <c r="I122" s="33" t="e">
        <f>IF(ISBLANK(Data!#REF!),"",Data!#REF!)</f>
        <v>#REF!</v>
      </c>
      <c r="J122" s="33" t="e">
        <f>IF(ISBLANK(Data!#REF!),"",Data!#REF!)</f>
        <v>#REF!</v>
      </c>
      <c r="K122" s="21" t="e">
        <f>IF(ISBLANK(Data!#REF!),"",Data!#REF!)</f>
        <v>#REF!</v>
      </c>
      <c r="L122" s="21" t="e">
        <f>IF(ISBLANK(Data!#REF!),"",Data!#REF!)</f>
        <v>#REF!</v>
      </c>
      <c r="N122" s="46" t="e">
        <f>IF(ISBLANK(Data!#REF!),"",Data!#REF!)</f>
        <v>#REF!</v>
      </c>
      <c r="O122" s="46" t="e">
        <f>IF(ISBLANK(Data!#REF!),"",Data!#REF!)</f>
        <v>#REF!</v>
      </c>
      <c r="P122" s="46" t="e">
        <f>IF(ISBLANK(Data!#REF!),"",Data!#REF!)</f>
        <v>#REF!</v>
      </c>
      <c r="Q122" s="46" t="e">
        <f t="shared" si="1"/>
        <v>#REF!</v>
      </c>
      <c r="R122" s="47" t="e">
        <f>IF(ISBLANK(Data!#REF!),"",Data!#REF!)</f>
        <v>#REF!</v>
      </c>
      <c r="S122" s="33" t="e">
        <f>IF(ISBLANK(Data!#REF!),"",Data!#REF!)</f>
        <v>#REF!</v>
      </c>
      <c r="T122" s="33" t="e">
        <f>IF(ISBLANK(Data!#REF!),"",Data!#REF!)</f>
        <v>#REF!</v>
      </c>
      <c r="U122" s="21" t="e">
        <f>IF(ISBLANK(Data!#REF!),"",Data!#REF!)</f>
        <v>#REF!</v>
      </c>
    </row>
    <row r="123" spans="1:21" x14ac:dyDescent="0.25">
      <c r="A123" s="33" t="e">
        <f>IF(ISBLANK(Data!#REF!),"",YEAR(Data!#REF!))</f>
        <v>#REF!</v>
      </c>
      <c r="B123" s="44" t="e">
        <f>IF(ISBLANK(Data!#REF!),"",Data!#REF!)</f>
        <v>#REF!</v>
      </c>
      <c r="C123" s="45" t="e">
        <f>IF(ISBLANK(Data!#REF!),"",Data!#REF!)</f>
        <v>#REF!</v>
      </c>
      <c r="D123" s="21" t="e">
        <f>IF(ISBLANK(Data!#REF!),"",Data!#REF!)</f>
        <v>#REF!</v>
      </c>
      <c r="E123" s="21" t="e">
        <f>IF(ISBLANK(Data!#REF!),"",Data!#REF!)</f>
        <v>#REF!</v>
      </c>
      <c r="F123" s="33" t="e">
        <f>IF(ISBLANK(Data!#REF!),"",Data!#REF!)</f>
        <v>#REF!</v>
      </c>
      <c r="G123" s="21" t="e">
        <f>IF(ISBLANK(Data!#REF!),"",Data!#REF!)</f>
        <v>#REF!</v>
      </c>
      <c r="H123" s="33" t="e">
        <f>IF(ISBLANK(Data!#REF!),"",Data!#REF!)</f>
        <v>#REF!</v>
      </c>
      <c r="I123" s="33" t="e">
        <f>IF(ISBLANK(Data!#REF!),"",Data!#REF!)</f>
        <v>#REF!</v>
      </c>
      <c r="J123" s="33" t="e">
        <f>IF(ISBLANK(Data!#REF!),"",Data!#REF!)</f>
        <v>#REF!</v>
      </c>
      <c r="K123" s="21" t="e">
        <f>IF(ISBLANK(Data!#REF!),"",Data!#REF!)</f>
        <v>#REF!</v>
      </c>
      <c r="L123" s="21" t="e">
        <f>IF(ISBLANK(Data!#REF!),"",Data!#REF!)</f>
        <v>#REF!</v>
      </c>
      <c r="N123" s="46" t="e">
        <f>IF(ISBLANK(Data!#REF!),"",Data!#REF!)</f>
        <v>#REF!</v>
      </c>
      <c r="O123" s="46" t="e">
        <f>IF(ISBLANK(Data!#REF!),"",Data!#REF!)</f>
        <v>#REF!</v>
      </c>
      <c r="P123" s="46" t="e">
        <f>IF(ISBLANK(Data!#REF!),"",Data!#REF!)</f>
        <v>#REF!</v>
      </c>
      <c r="Q123" s="46" t="e">
        <f t="shared" si="1"/>
        <v>#REF!</v>
      </c>
      <c r="R123" s="47" t="e">
        <f>IF(ISBLANK(Data!#REF!),"",Data!#REF!)</f>
        <v>#REF!</v>
      </c>
      <c r="S123" s="33" t="e">
        <f>IF(ISBLANK(Data!#REF!),"",Data!#REF!)</f>
        <v>#REF!</v>
      </c>
      <c r="T123" s="33" t="e">
        <f>IF(ISBLANK(Data!#REF!),"",Data!#REF!)</f>
        <v>#REF!</v>
      </c>
      <c r="U123" s="21" t="e">
        <f>IF(ISBLANK(Data!#REF!),"",Data!#REF!)</f>
        <v>#REF!</v>
      </c>
    </row>
    <row r="124" spans="1:21" x14ac:dyDescent="0.25">
      <c r="A124" s="33" t="e">
        <f>IF(ISBLANK(Data!#REF!),"",YEAR(Data!#REF!))</f>
        <v>#REF!</v>
      </c>
      <c r="B124" s="44" t="e">
        <f>IF(ISBLANK(Data!#REF!),"",Data!#REF!)</f>
        <v>#REF!</v>
      </c>
      <c r="C124" s="45" t="e">
        <f>IF(ISBLANK(Data!#REF!),"",Data!#REF!)</f>
        <v>#REF!</v>
      </c>
      <c r="D124" s="21" t="e">
        <f>IF(ISBLANK(Data!#REF!),"",Data!#REF!)</f>
        <v>#REF!</v>
      </c>
      <c r="E124" s="21" t="e">
        <f>IF(ISBLANK(Data!#REF!),"",Data!#REF!)</f>
        <v>#REF!</v>
      </c>
      <c r="F124" s="33" t="e">
        <f>IF(ISBLANK(Data!#REF!),"",Data!#REF!)</f>
        <v>#REF!</v>
      </c>
      <c r="G124" s="21" t="e">
        <f>IF(ISBLANK(Data!#REF!),"",Data!#REF!)</f>
        <v>#REF!</v>
      </c>
      <c r="H124" s="33" t="e">
        <f>IF(ISBLANK(Data!#REF!),"",Data!#REF!)</f>
        <v>#REF!</v>
      </c>
      <c r="I124" s="33" t="e">
        <f>IF(ISBLANK(Data!#REF!),"",Data!#REF!)</f>
        <v>#REF!</v>
      </c>
      <c r="J124" s="33" t="e">
        <f>IF(ISBLANK(Data!#REF!),"",Data!#REF!)</f>
        <v>#REF!</v>
      </c>
      <c r="K124" s="21" t="e">
        <f>IF(ISBLANK(Data!#REF!),"",Data!#REF!)</f>
        <v>#REF!</v>
      </c>
      <c r="L124" s="21" t="e">
        <f>IF(ISBLANK(Data!#REF!),"",Data!#REF!)</f>
        <v>#REF!</v>
      </c>
      <c r="N124" s="46" t="e">
        <f>IF(ISBLANK(Data!#REF!),"",Data!#REF!)</f>
        <v>#REF!</v>
      </c>
      <c r="O124" s="46" t="e">
        <f>IF(ISBLANK(Data!#REF!),"",Data!#REF!)</f>
        <v>#REF!</v>
      </c>
      <c r="P124" s="46" t="e">
        <f>IF(ISBLANK(Data!#REF!),"",Data!#REF!)</f>
        <v>#REF!</v>
      </c>
      <c r="Q124" s="46" t="e">
        <f t="shared" si="1"/>
        <v>#REF!</v>
      </c>
      <c r="R124" s="47" t="e">
        <f>IF(ISBLANK(Data!#REF!),"",Data!#REF!)</f>
        <v>#REF!</v>
      </c>
      <c r="S124" s="33" t="e">
        <f>IF(ISBLANK(Data!#REF!),"",Data!#REF!)</f>
        <v>#REF!</v>
      </c>
      <c r="T124" s="33" t="e">
        <f>IF(ISBLANK(Data!#REF!),"",Data!#REF!)</f>
        <v>#REF!</v>
      </c>
      <c r="U124" s="21" t="e">
        <f>IF(ISBLANK(Data!#REF!),"",Data!#REF!)</f>
        <v>#REF!</v>
      </c>
    </row>
    <row r="125" spans="1:21" x14ac:dyDescent="0.25">
      <c r="A125" s="33" t="e">
        <f>IF(ISBLANK(Data!#REF!),"",YEAR(Data!#REF!))</f>
        <v>#REF!</v>
      </c>
      <c r="B125" s="44" t="e">
        <f>IF(ISBLANK(Data!#REF!),"",Data!#REF!)</f>
        <v>#REF!</v>
      </c>
      <c r="C125" s="45" t="e">
        <f>IF(ISBLANK(Data!#REF!),"",Data!#REF!)</f>
        <v>#REF!</v>
      </c>
      <c r="D125" s="21" t="e">
        <f>IF(ISBLANK(Data!#REF!),"",Data!#REF!)</f>
        <v>#REF!</v>
      </c>
      <c r="E125" s="21" t="e">
        <f>IF(ISBLANK(Data!#REF!),"",Data!#REF!)</f>
        <v>#REF!</v>
      </c>
      <c r="F125" s="33" t="e">
        <f>IF(ISBLANK(Data!#REF!),"",Data!#REF!)</f>
        <v>#REF!</v>
      </c>
      <c r="G125" s="21" t="e">
        <f>IF(ISBLANK(Data!#REF!),"",Data!#REF!)</f>
        <v>#REF!</v>
      </c>
      <c r="H125" s="33" t="e">
        <f>IF(ISBLANK(Data!#REF!),"",Data!#REF!)</f>
        <v>#REF!</v>
      </c>
      <c r="I125" s="33" t="e">
        <f>IF(ISBLANK(Data!#REF!),"",Data!#REF!)</f>
        <v>#REF!</v>
      </c>
      <c r="J125" s="33" t="e">
        <f>IF(ISBLANK(Data!#REF!),"",Data!#REF!)</f>
        <v>#REF!</v>
      </c>
      <c r="K125" s="21" t="e">
        <f>IF(ISBLANK(Data!#REF!),"",Data!#REF!)</f>
        <v>#REF!</v>
      </c>
      <c r="L125" s="21" t="e">
        <f>IF(ISBLANK(Data!#REF!),"",Data!#REF!)</f>
        <v>#REF!</v>
      </c>
      <c r="N125" s="46" t="e">
        <f>IF(ISBLANK(Data!#REF!),"",Data!#REF!)</f>
        <v>#REF!</v>
      </c>
      <c r="O125" s="46" t="e">
        <f>IF(ISBLANK(Data!#REF!),"",Data!#REF!)</f>
        <v>#REF!</v>
      </c>
      <c r="P125" s="46" t="e">
        <f>IF(ISBLANK(Data!#REF!),"",Data!#REF!)</f>
        <v>#REF!</v>
      </c>
      <c r="Q125" s="46" t="e">
        <f t="shared" si="1"/>
        <v>#REF!</v>
      </c>
      <c r="R125" s="47" t="e">
        <f>IF(ISBLANK(Data!#REF!),"",Data!#REF!)</f>
        <v>#REF!</v>
      </c>
      <c r="S125" s="33" t="e">
        <f>IF(ISBLANK(Data!#REF!),"",Data!#REF!)</f>
        <v>#REF!</v>
      </c>
      <c r="T125" s="33" t="e">
        <f>IF(ISBLANK(Data!#REF!),"",Data!#REF!)</f>
        <v>#REF!</v>
      </c>
      <c r="U125" s="21" t="e">
        <f>IF(ISBLANK(Data!#REF!),"",Data!#REF!)</f>
        <v>#REF!</v>
      </c>
    </row>
    <row r="126" spans="1:21" x14ac:dyDescent="0.25">
      <c r="A126" s="33" t="e">
        <f>IF(ISBLANK(Data!#REF!),"",YEAR(Data!#REF!))</f>
        <v>#REF!</v>
      </c>
      <c r="B126" s="44" t="e">
        <f>IF(ISBLANK(Data!#REF!),"",Data!#REF!)</f>
        <v>#REF!</v>
      </c>
      <c r="C126" s="45" t="e">
        <f>IF(ISBLANK(Data!#REF!),"",Data!#REF!)</f>
        <v>#REF!</v>
      </c>
      <c r="D126" s="21" t="e">
        <f>IF(ISBLANK(Data!#REF!),"",Data!#REF!)</f>
        <v>#REF!</v>
      </c>
      <c r="E126" s="21" t="e">
        <f>IF(ISBLANK(Data!#REF!),"",Data!#REF!)</f>
        <v>#REF!</v>
      </c>
      <c r="F126" s="33" t="e">
        <f>IF(ISBLANK(Data!#REF!),"",Data!#REF!)</f>
        <v>#REF!</v>
      </c>
      <c r="G126" s="21" t="e">
        <f>IF(ISBLANK(Data!#REF!),"",Data!#REF!)</f>
        <v>#REF!</v>
      </c>
      <c r="H126" s="33" t="e">
        <f>IF(ISBLANK(Data!#REF!),"",Data!#REF!)</f>
        <v>#REF!</v>
      </c>
      <c r="I126" s="33" t="e">
        <f>IF(ISBLANK(Data!#REF!),"",Data!#REF!)</f>
        <v>#REF!</v>
      </c>
      <c r="J126" s="33" t="e">
        <f>IF(ISBLANK(Data!#REF!),"",Data!#REF!)</f>
        <v>#REF!</v>
      </c>
      <c r="K126" s="21" t="e">
        <f>IF(ISBLANK(Data!#REF!),"",Data!#REF!)</f>
        <v>#REF!</v>
      </c>
      <c r="L126" s="21" t="e">
        <f>IF(ISBLANK(Data!#REF!),"",Data!#REF!)</f>
        <v>#REF!</v>
      </c>
      <c r="N126" s="46" t="e">
        <f>IF(ISBLANK(Data!#REF!),"",Data!#REF!)</f>
        <v>#REF!</v>
      </c>
      <c r="O126" s="46" t="e">
        <f>IF(ISBLANK(Data!#REF!),"",Data!#REF!)</f>
        <v>#REF!</v>
      </c>
      <c r="P126" s="46" t="e">
        <f>IF(ISBLANK(Data!#REF!),"",Data!#REF!)</f>
        <v>#REF!</v>
      </c>
      <c r="Q126" s="46" t="e">
        <f t="shared" si="1"/>
        <v>#REF!</v>
      </c>
      <c r="R126" s="47" t="e">
        <f>IF(ISBLANK(Data!#REF!),"",Data!#REF!)</f>
        <v>#REF!</v>
      </c>
      <c r="S126" s="33" t="e">
        <f>IF(ISBLANK(Data!#REF!),"",Data!#REF!)</f>
        <v>#REF!</v>
      </c>
      <c r="T126" s="33" t="e">
        <f>IF(ISBLANK(Data!#REF!),"",Data!#REF!)</f>
        <v>#REF!</v>
      </c>
      <c r="U126" s="21" t="e">
        <f>IF(ISBLANK(Data!#REF!),"",Data!#REF!)</f>
        <v>#REF!</v>
      </c>
    </row>
    <row r="127" spans="1:21" x14ac:dyDescent="0.25">
      <c r="A127" s="33" t="e">
        <f>IF(ISBLANK(Data!#REF!),"",YEAR(Data!#REF!))</f>
        <v>#REF!</v>
      </c>
      <c r="B127" s="44" t="e">
        <f>IF(ISBLANK(Data!#REF!),"",Data!#REF!)</f>
        <v>#REF!</v>
      </c>
      <c r="C127" s="45" t="e">
        <f>IF(ISBLANK(Data!#REF!),"",Data!#REF!)</f>
        <v>#REF!</v>
      </c>
      <c r="D127" s="21" t="e">
        <f>IF(ISBLANK(Data!#REF!),"",Data!#REF!)</f>
        <v>#REF!</v>
      </c>
      <c r="E127" s="21" t="e">
        <f>IF(ISBLANK(Data!#REF!),"",Data!#REF!)</f>
        <v>#REF!</v>
      </c>
      <c r="F127" s="33" t="e">
        <f>IF(ISBLANK(Data!#REF!),"",Data!#REF!)</f>
        <v>#REF!</v>
      </c>
      <c r="G127" s="21" t="e">
        <f>IF(ISBLANK(Data!#REF!),"",Data!#REF!)</f>
        <v>#REF!</v>
      </c>
      <c r="H127" s="33" t="e">
        <f>IF(ISBLANK(Data!#REF!),"",Data!#REF!)</f>
        <v>#REF!</v>
      </c>
      <c r="I127" s="33" t="e">
        <f>IF(ISBLANK(Data!#REF!),"",Data!#REF!)</f>
        <v>#REF!</v>
      </c>
      <c r="J127" s="33" t="e">
        <f>IF(ISBLANK(Data!#REF!),"",Data!#REF!)</f>
        <v>#REF!</v>
      </c>
      <c r="K127" s="21" t="e">
        <f>IF(ISBLANK(Data!#REF!),"",Data!#REF!)</f>
        <v>#REF!</v>
      </c>
      <c r="L127" s="21" t="e">
        <f>IF(ISBLANK(Data!#REF!),"",Data!#REF!)</f>
        <v>#REF!</v>
      </c>
      <c r="N127" s="46" t="e">
        <f>IF(ISBLANK(Data!#REF!),"",Data!#REF!)</f>
        <v>#REF!</v>
      </c>
      <c r="O127" s="46" t="e">
        <f>IF(ISBLANK(Data!#REF!),"",Data!#REF!)</f>
        <v>#REF!</v>
      </c>
      <c r="P127" s="46" t="e">
        <f>IF(ISBLANK(Data!#REF!),"",Data!#REF!)</f>
        <v>#REF!</v>
      </c>
      <c r="Q127" s="46" t="e">
        <f t="shared" si="1"/>
        <v>#REF!</v>
      </c>
      <c r="R127" s="47" t="e">
        <f>IF(ISBLANK(Data!#REF!),"",Data!#REF!)</f>
        <v>#REF!</v>
      </c>
      <c r="S127" s="33" t="e">
        <f>IF(ISBLANK(Data!#REF!),"",Data!#REF!)</f>
        <v>#REF!</v>
      </c>
      <c r="T127" s="33" t="e">
        <f>IF(ISBLANK(Data!#REF!),"",Data!#REF!)</f>
        <v>#REF!</v>
      </c>
      <c r="U127" s="21" t="e">
        <f>IF(ISBLANK(Data!#REF!),"",Data!#REF!)</f>
        <v>#REF!</v>
      </c>
    </row>
    <row r="128" spans="1:21" x14ac:dyDescent="0.25">
      <c r="A128" s="33" t="e">
        <f>IF(ISBLANK(Data!#REF!),"",YEAR(Data!#REF!))</f>
        <v>#REF!</v>
      </c>
      <c r="B128" s="44" t="e">
        <f>IF(ISBLANK(Data!#REF!),"",Data!#REF!)</f>
        <v>#REF!</v>
      </c>
      <c r="C128" s="45" t="e">
        <f>IF(ISBLANK(Data!#REF!),"",Data!#REF!)</f>
        <v>#REF!</v>
      </c>
      <c r="D128" s="21" t="e">
        <f>IF(ISBLANK(Data!#REF!),"",Data!#REF!)</f>
        <v>#REF!</v>
      </c>
      <c r="E128" s="21" t="e">
        <f>IF(ISBLANK(Data!#REF!),"",Data!#REF!)</f>
        <v>#REF!</v>
      </c>
      <c r="F128" s="33" t="e">
        <f>IF(ISBLANK(Data!#REF!),"",Data!#REF!)</f>
        <v>#REF!</v>
      </c>
      <c r="G128" s="21" t="e">
        <f>IF(ISBLANK(Data!#REF!),"",Data!#REF!)</f>
        <v>#REF!</v>
      </c>
      <c r="H128" s="33" t="e">
        <f>IF(ISBLANK(Data!#REF!),"",Data!#REF!)</f>
        <v>#REF!</v>
      </c>
      <c r="I128" s="33" t="e">
        <f>IF(ISBLANK(Data!#REF!),"",Data!#REF!)</f>
        <v>#REF!</v>
      </c>
      <c r="J128" s="33" t="e">
        <f>IF(ISBLANK(Data!#REF!),"",Data!#REF!)</f>
        <v>#REF!</v>
      </c>
      <c r="K128" s="21" t="e">
        <f>IF(ISBLANK(Data!#REF!),"",Data!#REF!)</f>
        <v>#REF!</v>
      </c>
      <c r="L128" s="21" t="e">
        <f>IF(ISBLANK(Data!#REF!),"",Data!#REF!)</f>
        <v>#REF!</v>
      </c>
      <c r="N128" s="46" t="e">
        <f>IF(ISBLANK(Data!#REF!),"",Data!#REF!)</f>
        <v>#REF!</v>
      </c>
      <c r="O128" s="46" t="e">
        <f>IF(ISBLANK(Data!#REF!),"",Data!#REF!)</f>
        <v>#REF!</v>
      </c>
      <c r="P128" s="46" t="e">
        <f>IF(ISBLANK(Data!#REF!),"",Data!#REF!)</f>
        <v>#REF!</v>
      </c>
      <c r="Q128" s="46" t="e">
        <f t="shared" si="1"/>
        <v>#REF!</v>
      </c>
      <c r="R128" s="47" t="e">
        <f>IF(ISBLANK(Data!#REF!),"",Data!#REF!)</f>
        <v>#REF!</v>
      </c>
      <c r="S128" s="33" t="e">
        <f>IF(ISBLANK(Data!#REF!),"",Data!#REF!)</f>
        <v>#REF!</v>
      </c>
      <c r="T128" s="33" t="e">
        <f>IF(ISBLANK(Data!#REF!),"",Data!#REF!)</f>
        <v>#REF!</v>
      </c>
      <c r="U128" s="21" t="e">
        <f>IF(ISBLANK(Data!#REF!),"",Data!#REF!)</f>
        <v>#REF!</v>
      </c>
    </row>
    <row r="129" spans="1:21" x14ac:dyDescent="0.25">
      <c r="A129" s="33" t="e">
        <f>IF(ISBLANK(Data!#REF!),"",YEAR(Data!#REF!))</f>
        <v>#REF!</v>
      </c>
      <c r="B129" s="44" t="e">
        <f>IF(ISBLANK(Data!#REF!),"",Data!#REF!)</f>
        <v>#REF!</v>
      </c>
      <c r="C129" s="45" t="e">
        <f>IF(ISBLANK(Data!#REF!),"",Data!#REF!)</f>
        <v>#REF!</v>
      </c>
      <c r="D129" s="21" t="e">
        <f>IF(ISBLANK(Data!#REF!),"",Data!#REF!)</f>
        <v>#REF!</v>
      </c>
      <c r="E129" s="21" t="e">
        <f>IF(ISBLANK(Data!#REF!),"",Data!#REF!)</f>
        <v>#REF!</v>
      </c>
      <c r="F129" s="33" t="e">
        <f>IF(ISBLANK(Data!#REF!),"",Data!#REF!)</f>
        <v>#REF!</v>
      </c>
      <c r="G129" s="21" t="e">
        <f>IF(ISBLANK(Data!#REF!),"",Data!#REF!)</f>
        <v>#REF!</v>
      </c>
      <c r="H129" s="33" t="e">
        <f>IF(ISBLANK(Data!#REF!),"",Data!#REF!)</f>
        <v>#REF!</v>
      </c>
      <c r="I129" s="33" t="e">
        <f>IF(ISBLANK(Data!#REF!),"",Data!#REF!)</f>
        <v>#REF!</v>
      </c>
      <c r="J129" s="33" t="e">
        <f>IF(ISBLANK(Data!#REF!),"",Data!#REF!)</f>
        <v>#REF!</v>
      </c>
      <c r="K129" s="21" t="e">
        <f>IF(ISBLANK(Data!#REF!),"",Data!#REF!)</f>
        <v>#REF!</v>
      </c>
      <c r="L129" s="21" t="e">
        <f>IF(ISBLANK(Data!#REF!),"",Data!#REF!)</f>
        <v>#REF!</v>
      </c>
      <c r="N129" s="46" t="e">
        <f>IF(ISBLANK(Data!#REF!),"",Data!#REF!)</f>
        <v>#REF!</v>
      </c>
      <c r="O129" s="46" t="e">
        <f>IF(ISBLANK(Data!#REF!),"",Data!#REF!)</f>
        <v>#REF!</v>
      </c>
      <c r="P129" s="46" t="e">
        <f>IF(ISBLANK(Data!#REF!),"",Data!#REF!)</f>
        <v>#REF!</v>
      </c>
      <c r="Q129" s="46" t="e">
        <f t="shared" si="1"/>
        <v>#REF!</v>
      </c>
      <c r="R129" s="47" t="e">
        <f>IF(ISBLANK(Data!#REF!),"",Data!#REF!)</f>
        <v>#REF!</v>
      </c>
      <c r="S129" s="33" t="e">
        <f>IF(ISBLANK(Data!#REF!),"",Data!#REF!)</f>
        <v>#REF!</v>
      </c>
      <c r="T129" s="33" t="e">
        <f>IF(ISBLANK(Data!#REF!),"",Data!#REF!)</f>
        <v>#REF!</v>
      </c>
      <c r="U129" s="21" t="e">
        <f>IF(ISBLANK(Data!#REF!),"",Data!#REF!)</f>
        <v>#REF!</v>
      </c>
    </row>
    <row r="130" spans="1:21" x14ac:dyDescent="0.25">
      <c r="A130" s="33" t="e">
        <f>IF(ISBLANK(Data!#REF!),"",YEAR(Data!#REF!))</f>
        <v>#REF!</v>
      </c>
      <c r="B130" s="44" t="e">
        <f>IF(ISBLANK(Data!#REF!),"",Data!#REF!)</f>
        <v>#REF!</v>
      </c>
      <c r="C130" s="45" t="e">
        <f>IF(ISBLANK(Data!#REF!),"",Data!#REF!)</f>
        <v>#REF!</v>
      </c>
      <c r="D130" s="21" t="e">
        <f>IF(ISBLANK(Data!#REF!),"",Data!#REF!)</f>
        <v>#REF!</v>
      </c>
      <c r="E130" s="21" t="e">
        <f>IF(ISBLANK(Data!#REF!),"",Data!#REF!)</f>
        <v>#REF!</v>
      </c>
      <c r="F130" s="33" t="e">
        <f>IF(ISBLANK(Data!#REF!),"",Data!#REF!)</f>
        <v>#REF!</v>
      </c>
      <c r="G130" s="21" t="e">
        <f>IF(ISBLANK(Data!#REF!),"",Data!#REF!)</f>
        <v>#REF!</v>
      </c>
      <c r="H130" s="33" t="e">
        <f>IF(ISBLANK(Data!#REF!),"",Data!#REF!)</f>
        <v>#REF!</v>
      </c>
      <c r="I130" s="33" t="e">
        <f>IF(ISBLANK(Data!#REF!),"",Data!#REF!)</f>
        <v>#REF!</v>
      </c>
      <c r="J130" s="33" t="e">
        <f>IF(ISBLANK(Data!#REF!),"",Data!#REF!)</f>
        <v>#REF!</v>
      </c>
      <c r="K130" s="21" t="e">
        <f>IF(ISBLANK(Data!#REF!),"",Data!#REF!)</f>
        <v>#REF!</v>
      </c>
      <c r="L130" s="21" t="e">
        <f>IF(ISBLANK(Data!#REF!),"",Data!#REF!)</f>
        <v>#REF!</v>
      </c>
      <c r="N130" s="46" t="e">
        <f>IF(ISBLANK(Data!#REF!),"",Data!#REF!)</f>
        <v>#REF!</v>
      </c>
      <c r="O130" s="46" t="e">
        <f>IF(ISBLANK(Data!#REF!),"",Data!#REF!)</f>
        <v>#REF!</v>
      </c>
      <c r="P130" s="46" t="e">
        <f>IF(ISBLANK(Data!#REF!),"",Data!#REF!)</f>
        <v>#REF!</v>
      </c>
      <c r="Q130" s="46" t="e">
        <f t="shared" si="1"/>
        <v>#REF!</v>
      </c>
      <c r="R130" s="47" t="e">
        <f>IF(ISBLANK(Data!#REF!),"",Data!#REF!)</f>
        <v>#REF!</v>
      </c>
      <c r="S130" s="33" t="e">
        <f>IF(ISBLANK(Data!#REF!),"",Data!#REF!)</f>
        <v>#REF!</v>
      </c>
      <c r="T130" s="33" t="e">
        <f>IF(ISBLANK(Data!#REF!),"",Data!#REF!)</f>
        <v>#REF!</v>
      </c>
      <c r="U130" s="21" t="e">
        <f>IF(ISBLANK(Data!#REF!),"",Data!#REF!)</f>
        <v>#REF!</v>
      </c>
    </row>
    <row r="131" spans="1:21" x14ac:dyDescent="0.25">
      <c r="A131" s="33" t="e">
        <f>IF(ISBLANK(Data!#REF!),"",YEAR(Data!#REF!))</f>
        <v>#REF!</v>
      </c>
      <c r="B131" s="44" t="e">
        <f>IF(ISBLANK(Data!#REF!),"",Data!#REF!)</f>
        <v>#REF!</v>
      </c>
      <c r="C131" s="45" t="e">
        <f>IF(ISBLANK(Data!#REF!),"",Data!#REF!)</f>
        <v>#REF!</v>
      </c>
      <c r="D131" s="21" t="e">
        <f>IF(ISBLANK(Data!#REF!),"",Data!#REF!)</f>
        <v>#REF!</v>
      </c>
      <c r="E131" s="21" t="e">
        <f>IF(ISBLANK(Data!#REF!),"",Data!#REF!)</f>
        <v>#REF!</v>
      </c>
      <c r="F131" s="33" t="e">
        <f>IF(ISBLANK(Data!#REF!),"",Data!#REF!)</f>
        <v>#REF!</v>
      </c>
      <c r="G131" s="21" t="e">
        <f>IF(ISBLANK(Data!#REF!),"",Data!#REF!)</f>
        <v>#REF!</v>
      </c>
      <c r="H131" s="33" t="e">
        <f>IF(ISBLANK(Data!#REF!),"",Data!#REF!)</f>
        <v>#REF!</v>
      </c>
      <c r="I131" s="33" t="e">
        <f>IF(ISBLANK(Data!#REF!),"",Data!#REF!)</f>
        <v>#REF!</v>
      </c>
      <c r="J131" s="33" t="e">
        <f>IF(ISBLANK(Data!#REF!),"",Data!#REF!)</f>
        <v>#REF!</v>
      </c>
      <c r="K131" s="21" t="e">
        <f>IF(ISBLANK(Data!#REF!),"",Data!#REF!)</f>
        <v>#REF!</v>
      </c>
      <c r="L131" s="21" t="e">
        <f>IF(ISBLANK(Data!#REF!),"",Data!#REF!)</f>
        <v>#REF!</v>
      </c>
      <c r="N131" s="46" t="e">
        <f>IF(ISBLANK(Data!#REF!),"",Data!#REF!)</f>
        <v>#REF!</v>
      </c>
      <c r="O131" s="46" t="e">
        <f>IF(ISBLANK(Data!#REF!),"",Data!#REF!)</f>
        <v>#REF!</v>
      </c>
      <c r="P131" s="46" t="e">
        <f>IF(ISBLANK(Data!#REF!),"",Data!#REF!)</f>
        <v>#REF!</v>
      </c>
      <c r="Q131" s="46" t="e">
        <f t="shared" ref="Q131:Q194" si="2">IF(N131="","",IF(O131="",N131,N131+O131))</f>
        <v>#REF!</v>
      </c>
      <c r="R131" s="47" t="e">
        <f>IF(ISBLANK(Data!#REF!),"",Data!#REF!)</f>
        <v>#REF!</v>
      </c>
      <c r="S131" s="33" t="e">
        <f>IF(ISBLANK(Data!#REF!),"",Data!#REF!)</f>
        <v>#REF!</v>
      </c>
      <c r="T131" s="33" t="e">
        <f>IF(ISBLANK(Data!#REF!),"",Data!#REF!)</f>
        <v>#REF!</v>
      </c>
      <c r="U131" s="21" t="e">
        <f>IF(ISBLANK(Data!#REF!),"",Data!#REF!)</f>
        <v>#REF!</v>
      </c>
    </row>
    <row r="132" spans="1:21" x14ac:dyDescent="0.25">
      <c r="A132" s="33" t="e">
        <f>IF(ISBLANK(Data!#REF!),"",YEAR(Data!#REF!))</f>
        <v>#REF!</v>
      </c>
      <c r="B132" s="44" t="e">
        <f>IF(ISBLANK(Data!#REF!),"",Data!#REF!)</f>
        <v>#REF!</v>
      </c>
      <c r="C132" s="45" t="e">
        <f>IF(ISBLANK(Data!#REF!),"",Data!#REF!)</f>
        <v>#REF!</v>
      </c>
      <c r="D132" s="21" t="e">
        <f>IF(ISBLANK(Data!#REF!),"",Data!#REF!)</f>
        <v>#REF!</v>
      </c>
      <c r="E132" s="21" t="e">
        <f>IF(ISBLANK(Data!#REF!),"",Data!#REF!)</f>
        <v>#REF!</v>
      </c>
      <c r="F132" s="33" t="e">
        <f>IF(ISBLANK(Data!#REF!),"",Data!#REF!)</f>
        <v>#REF!</v>
      </c>
      <c r="G132" s="21" t="e">
        <f>IF(ISBLANK(Data!#REF!),"",Data!#REF!)</f>
        <v>#REF!</v>
      </c>
      <c r="H132" s="33" t="e">
        <f>IF(ISBLANK(Data!#REF!),"",Data!#REF!)</f>
        <v>#REF!</v>
      </c>
      <c r="I132" s="33" t="e">
        <f>IF(ISBLANK(Data!#REF!),"",Data!#REF!)</f>
        <v>#REF!</v>
      </c>
      <c r="J132" s="33" t="e">
        <f>IF(ISBLANK(Data!#REF!),"",Data!#REF!)</f>
        <v>#REF!</v>
      </c>
      <c r="K132" s="21" t="e">
        <f>IF(ISBLANK(Data!#REF!),"",Data!#REF!)</f>
        <v>#REF!</v>
      </c>
      <c r="L132" s="21" t="e">
        <f>IF(ISBLANK(Data!#REF!),"",Data!#REF!)</f>
        <v>#REF!</v>
      </c>
      <c r="N132" s="46" t="e">
        <f>IF(ISBLANK(Data!#REF!),"",Data!#REF!)</f>
        <v>#REF!</v>
      </c>
      <c r="O132" s="46" t="e">
        <f>IF(ISBLANK(Data!#REF!),"",Data!#REF!)</f>
        <v>#REF!</v>
      </c>
      <c r="P132" s="46" t="e">
        <f>IF(ISBLANK(Data!#REF!),"",Data!#REF!)</f>
        <v>#REF!</v>
      </c>
      <c r="Q132" s="46" t="e">
        <f t="shared" si="2"/>
        <v>#REF!</v>
      </c>
      <c r="R132" s="47" t="e">
        <f>IF(ISBLANK(Data!#REF!),"",Data!#REF!)</f>
        <v>#REF!</v>
      </c>
      <c r="S132" s="33" t="e">
        <f>IF(ISBLANK(Data!#REF!),"",Data!#REF!)</f>
        <v>#REF!</v>
      </c>
      <c r="T132" s="33" t="e">
        <f>IF(ISBLANK(Data!#REF!),"",Data!#REF!)</f>
        <v>#REF!</v>
      </c>
      <c r="U132" s="21" t="e">
        <f>IF(ISBLANK(Data!#REF!),"",Data!#REF!)</f>
        <v>#REF!</v>
      </c>
    </row>
    <row r="133" spans="1:21" x14ac:dyDescent="0.25">
      <c r="A133" s="33" t="e">
        <f>IF(ISBLANK(Data!#REF!),"",YEAR(Data!#REF!))</f>
        <v>#REF!</v>
      </c>
      <c r="B133" s="44" t="e">
        <f>IF(ISBLANK(Data!#REF!),"",Data!#REF!)</f>
        <v>#REF!</v>
      </c>
      <c r="C133" s="45" t="e">
        <f>IF(ISBLANK(Data!#REF!),"",Data!#REF!)</f>
        <v>#REF!</v>
      </c>
      <c r="D133" s="21" t="e">
        <f>IF(ISBLANK(Data!#REF!),"",Data!#REF!)</f>
        <v>#REF!</v>
      </c>
      <c r="E133" s="21" t="e">
        <f>IF(ISBLANK(Data!#REF!),"",Data!#REF!)</f>
        <v>#REF!</v>
      </c>
      <c r="F133" s="33" t="e">
        <f>IF(ISBLANK(Data!#REF!),"",Data!#REF!)</f>
        <v>#REF!</v>
      </c>
      <c r="G133" s="21" t="e">
        <f>IF(ISBLANK(Data!#REF!),"",Data!#REF!)</f>
        <v>#REF!</v>
      </c>
      <c r="H133" s="33" t="e">
        <f>IF(ISBLANK(Data!#REF!),"",Data!#REF!)</f>
        <v>#REF!</v>
      </c>
      <c r="I133" s="33" t="e">
        <f>IF(ISBLANK(Data!#REF!),"",Data!#REF!)</f>
        <v>#REF!</v>
      </c>
      <c r="J133" s="33" t="e">
        <f>IF(ISBLANK(Data!#REF!),"",Data!#REF!)</f>
        <v>#REF!</v>
      </c>
      <c r="K133" s="21" t="e">
        <f>IF(ISBLANK(Data!#REF!),"",Data!#REF!)</f>
        <v>#REF!</v>
      </c>
      <c r="L133" s="21" t="e">
        <f>IF(ISBLANK(Data!#REF!),"",Data!#REF!)</f>
        <v>#REF!</v>
      </c>
      <c r="N133" s="46" t="e">
        <f>IF(ISBLANK(Data!#REF!),"",Data!#REF!)</f>
        <v>#REF!</v>
      </c>
      <c r="O133" s="46" t="e">
        <f>IF(ISBLANK(Data!#REF!),"",Data!#REF!)</f>
        <v>#REF!</v>
      </c>
      <c r="P133" s="46" t="e">
        <f>IF(ISBLANK(Data!#REF!),"",Data!#REF!)</f>
        <v>#REF!</v>
      </c>
      <c r="Q133" s="46" t="e">
        <f t="shared" si="2"/>
        <v>#REF!</v>
      </c>
      <c r="R133" s="47" t="e">
        <f>IF(ISBLANK(Data!#REF!),"",Data!#REF!)</f>
        <v>#REF!</v>
      </c>
      <c r="S133" s="33" t="e">
        <f>IF(ISBLANK(Data!#REF!),"",Data!#REF!)</f>
        <v>#REF!</v>
      </c>
      <c r="T133" s="33" t="e">
        <f>IF(ISBLANK(Data!#REF!),"",Data!#REF!)</f>
        <v>#REF!</v>
      </c>
      <c r="U133" s="21" t="e">
        <f>IF(ISBLANK(Data!#REF!),"",Data!#REF!)</f>
        <v>#REF!</v>
      </c>
    </row>
    <row r="134" spans="1:21" x14ac:dyDescent="0.25">
      <c r="A134" s="33" t="e">
        <f>IF(ISBLANK(Data!#REF!),"",YEAR(Data!#REF!))</f>
        <v>#REF!</v>
      </c>
      <c r="B134" s="44" t="e">
        <f>IF(ISBLANK(Data!#REF!),"",Data!#REF!)</f>
        <v>#REF!</v>
      </c>
      <c r="C134" s="45" t="e">
        <f>IF(ISBLANK(Data!#REF!),"",Data!#REF!)</f>
        <v>#REF!</v>
      </c>
      <c r="D134" s="21" t="e">
        <f>IF(ISBLANK(Data!#REF!),"",Data!#REF!)</f>
        <v>#REF!</v>
      </c>
      <c r="E134" s="21" t="e">
        <f>IF(ISBLANK(Data!#REF!),"",Data!#REF!)</f>
        <v>#REF!</v>
      </c>
      <c r="F134" s="33" t="e">
        <f>IF(ISBLANK(Data!#REF!),"",Data!#REF!)</f>
        <v>#REF!</v>
      </c>
      <c r="G134" s="21" t="e">
        <f>IF(ISBLANK(Data!#REF!),"",Data!#REF!)</f>
        <v>#REF!</v>
      </c>
      <c r="H134" s="33" t="e">
        <f>IF(ISBLANK(Data!#REF!),"",Data!#REF!)</f>
        <v>#REF!</v>
      </c>
      <c r="I134" s="33" t="e">
        <f>IF(ISBLANK(Data!#REF!),"",Data!#REF!)</f>
        <v>#REF!</v>
      </c>
      <c r="J134" s="33" t="e">
        <f>IF(ISBLANK(Data!#REF!),"",Data!#REF!)</f>
        <v>#REF!</v>
      </c>
      <c r="K134" s="21" t="e">
        <f>IF(ISBLANK(Data!#REF!),"",Data!#REF!)</f>
        <v>#REF!</v>
      </c>
      <c r="L134" s="21" t="e">
        <f>IF(ISBLANK(Data!#REF!),"",Data!#REF!)</f>
        <v>#REF!</v>
      </c>
      <c r="N134" s="46" t="e">
        <f>IF(ISBLANK(Data!#REF!),"",Data!#REF!)</f>
        <v>#REF!</v>
      </c>
      <c r="O134" s="46" t="e">
        <f>IF(ISBLANK(Data!#REF!),"",Data!#REF!)</f>
        <v>#REF!</v>
      </c>
      <c r="P134" s="46" t="e">
        <f>IF(ISBLANK(Data!#REF!),"",Data!#REF!)</f>
        <v>#REF!</v>
      </c>
      <c r="Q134" s="46" t="e">
        <f t="shared" si="2"/>
        <v>#REF!</v>
      </c>
      <c r="R134" s="47" t="e">
        <f>IF(ISBLANK(Data!#REF!),"",Data!#REF!)</f>
        <v>#REF!</v>
      </c>
      <c r="S134" s="33" t="e">
        <f>IF(ISBLANK(Data!#REF!),"",Data!#REF!)</f>
        <v>#REF!</v>
      </c>
      <c r="T134" s="33" t="e">
        <f>IF(ISBLANK(Data!#REF!),"",Data!#REF!)</f>
        <v>#REF!</v>
      </c>
      <c r="U134" s="21" t="e">
        <f>IF(ISBLANK(Data!#REF!),"",Data!#REF!)</f>
        <v>#REF!</v>
      </c>
    </row>
    <row r="135" spans="1:21" x14ac:dyDescent="0.25">
      <c r="A135" s="33" t="e">
        <f>IF(ISBLANK(Data!#REF!),"",YEAR(Data!#REF!))</f>
        <v>#REF!</v>
      </c>
      <c r="B135" s="44" t="e">
        <f>IF(ISBLANK(Data!#REF!),"",Data!#REF!)</f>
        <v>#REF!</v>
      </c>
      <c r="C135" s="45" t="e">
        <f>IF(ISBLANK(Data!#REF!),"",Data!#REF!)</f>
        <v>#REF!</v>
      </c>
      <c r="D135" s="21" t="e">
        <f>IF(ISBLANK(Data!#REF!),"",Data!#REF!)</f>
        <v>#REF!</v>
      </c>
      <c r="E135" s="21" t="e">
        <f>IF(ISBLANK(Data!#REF!),"",Data!#REF!)</f>
        <v>#REF!</v>
      </c>
      <c r="F135" s="33" t="e">
        <f>IF(ISBLANK(Data!#REF!),"",Data!#REF!)</f>
        <v>#REF!</v>
      </c>
      <c r="G135" s="21" t="e">
        <f>IF(ISBLANK(Data!#REF!),"",Data!#REF!)</f>
        <v>#REF!</v>
      </c>
      <c r="H135" s="33" t="e">
        <f>IF(ISBLANK(Data!#REF!),"",Data!#REF!)</f>
        <v>#REF!</v>
      </c>
      <c r="I135" s="33" t="e">
        <f>IF(ISBLANK(Data!#REF!),"",Data!#REF!)</f>
        <v>#REF!</v>
      </c>
      <c r="J135" s="33" t="e">
        <f>IF(ISBLANK(Data!#REF!),"",Data!#REF!)</f>
        <v>#REF!</v>
      </c>
      <c r="K135" s="21" t="e">
        <f>IF(ISBLANK(Data!#REF!),"",Data!#REF!)</f>
        <v>#REF!</v>
      </c>
      <c r="L135" s="21" t="e">
        <f>IF(ISBLANK(Data!#REF!),"",Data!#REF!)</f>
        <v>#REF!</v>
      </c>
      <c r="N135" s="46" t="e">
        <f>IF(ISBLANK(Data!#REF!),"",Data!#REF!)</f>
        <v>#REF!</v>
      </c>
      <c r="O135" s="46" t="e">
        <f>IF(ISBLANK(Data!#REF!),"",Data!#REF!)</f>
        <v>#REF!</v>
      </c>
      <c r="P135" s="46" t="e">
        <f>IF(ISBLANK(Data!#REF!),"",Data!#REF!)</f>
        <v>#REF!</v>
      </c>
      <c r="Q135" s="46" t="e">
        <f t="shared" si="2"/>
        <v>#REF!</v>
      </c>
      <c r="R135" s="47" t="e">
        <f>IF(ISBLANK(Data!#REF!),"",Data!#REF!)</f>
        <v>#REF!</v>
      </c>
      <c r="S135" s="33" t="e">
        <f>IF(ISBLANK(Data!#REF!),"",Data!#REF!)</f>
        <v>#REF!</v>
      </c>
      <c r="T135" s="33" t="e">
        <f>IF(ISBLANK(Data!#REF!),"",Data!#REF!)</f>
        <v>#REF!</v>
      </c>
      <c r="U135" s="21" t="e">
        <f>IF(ISBLANK(Data!#REF!),"",Data!#REF!)</f>
        <v>#REF!</v>
      </c>
    </row>
    <row r="136" spans="1:21" x14ac:dyDescent="0.25">
      <c r="A136" s="33" t="e">
        <f>IF(ISBLANK(Data!#REF!),"",YEAR(Data!#REF!))</f>
        <v>#REF!</v>
      </c>
      <c r="B136" s="44" t="e">
        <f>IF(ISBLANK(Data!#REF!),"",Data!#REF!)</f>
        <v>#REF!</v>
      </c>
      <c r="C136" s="45" t="e">
        <f>IF(ISBLANK(Data!#REF!),"",Data!#REF!)</f>
        <v>#REF!</v>
      </c>
      <c r="D136" s="21" t="e">
        <f>IF(ISBLANK(Data!#REF!),"",Data!#REF!)</f>
        <v>#REF!</v>
      </c>
      <c r="E136" s="21" t="e">
        <f>IF(ISBLANK(Data!#REF!),"",Data!#REF!)</f>
        <v>#REF!</v>
      </c>
      <c r="F136" s="33" t="e">
        <f>IF(ISBLANK(Data!#REF!),"",Data!#REF!)</f>
        <v>#REF!</v>
      </c>
      <c r="G136" s="21" t="e">
        <f>IF(ISBLANK(Data!#REF!),"",Data!#REF!)</f>
        <v>#REF!</v>
      </c>
      <c r="H136" s="33" t="e">
        <f>IF(ISBLANK(Data!#REF!),"",Data!#REF!)</f>
        <v>#REF!</v>
      </c>
      <c r="I136" s="33" t="e">
        <f>IF(ISBLANK(Data!#REF!),"",Data!#REF!)</f>
        <v>#REF!</v>
      </c>
      <c r="J136" s="33" t="e">
        <f>IF(ISBLANK(Data!#REF!),"",Data!#REF!)</f>
        <v>#REF!</v>
      </c>
      <c r="K136" s="21" t="e">
        <f>IF(ISBLANK(Data!#REF!),"",Data!#REF!)</f>
        <v>#REF!</v>
      </c>
      <c r="L136" s="21" t="e">
        <f>IF(ISBLANK(Data!#REF!),"",Data!#REF!)</f>
        <v>#REF!</v>
      </c>
      <c r="N136" s="46" t="e">
        <f>IF(ISBLANK(Data!#REF!),"",Data!#REF!)</f>
        <v>#REF!</v>
      </c>
      <c r="O136" s="46" t="e">
        <f>IF(ISBLANK(Data!#REF!),"",Data!#REF!)</f>
        <v>#REF!</v>
      </c>
      <c r="P136" s="46" t="e">
        <f>IF(ISBLANK(Data!#REF!),"",Data!#REF!)</f>
        <v>#REF!</v>
      </c>
      <c r="Q136" s="46" t="e">
        <f t="shared" si="2"/>
        <v>#REF!</v>
      </c>
      <c r="R136" s="47" t="e">
        <f>IF(ISBLANK(Data!#REF!),"",Data!#REF!)</f>
        <v>#REF!</v>
      </c>
      <c r="S136" s="33" t="e">
        <f>IF(ISBLANK(Data!#REF!),"",Data!#REF!)</f>
        <v>#REF!</v>
      </c>
      <c r="T136" s="33" t="e">
        <f>IF(ISBLANK(Data!#REF!),"",Data!#REF!)</f>
        <v>#REF!</v>
      </c>
      <c r="U136" s="21" t="e">
        <f>IF(ISBLANK(Data!#REF!),"",Data!#REF!)</f>
        <v>#REF!</v>
      </c>
    </row>
    <row r="137" spans="1:21" x14ac:dyDescent="0.25">
      <c r="A137" s="33" t="e">
        <f>IF(ISBLANK(Data!#REF!),"",YEAR(Data!#REF!))</f>
        <v>#REF!</v>
      </c>
      <c r="B137" s="44" t="e">
        <f>IF(ISBLANK(Data!#REF!),"",Data!#REF!)</f>
        <v>#REF!</v>
      </c>
      <c r="C137" s="45" t="e">
        <f>IF(ISBLANK(Data!#REF!),"",Data!#REF!)</f>
        <v>#REF!</v>
      </c>
      <c r="D137" s="21" t="e">
        <f>IF(ISBLANK(Data!#REF!),"",Data!#REF!)</f>
        <v>#REF!</v>
      </c>
      <c r="E137" s="21" t="e">
        <f>IF(ISBLANK(Data!#REF!),"",Data!#REF!)</f>
        <v>#REF!</v>
      </c>
      <c r="F137" s="33" t="e">
        <f>IF(ISBLANK(Data!#REF!),"",Data!#REF!)</f>
        <v>#REF!</v>
      </c>
      <c r="G137" s="21" t="e">
        <f>IF(ISBLANK(Data!#REF!),"",Data!#REF!)</f>
        <v>#REF!</v>
      </c>
      <c r="H137" s="33" t="e">
        <f>IF(ISBLANK(Data!#REF!),"",Data!#REF!)</f>
        <v>#REF!</v>
      </c>
      <c r="I137" s="33" t="e">
        <f>IF(ISBLANK(Data!#REF!),"",Data!#REF!)</f>
        <v>#REF!</v>
      </c>
      <c r="J137" s="33" t="e">
        <f>IF(ISBLANK(Data!#REF!),"",Data!#REF!)</f>
        <v>#REF!</v>
      </c>
      <c r="K137" s="21" t="e">
        <f>IF(ISBLANK(Data!#REF!),"",Data!#REF!)</f>
        <v>#REF!</v>
      </c>
      <c r="L137" s="21" t="e">
        <f>IF(ISBLANK(Data!#REF!),"",Data!#REF!)</f>
        <v>#REF!</v>
      </c>
      <c r="N137" s="46" t="e">
        <f>IF(ISBLANK(Data!#REF!),"",Data!#REF!)</f>
        <v>#REF!</v>
      </c>
      <c r="O137" s="46" t="e">
        <f>IF(ISBLANK(Data!#REF!),"",Data!#REF!)</f>
        <v>#REF!</v>
      </c>
      <c r="P137" s="46" t="e">
        <f>IF(ISBLANK(Data!#REF!),"",Data!#REF!)</f>
        <v>#REF!</v>
      </c>
      <c r="Q137" s="46" t="e">
        <f t="shared" si="2"/>
        <v>#REF!</v>
      </c>
      <c r="R137" s="47" t="e">
        <f>IF(ISBLANK(Data!#REF!),"",Data!#REF!)</f>
        <v>#REF!</v>
      </c>
      <c r="S137" s="33" t="e">
        <f>IF(ISBLANK(Data!#REF!),"",Data!#REF!)</f>
        <v>#REF!</v>
      </c>
      <c r="T137" s="33" t="e">
        <f>IF(ISBLANK(Data!#REF!),"",Data!#REF!)</f>
        <v>#REF!</v>
      </c>
      <c r="U137" s="21" t="e">
        <f>IF(ISBLANK(Data!#REF!),"",Data!#REF!)</f>
        <v>#REF!</v>
      </c>
    </row>
    <row r="138" spans="1:21" x14ac:dyDescent="0.25">
      <c r="A138" s="33" t="e">
        <f>IF(ISBLANK(Data!#REF!),"",YEAR(Data!#REF!))</f>
        <v>#REF!</v>
      </c>
      <c r="B138" s="44" t="e">
        <f>IF(ISBLANK(Data!#REF!),"",Data!#REF!)</f>
        <v>#REF!</v>
      </c>
      <c r="C138" s="45" t="e">
        <f>IF(ISBLANK(Data!#REF!),"",Data!#REF!)</f>
        <v>#REF!</v>
      </c>
      <c r="D138" s="21" t="e">
        <f>IF(ISBLANK(Data!#REF!),"",Data!#REF!)</f>
        <v>#REF!</v>
      </c>
      <c r="E138" s="21" t="e">
        <f>IF(ISBLANK(Data!#REF!),"",Data!#REF!)</f>
        <v>#REF!</v>
      </c>
      <c r="F138" s="33" t="e">
        <f>IF(ISBLANK(Data!#REF!),"",Data!#REF!)</f>
        <v>#REF!</v>
      </c>
      <c r="G138" s="21" t="e">
        <f>IF(ISBLANK(Data!#REF!),"",Data!#REF!)</f>
        <v>#REF!</v>
      </c>
      <c r="H138" s="33" t="e">
        <f>IF(ISBLANK(Data!#REF!),"",Data!#REF!)</f>
        <v>#REF!</v>
      </c>
      <c r="I138" s="33" t="e">
        <f>IF(ISBLANK(Data!#REF!),"",Data!#REF!)</f>
        <v>#REF!</v>
      </c>
      <c r="J138" s="33" t="e">
        <f>IF(ISBLANK(Data!#REF!),"",Data!#REF!)</f>
        <v>#REF!</v>
      </c>
      <c r="K138" s="21" t="e">
        <f>IF(ISBLANK(Data!#REF!),"",Data!#REF!)</f>
        <v>#REF!</v>
      </c>
      <c r="L138" s="21" t="e">
        <f>IF(ISBLANK(Data!#REF!),"",Data!#REF!)</f>
        <v>#REF!</v>
      </c>
      <c r="N138" s="46" t="e">
        <f>IF(ISBLANK(Data!#REF!),"",Data!#REF!)</f>
        <v>#REF!</v>
      </c>
      <c r="O138" s="46" t="e">
        <f>IF(ISBLANK(Data!#REF!),"",Data!#REF!)</f>
        <v>#REF!</v>
      </c>
      <c r="P138" s="46" t="e">
        <f>IF(ISBLANK(Data!#REF!),"",Data!#REF!)</f>
        <v>#REF!</v>
      </c>
      <c r="Q138" s="46" t="e">
        <f t="shared" si="2"/>
        <v>#REF!</v>
      </c>
      <c r="R138" s="47" t="e">
        <f>IF(ISBLANK(Data!#REF!),"",Data!#REF!)</f>
        <v>#REF!</v>
      </c>
      <c r="S138" s="33" t="e">
        <f>IF(ISBLANK(Data!#REF!),"",Data!#REF!)</f>
        <v>#REF!</v>
      </c>
      <c r="T138" s="33" t="e">
        <f>IF(ISBLANK(Data!#REF!),"",Data!#REF!)</f>
        <v>#REF!</v>
      </c>
      <c r="U138" s="21" t="e">
        <f>IF(ISBLANK(Data!#REF!),"",Data!#REF!)</f>
        <v>#REF!</v>
      </c>
    </row>
    <row r="139" spans="1:21" x14ac:dyDescent="0.25">
      <c r="A139" s="33" t="e">
        <f>IF(ISBLANK(Data!#REF!),"",YEAR(Data!#REF!))</f>
        <v>#REF!</v>
      </c>
      <c r="B139" s="44" t="e">
        <f>IF(ISBLANK(Data!#REF!),"",Data!#REF!)</f>
        <v>#REF!</v>
      </c>
      <c r="C139" s="45" t="e">
        <f>IF(ISBLANK(Data!#REF!),"",Data!#REF!)</f>
        <v>#REF!</v>
      </c>
      <c r="D139" s="21" t="e">
        <f>IF(ISBLANK(Data!#REF!),"",Data!#REF!)</f>
        <v>#REF!</v>
      </c>
      <c r="E139" s="21" t="e">
        <f>IF(ISBLANK(Data!#REF!),"",Data!#REF!)</f>
        <v>#REF!</v>
      </c>
      <c r="F139" s="33" t="e">
        <f>IF(ISBLANK(Data!#REF!),"",Data!#REF!)</f>
        <v>#REF!</v>
      </c>
      <c r="G139" s="21" t="e">
        <f>IF(ISBLANK(Data!#REF!),"",Data!#REF!)</f>
        <v>#REF!</v>
      </c>
      <c r="H139" s="33" t="e">
        <f>IF(ISBLANK(Data!#REF!),"",Data!#REF!)</f>
        <v>#REF!</v>
      </c>
      <c r="I139" s="33" t="e">
        <f>IF(ISBLANK(Data!#REF!),"",Data!#REF!)</f>
        <v>#REF!</v>
      </c>
      <c r="J139" s="33" t="e">
        <f>IF(ISBLANK(Data!#REF!),"",Data!#REF!)</f>
        <v>#REF!</v>
      </c>
      <c r="K139" s="21" t="e">
        <f>IF(ISBLANK(Data!#REF!),"",Data!#REF!)</f>
        <v>#REF!</v>
      </c>
      <c r="L139" s="21" t="e">
        <f>IF(ISBLANK(Data!#REF!),"",Data!#REF!)</f>
        <v>#REF!</v>
      </c>
      <c r="N139" s="46" t="e">
        <f>IF(ISBLANK(Data!#REF!),"",Data!#REF!)</f>
        <v>#REF!</v>
      </c>
      <c r="O139" s="46" t="e">
        <f>IF(ISBLANK(Data!#REF!),"",Data!#REF!)</f>
        <v>#REF!</v>
      </c>
      <c r="P139" s="46" t="e">
        <f>IF(ISBLANK(Data!#REF!),"",Data!#REF!)</f>
        <v>#REF!</v>
      </c>
      <c r="Q139" s="46" t="e">
        <f t="shared" si="2"/>
        <v>#REF!</v>
      </c>
      <c r="R139" s="47" t="e">
        <f>IF(ISBLANK(Data!#REF!),"",Data!#REF!)</f>
        <v>#REF!</v>
      </c>
      <c r="S139" s="33" t="e">
        <f>IF(ISBLANK(Data!#REF!),"",Data!#REF!)</f>
        <v>#REF!</v>
      </c>
      <c r="T139" s="33" t="e">
        <f>IF(ISBLANK(Data!#REF!),"",Data!#REF!)</f>
        <v>#REF!</v>
      </c>
      <c r="U139" s="21" t="e">
        <f>IF(ISBLANK(Data!#REF!),"",Data!#REF!)</f>
        <v>#REF!</v>
      </c>
    </row>
    <row r="140" spans="1:21" x14ac:dyDescent="0.25">
      <c r="A140" s="33" t="e">
        <f>IF(ISBLANK(Data!#REF!),"",YEAR(Data!#REF!))</f>
        <v>#REF!</v>
      </c>
      <c r="B140" s="44" t="e">
        <f>IF(ISBLANK(Data!#REF!),"",Data!#REF!)</f>
        <v>#REF!</v>
      </c>
      <c r="C140" s="45" t="e">
        <f>IF(ISBLANK(Data!#REF!),"",Data!#REF!)</f>
        <v>#REF!</v>
      </c>
      <c r="D140" s="21" t="e">
        <f>IF(ISBLANK(Data!#REF!),"",Data!#REF!)</f>
        <v>#REF!</v>
      </c>
      <c r="E140" s="21" t="e">
        <f>IF(ISBLANK(Data!#REF!),"",Data!#REF!)</f>
        <v>#REF!</v>
      </c>
      <c r="F140" s="33" t="e">
        <f>IF(ISBLANK(Data!#REF!),"",Data!#REF!)</f>
        <v>#REF!</v>
      </c>
      <c r="G140" s="21" t="e">
        <f>IF(ISBLANK(Data!#REF!),"",Data!#REF!)</f>
        <v>#REF!</v>
      </c>
      <c r="H140" s="33" t="e">
        <f>IF(ISBLANK(Data!#REF!),"",Data!#REF!)</f>
        <v>#REF!</v>
      </c>
      <c r="I140" s="33" t="e">
        <f>IF(ISBLANK(Data!#REF!),"",Data!#REF!)</f>
        <v>#REF!</v>
      </c>
      <c r="J140" s="33" t="e">
        <f>IF(ISBLANK(Data!#REF!),"",Data!#REF!)</f>
        <v>#REF!</v>
      </c>
      <c r="K140" s="21" t="e">
        <f>IF(ISBLANK(Data!#REF!),"",Data!#REF!)</f>
        <v>#REF!</v>
      </c>
      <c r="L140" s="21" t="e">
        <f>IF(ISBLANK(Data!#REF!),"",Data!#REF!)</f>
        <v>#REF!</v>
      </c>
      <c r="N140" s="46" t="e">
        <f>IF(ISBLANK(Data!#REF!),"",Data!#REF!)</f>
        <v>#REF!</v>
      </c>
      <c r="O140" s="46" t="e">
        <f>IF(ISBLANK(Data!#REF!),"",Data!#REF!)</f>
        <v>#REF!</v>
      </c>
      <c r="P140" s="46" t="e">
        <f>IF(ISBLANK(Data!#REF!),"",Data!#REF!)</f>
        <v>#REF!</v>
      </c>
      <c r="Q140" s="46" t="e">
        <f t="shared" si="2"/>
        <v>#REF!</v>
      </c>
      <c r="R140" s="47" t="e">
        <f>IF(ISBLANK(Data!#REF!),"",Data!#REF!)</f>
        <v>#REF!</v>
      </c>
      <c r="S140" s="33" t="e">
        <f>IF(ISBLANK(Data!#REF!),"",Data!#REF!)</f>
        <v>#REF!</v>
      </c>
      <c r="T140" s="33" t="e">
        <f>IF(ISBLANK(Data!#REF!),"",Data!#REF!)</f>
        <v>#REF!</v>
      </c>
      <c r="U140" s="21" t="e">
        <f>IF(ISBLANK(Data!#REF!),"",Data!#REF!)</f>
        <v>#REF!</v>
      </c>
    </row>
    <row r="141" spans="1:21" x14ac:dyDescent="0.25">
      <c r="A141" s="33" t="e">
        <f>IF(ISBLANK(Data!#REF!),"",YEAR(Data!#REF!))</f>
        <v>#REF!</v>
      </c>
      <c r="B141" s="44" t="e">
        <f>IF(ISBLANK(Data!#REF!),"",Data!#REF!)</f>
        <v>#REF!</v>
      </c>
      <c r="C141" s="45" t="e">
        <f>IF(ISBLANK(Data!#REF!),"",Data!#REF!)</f>
        <v>#REF!</v>
      </c>
      <c r="D141" s="21" t="e">
        <f>IF(ISBLANK(Data!#REF!),"",Data!#REF!)</f>
        <v>#REF!</v>
      </c>
      <c r="E141" s="21" t="e">
        <f>IF(ISBLANK(Data!#REF!),"",Data!#REF!)</f>
        <v>#REF!</v>
      </c>
      <c r="F141" s="33" t="e">
        <f>IF(ISBLANK(Data!#REF!),"",Data!#REF!)</f>
        <v>#REF!</v>
      </c>
      <c r="G141" s="21" t="e">
        <f>IF(ISBLANK(Data!#REF!),"",Data!#REF!)</f>
        <v>#REF!</v>
      </c>
      <c r="H141" s="33" t="e">
        <f>IF(ISBLANK(Data!#REF!),"",Data!#REF!)</f>
        <v>#REF!</v>
      </c>
      <c r="I141" s="33" t="e">
        <f>IF(ISBLANK(Data!#REF!),"",Data!#REF!)</f>
        <v>#REF!</v>
      </c>
      <c r="J141" s="33" t="e">
        <f>IF(ISBLANK(Data!#REF!),"",Data!#REF!)</f>
        <v>#REF!</v>
      </c>
      <c r="K141" s="21" t="e">
        <f>IF(ISBLANK(Data!#REF!),"",Data!#REF!)</f>
        <v>#REF!</v>
      </c>
      <c r="L141" s="21" t="e">
        <f>IF(ISBLANK(Data!#REF!),"",Data!#REF!)</f>
        <v>#REF!</v>
      </c>
      <c r="N141" s="46" t="e">
        <f>IF(ISBLANK(Data!#REF!),"",Data!#REF!)</f>
        <v>#REF!</v>
      </c>
      <c r="O141" s="46" t="e">
        <f>IF(ISBLANK(Data!#REF!),"",Data!#REF!)</f>
        <v>#REF!</v>
      </c>
      <c r="P141" s="46" t="e">
        <f>IF(ISBLANK(Data!#REF!),"",Data!#REF!)</f>
        <v>#REF!</v>
      </c>
      <c r="Q141" s="46" t="e">
        <f t="shared" si="2"/>
        <v>#REF!</v>
      </c>
      <c r="R141" s="47" t="e">
        <f>IF(ISBLANK(Data!#REF!),"",Data!#REF!)</f>
        <v>#REF!</v>
      </c>
      <c r="S141" s="33" t="e">
        <f>IF(ISBLANK(Data!#REF!),"",Data!#REF!)</f>
        <v>#REF!</v>
      </c>
      <c r="T141" s="33" t="e">
        <f>IF(ISBLANK(Data!#REF!),"",Data!#REF!)</f>
        <v>#REF!</v>
      </c>
      <c r="U141" s="21" t="e">
        <f>IF(ISBLANK(Data!#REF!),"",Data!#REF!)</f>
        <v>#REF!</v>
      </c>
    </row>
    <row r="142" spans="1:21" x14ac:dyDescent="0.25">
      <c r="A142" s="33" t="e">
        <f>IF(ISBLANK(Data!#REF!),"",YEAR(Data!#REF!))</f>
        <v>#REF!</v>
      </c>
      <c r="B142" s="44" t="e">
        <f>IF(ISBLANK(Data!#REF!),"",Data!#REF!)</f>
        <v>#REF!</v>
      </c>
      <c r="C142" s="45" t="e">
        <f>IF(ISBLANK(Data!#REF!),"",Data!#REF!)</f>
        <v>#REF!</v>
      </c>
      <c r="D142" s="21" t="e">
        <f>IF(ISBLANK(Data!#REF!),"",Data!#REF!)</f>
        <v>#REF!</v>
      </c>
      <c r="E142" s="21" t="e">
        <f>IF(ISBLANK(Data!#REF!),"",Data!#REF!)</f>
        <v>#REF!</v>
      </c>
      <c r="F142" s="33" t="e">
        <f>IF(ISBLANK(Data!#REF!),"",Data!#REF!)</f>
        <v>#REF!</v>
      </c>
      <c r="G142" s="21" t="e">
        <f>IF(ISBLANK(Data!#REF!),"",Data!#REF!)</f>
        <v>#REF!</v>
      </c>
      <c r="H142" s="33" t="e">
        <f>IF(ISBLANK(Data!#REF!),"",Data!#REF!)</f>
        <v>#REF!</v>
      </c>
      <c r="I142" s="33" t="e">
        <f>IF(ISBLANK(Data!#REF!),"",Data!#REF!)</f>
        <v>#REF!</v>
      </c>
      <c r="J142" s="33" t="e">
        <f>IF(ISBLANK(Data!#REF!),"",Data!#REF!)</f>
        <v>#REF!</v>
      </c>
      <c r="K142" s="21" t="e">
        <f>IF(ISBLANK(Data!#REF!),"",Data!#REF!)</f>
        <v>#REF!</v>
      </c>
      <c r="L142" s="21" t="e">
        <f>IF(ISBLANK(Data!#REF!),"",Data!#REF!)</f>
        <v>#REF!</v>
      </c>
      <c r="N142" s="46" t="e">
        <f>IF(ISBLANK(Data!#REF!),"",Data!#REF!)</f>
        <v>#REF!</v>
      </c>
      <c r="O142" s="46" t="e">
        <f>IF(ISBLANK(Data!#REF!),"",Data!#REF!)</f>
        <v>#REF!</v>
      </c>
      <c r="P142" s="46" t="e">
        <f>IF(ISBLANK(Data!#REF!),"",Data!#REF!)</f>
        <v>#REF!</v>
      </c>
      <c r="Q142" s="46" t="e">
        <f t="shared" si="2"/>
        <v>#REF!</v>
      </c>
      <c r="R142" s="47" t="e">
        <f>IF(ISBLANK(Data!#REF!),"",Data!#REF!)</f>
        <v>#REF!</v>
      </c>
      <c r="S142" s="33" t="e">
        <f>IF(ISBLANK(Data!#REF!),"",Data!#REF!)</f>
        <v>#REF!</v>
      </c>
      <c r="T142" s="33" t="e">
        <f>IF(ISBLANK(Data!#REF!),"",Data!#REF!)</f>
        <v>#REF!</v>
      </c>
      <c r="U142" s="21" t="e">
        <f>IF(ISBLANK(Data!#REF!),"",Data!#REF!)</f>
        <v>#REF!</v>
      </c>
    </row>
    <row r="143" spans="1:21" x14ac:dyDescent="0.25">
      <c r="A143" s="33" t="e">
        <f>IF(ISBLANK(Data!#REF!),"",YEAR(Data!#REF!))</f>
        <v>#REF!</v>
      </c>
      <c r="B143" s="44" t="e">
        <f>IF(ISBLANK(Data!#REF!),"",Data!#REF!)</f>
        <v>#REF!</v>
      </c>
      <c r="C143" s="45" t="e">
        <f>IF(ISBLANK(Data!#REF!),"",Data!#REF!)</f>
        <v>#REF!</v>
      </c>
      <c r="D143" s="21" t="e">
        <f>IF(ISBLANK(Data!#REF!),"",Data!#REF!)</f>
        <v>#REF!</v>
      </c>
      <c r="E143" s="21" t="e">
        <f>IF(ISBLANK(Data!#REF!),"",Data!#REF!)</f>
        <v>#REF!</v>
      </c>
      <c r="F143" s="33" t="e">
        <f>IF(ISBLANK(Data!#REF!),"",Data!#REF!)</f>
        <v>#REF!</v>
      </c>
      <c r="G143" s="21" t="e">
        <f>IF(ISBLANK(Data!#REF!),"",Data!#REF!)</f>
        <v>#REF!</v>
      </c>
      <c r="H143" s="33" t="e">
        <f>IF(ISBLANK(Data!#REF!),"",Data!#REF!)</f>
        <v>#REF!</v>
      </c>
      <c r="I143" s="33" t="e">
        <f>IF(ISBLANK(Data!#REF!),"",Data!#REF!)</f>
        <v>#REF!</v>
      </c>
      <c r="J143" s="33" t="e">
        <f>IF(ISBLANK(Data!#REF!),"",Data!#REF!)</f>
        <v>#REF!</v>
      </c>
      <c r="K143" s="21" t="e">
        <f>IF(ISBLANK(Data!#REF!),"",Data!#REF!)</f>
        <v>#REF!</v>
      </c>
      <c r="L143" s="21" t="e">
        <f>IF(ISBLANK(Data!#REF!),"",Data!#REF!)</f>
        <v>#REF!</v>
      </c>
      <c r="N143" s="46" t="e">
        <f>IF(ISBLANK(Data!#REF!),"",Data!#REF!)</f>
        <v>#REF!</v>
      </c>
      <c r="O143" s="46" t="e">
        <f>IF(ISBLANK(Data!#REF!),"",Data!#REF!)</f>
        <v>#REF!</v>
      </c>
      <c r="P143" s="46" t="e">
        <f>IF(ISBLANK(Data!#REF!),"",Data!#REF!)</f>
        <v>#REF!</v>
      </c>
      <c r="Q143" s="46" t="e">
        <f t="shared" si="2"/>
        <v>#REF!</v>
      </c>
      <c r="R143" s="47" t="e">
        <f>IF(ISBLANK(Data!#REF!),"",Data!#REF!)</f>
        <v>#REF!</v>
      </c>
      <c r="S143" s="33" t="e">
        <f>IF(ISBLANK(Data!#REF!),"",Data!#REF!)</f>
        <v>#REF!</v>
      </c>
      <c r="T143" s="33" t="e">
        <f>IF(ISBLANK(Data!#REF!),"",Data!#REF!)</f>
        <v>#REF!</v>
      </c>
      <c r="U143" s="21" t="e">
        <f>IF(ISBLANK(Data!#REF!),"",Data!#REF!)</f>
        <v>#REF!</v>
      </c>
    </row>
    <row r="144" spans="1:21" x14ac:dyDescent="0.25">
      <c r="A144" s="33" t="e">
        <f>IF(ISBLANK(Data!#REF!),"",YEAR(Data!#REF!))</f>
        <v>#REF!</v>
      </c>
      <c r="B144" s="44" t="e">
        <f>IF(ISBLANK(Data!#REF!),"",Data!#REF!)</f>
        <v>#REF!</v>
      </c>
      <c r="C144" s="45" t="e">
        <f>IF(ISBLANK(Data!#REF!),"",Data!#REF!)</f>
        <v>#REF!</v>
      </c>
      <c r="D144" s="21" t="e">
        <f>IF(ISBLANK(Data!#REF!),"",Data!#REF!)</f>
        <v>#REF!</v>
      </c>
      <c r="E144" s="21" t="e">
        <f>IF(ISBLANK(Data!#REF!),"",Data!#REF!)</f>
        <v>#REF!</v>
      </c>
      <c r="F144" s="33" t="e">
        <f>IF(ISBLANK(Data!#REF!),"",Data!#REF!)</f>
        <v>#REF!</v>
      </c>
      <c r="G144" s="21" t="e">
        <f>IF(ISBLANK(Data!#REF!),"",Data!#REF!)</f>
        <v>#REF!</v>
      </c>
      <c r="H144" s="33" t="e">
        <f>IF(ISBLANK(Data!#REF!),"",Data!#REF!)</f>
        <v>#REF!</v>
      </c>
      <c r="I144" s="33" t="e">
        <f>IF(ISBLANK(Data!#REF!),"",Data!#REF!)</f>
        <v>#REF!</v>
      </c>
      <c r="J144" s="33" t="e">
        <f>IF(ISBLANK(Data!#REF!),"",Data!#REF!)</f>
        <v>#REF!</v>
      </c>
      <c r="K144" s="21" t="e">
        <f>IF(ISBLANK(Data!#REF!),"",Data!#REF!)</f>
        <v>#REF!</v>
      </c>
      <c r="L144" s="21" t="e">
        <f>IF(ISBLANK(Data!#REF!),"",Data!#REF!)</f>
        <v>#REF!</v>
      </c>
      <c r="N144" s="46" t="e">
        <f>IF(ISBLANK(Data!#REF!),"",Data!#REF!)</f>
        <v>#REF!</v>
      </c>
      <c r="O144" s="46" t="e">
        <f>IF(ISBLANK(Data!#REF!),"",Data!#REF!)</f>
        <v>#REF!</v>
      </c>
      <c r="P144" s="46" t="e">
        <f>IF(ISBLANK(Data!#REF!),"",Data!#REF!)</f>
        <v>#REF!</v>
      </c>
      <c r="Q144" s="46" t="e">
        <f t="shared" si="2"/>
        <v>#REF!</v>
      </c>
      <c r="R144" s="47" t="e">
        <f>IF(ISBLANK(Data!#REF!),"",Data!#REF!)</f>
        <v>#REF!</v>
      </c>
      <c r="S144" s="33" t="e">
        <f>IF(ISBLANK(Data!#REF!),"",Data!#REF!)</f>
        <v>#REF!</v>
      </c>
      <c r="T144" s="33" t="e">
        <f>IF(ISBLANK(Data!#REF!),"",Data!#REF!)</f>
        <v>#REF!</v>
      </c>
      <c r="U144" s="21" t="e">
        <f>IF(ISBLANK(Data!#REF!),"",Data!#REF!)</f>
        <v>#REF!</v>
      </c>
    </row>
    <row r="145" spans="1:21" x14ac:dyDescent="0.25">
      <c r="A145" s="33" t="e">
        <f>IF(ISBLANK(Data!#REF!),"",YEAR(Data!#REF!))</f>
        <v>#REF!</v>
      </c>
      <c r="B145" s="44" t="e">
        <f>IF(ISBLANK(Data!#REF!),"",Data!#REF!)</f>
        <v>#REF!</v>
      </c>
      <c r="C145" s="45" t="e">
        <f>IF(ISBLANK(Data!#REF!),"",Data!#REF!)</f>
        <v>#REF!</v>
      </c>
      <c r="D145" s="21" t="e">
        <f>IF(ISBLANK(Data!#REF!),"",Data!#REF!)</f>
        <v>#REF!</v>
      </c>
      <c r="E145" s="21" t="e">
        <f>IF(ISBLANK(Data!#REF!),"",Data!#REF!)</f>
        <v>#REF!</v>
      </c>
      <c r="F145" s="33" t="e">
        <f>IF(ISBLANK(Data!#REF!),"",Data!#REF!)</f>
        <v>#REF!</v>
      </c>
      <c r="G145" s="21" t="e">
        <f>IF(ISBLANK(Data!#REF!),"",Data!#REF!)</f>
        <v>#REF!</v>
      </c>
      <c r="H145" s="33" t="e">
        <f>IF(ISBLANK(Data!#REF!),"",Data!#REF!)</f>
        <v>#REF!</v>
      </c>
      <c r="I145" s="33" t="e">
        <f>IF(ISBLANK(Data!#REF!),"",Data!#REF!)</f>
        <v>#REF!</v>
      </c>
      <c r="J145" s="33" t="e">
        <f>IF(ISBLANK(Data!#REF!),"",Data!#REF!)</f>
        <v>#REF!</v>
      </c>
      <c r="K145" s="21" t="e">
        <f>IF(ISBLANK(Data!#REF!),"",Data!#REF!)</f>
        <v>#REF!</v>
      </c>
      <c r="L145" s="21" t="e">
        <f>IF(ISBLANK(Data!#REF!),"",Data!#REF!)</f>
        <v>#REF!</v>
      </c>
      <c r="N145" s="46" t="e">
        <f>IF(ISBLANK(Data!#REF!),"",Data!#REF!)</f>
        <v>#REF!</v>
      </c>
      <c r="O145" s="46" t="e">
        <f>IF(ISBLANK(Data!#REF!),"",Data!#REF!)</f>
        <v>#REF!</v>
      </c>
      <c r="P145" s="46" t="e">
        <f>IF(ISBLANK(Data!#REF!),"",Data!#REF!)</f>
        <v>#REF!</v>
      </c>
      <c r="Q145" s="46" t="e">
        <f t="shared" si="2"/>
        <v>#REF!</v>
      </c>
      <c r="R145" s="47" t="e">
        <f>IF(ISBLANK(Data!#REF!),"",Data!#REF!)</f>
        <v>#REF!</v>
      </c>
      <c r="S145" s="33" t="e">
        <f>IF(ISBLANK(Data!#REF!),"",Data!#REF!)</f>
        <v>#REF!</v>
      </c>
      <c r="T145" s="33" t="e">
        <f>IF(ISBLANK(Data!#REF!),"",Data!#REF!)</f>
        <v>#REF!</v>
      </c>
      <c r="U145" s="21" t="e">
        <f>IF(ISBLANK(Data!#REF!),"",Data!#REF!)</f>
        <v>#REF!</v>
      </c>
    </row>
    <row r="146" spans="1:21" x14ac:dyDescent="0.25">
      <c r="A146" s="33" t="e">
        <f>IF(ISBLANK(Data!#REF!),"",YEAR(Data!#REF!))</f>
        <v>#REF!</v>
      </c>
      <c r="B146" s="44" t="e">
        <f>IF(ISBLANK(Data!#REF!),"",Data!#REF!)</f>
        <v>#REF!</v>
      </c>
      <c r="C146" s="45" t="e">
        <f>IF(ISBLANK(Data!#REF!),"",Data!#REF!)</f>
        <v>#REF!</v>
      </c>
      <c r="D146" s="21" t="e">
        <f>IF(ISBLANK(Data!#REF!),"",Data!#REF!)</f>
        <v>#REF!</v>
      </c>
      <c r="E146" s="21" t="e">
        <f>IF(ISBLANK(Data!#REF!),"",Data!#REF!)</f>
        <v>#REF!</v>
      </c>
      <c r="F146" s="33" t="e">
        <f>IF(ISBLANK(Data!#REF!),"",Data!#REF!)</f>
        <v>#REF!</v>
      </c>
      <c r="G146" s="21" t="e">
        <f>IF(ISBLANK(Data!#REF!),"",Data!#REF!)</f>
        <v>#REF!</v>
      </c>
      <c r="H146" s="33" t="e">
        <f>IF(ISBLANK(Data!#REF!),"",Data!#REF!)</f>
        <v>#REF!</v>
      </c>
      <c r="I146" s="33" t="e">
        <f>IF(ISBLANK(Data!#REF!),"",Data!#REF!)</f>
        <v>#REF!</v>
      </c>
      <c r="J146" s="33" t="e">
        <f>IF(ISBLANK(Data!#REF!),"",Data!#REF!)</f>
        <v>#REF!</v>
      </c>
      <c r="K146" s="21" t="e">
        <f>IF(ISBLANK(Data!#REF!),"",Data!#REF!)</f>
        <v>#REF!</v>
      </c>
      <c r="L146" s="21" t="e">
        <f>IF(ISBLANK(Data!#REF!),"",Data!#REF!)</f>
        <v>#REF!</v>
      </c>
      <c r="N146" s="46" t="e">
        <f>IF(ISBLANK(Data!#REF!),"",Data!#REF!)</f>
        <v>#REF!</v>
      </c>
      <c r="O146" s="46" t="e">
        <f>IF(ISBLANK(Data!#REF!),"",Data!#REF!)</f>
        <v>#REF!</v>
      </c>
      <c r="P146" s="46" t="e">
        <f>IF(ISBLANK(Data!#REF!),"",Data!#REF!)</f>
        <v>#REF!</v>
      </c>
      <c r="Q146" s="46" t="e">
        <f t="shared" si="2"/>
        <v>#REF!</v>
      </c>
      <c r="R146" s="47" t="e">
        <f>IF(ISBLANK(Data!#REF!),"",Data!#REF!)</f>
        <v>#REF!</v>
      </c>
      <c r="S146" s="33" t="e">
        <f>IF(ISBLANK(Data!#REF!),"",Data!#REF!)</f>
        <v>#REF!</v>
      </c>
      <c r="T146" s="33" t="e">
        <f>IF(ISBLANK(Data!#REF!),"",Data!#REF!)</f>
        <v>#REF!</v>
      </c>
      <c r="U146" s="21" t="e">
        <f>IF(ISBLANK(Data!#REF!),"",Data!#REF!)</f>
        <v>#REF!</v>
      </c>
    </row>
    <row r="147" spans="1:21" x14ac:dyDescent="0.25">
      <c r="A147" s="33" t="e">
        <f>IF(ISBLANK(Data!#REF!),"",YEAR(Data!#REF!))</f>
        <v>#REF!</v>
      </c>
      <c r="B147" s="44" t="e">
        <f>IF(ISBLANK(Data!#REF!),"",Data!#REF!)</f>
        <v>#REF!</v>
      </c>
      <c r="C147" s="45" t="e">
        <f>IF(ISBLANK(Data!#REF!),"",Data!#REF!)</f>
        <v>#REF!</v>
      </c>
      <c r="D147" s="21" t="e">
        <f>IF(ISBLANK(Data!#REF!),"",Data!#REF!)</f>
        <v>#REF!</v>
      </c>
      <c r="E147" s="21" t="e">
        <f>IF(ISBLANK(Data!#REF!),"",Data!#REF!)</f>
        <v>#REF!</v>
      </c>
      <c r="F147" s="33" t="e">
        <f>IF(ISBLANK(Data!#REF!),"",Data!#REF!)</f>
        <v>#REF!</v>
      </c>
      <c r="G147" s="21" t="e">
        <f>IF(ISBLANK(Data!#REF!),"",Data!#REF!)</f>
        <v>#REF!</v>
      </c>
      <c r="H147" s="33" t="e">
        <f>IF(ISBLANK(Data!#REF!),"",Data!#REF!)</f>
        <v>#REF!</v>
      </c>
      <c r="I147" s="33" t="e">
        <f>IF(ISBLANK(Data!#REF!),"",Data!#REF!)</f>
        <v>#REF!</v>
      </c>
      <c r="J147" s="33" t="e">
        <f>IF(ISBLANK(Data!#REF!),"",Data!#REF!)</f>
        <v>#REF!</v>
      </c>
      <c r="K147" s="21" t="e">
        <f>IF(ISBLANK(Data!#REF!),"",Data!#REF!)</f>
        <v>#REF!</v>
      </c>
      <c r="L147" s="21" t="e">
        <f>IF(ISBLANK(Data!#REF!),"",Data!#REF!)</f>
        <v>#REF!</v>
      </c>
      <c r="N147" s="46" t="e">
        <f>IF(ISBLANK(Data!#REF!),"",Data!#REF!)</f>
        <v>#REF!</v>
      </c>
      <c r="O147" s="46" t="e">
        <f>IF(ISBLANK(Data!#REF!),"",Data!#REF!)</f>
        <v>#REF!</v>
      </c>
      <c r="P147" s="46" t="e">
        <f>IF(ISBLANK(Data!#REF!),"",Data!#REF!)</f>
        <v>#REF!</v>
      </c>
      <c r="Q147" s="46" t="e">
        <f t="shared" si="2"/>
        <v>#REF!</v>
      </c>
      <c r="R147" s="47" t="e">
        <f>IF(ISBLANK(Data!#REF!),"",Data!#REF!)</f>
        <v>#REF!</v>
      </c>
      <c r="S147" s="33" t="e">
        <f>IF(ISBLANK(Data!#REF!),"",Data!#REF!)</f>
        <v>#REF!</v>
      </c>
      <c r="T147" s="33" t="e">
        <f>IF(ISBLANK(Data!#REF!),"",Data!#REF!)</f>
        <v>#REF!</v>
      </c>
      <c r="U147" s="21" t="e">
        <f>IF(ISBLANK(Data!#REF!),"",Data!#REF!)</f>
        <v>#REF!</v>
      </c>
    </row>
    <row r="148" spans="1:21" x14ac:dyDescent="0.25">
      <c r="A148" s="33" t="e">
        <f>IF(ISBLANK(Data!#REF!),"",YEAR(Data!#REF!))</f>
        <v>#REF!</v>
      </c>
      <c r="B148" s="44" t="e">
        <f>IF(ISBLANK(Data!#REF!),"",Data!#REF!)</f>
        <v>#REF!</v>
      </c>
      <c r="C148" s="45" t="e">
        <f>IF(ISBLANK(Data!#REF!),"",Data!#REF!)</f>
        <v>#REF!</v>
      </c>
      <c r="D148" s="21" t="e">
        <f>IF(ISBLANK(Data!#REF!),"",Data!#REF!)</f>
        <v>#REF!</v>
      </c>
      <c r="E148" s="21" t="e">
        <f>IF(ISBLANK(Data!#REF!),"",Data!#REF!)</f>
        <v>#REF!</v>
      </c>
      <c r="F148" s="33" t="e">
        <f>IF(ISBLANK(Data!#REF!),"",Data!#REF!)</f>
        <v>#REF!</v>
      </c>
      <c r="G148" s="21" t="e">
        <f>IF(ISBLANK(Data!#REF!),"",Data!#REF!)</f>
        <v>#REF!</v>
      </c>
      <c r="H148" s="33" t="e">
        <f>IF(ISBLANK(Data!#REF!),"",Data!#REF!)</f>
        <v>#REF!</v>
      </c>
      <c r="I148" s="33" t="e">
        <f>IF(ISBLANK(Data!#REF!),"",Data!#REF!)</f>
        <v>#REF!</v>
      </c>
      <c r="J148" s="33" t="e">
        <f>IF(ISBLANK(Data!#REF!),"",Data!#REF!)</f>
        <v>#REF!</v>
      </c>
      <c r="K148" s="21" t="e">
        <f>IF(ISBLANK(Data!#REF!),"",Data!#REF!)</f>
        <v>#REF!</v>
      </c>
      <c r="L148" s="21" t="e">
        <f>IF(ISBLANK(Data!#REF!),"",Data!#REF!)</f>
        <v>#REF!</v>
      </c>
      <c r="N148" s="46" t="e">
        <f>IF(ISBLANK(Data!#REF!),"",Data!#REF!)</f>
        <v>#REF!</v>
      </c>
      <c r="O148" s="46" t="e">
        <f>IF(ISBLANK(Data!#REF!),"",Data!#REF!)</f>
        <v>#REF!</v>
      </c>
      <c r="P148" s="46" t="e">
        <f>IF(ISBLANK(Data!#REF!),"",Data!#REF!)</f>
        <v>#REF!</v>
      </c>
      <c r="Q148" s="46" t="e">
        <f t="shared" si="2"/>
        <v>#REF!</v>
      </c>
      <c r="R148" s="47" t="e">
        <f>IF(ISBLANK(Data!#REF!),"",Data!#REF!)</f>
        <v>#REF!</v>
      </c>
      <c r="S148" s="33" t="e">
        <f>IF(ISBLANK(Data!#REF!),"",Data!#REF!)</f>
        <v>#REF!</v>
      </c>
      <c r="T148" s="33" t="e">
        <f>IF(ISBLANK(Data!#REF!),"",Data!#REF!)</f>
        <v>#REF!</v>
      </c>
      <c r="U148" s="21" t="e">
        <f>IF(ISBLANK(Data!#REF!),"",Data!#REF!)</f>
        <v>#REF!</v>
      </c>
    </row>
    <row r="149" spans="1:21" x14ac:dyDescent="0.25">
      <c r="A149" s="33" t="e">
        <f>IF(ISBLANK(Data!#REF!),"",YEAR(Data!#REF!))</f>
        <v>#REF!</v>
      </c>
      <c r="B149" s="44" t="e">
        <f>IF(ISBLANK(Data!#REF!),"",Data!#REF!)</f>
        <v>#REF!</v>
      </c>
      <c r="C149" s="45" t="e">
        <f>IF(ISBLANK(Data!#REF!),"",Data!#REF!)</f>
        <v>#REF!</v>
      </c>
      <c r="D149" s="21" t="e">
        <f>IF(ISBLANK(Data!#REF!),"",Data!#REF!)</f>
        <v>#REF!</v>
      </c>
      <c r="E149" s="21" t="e">
        <f>IF(ISBLANK(Data!#REF!),"",Data!#REF!)</f>
        <v>#REF!</v>
      </c>
      <c r="F149" s="33" t="e">
        <f>IF(ISBLANK(Data!#REF!),"",Data!#REF!)</f>
        <v>#REF!</v>
      </c>
      <c r="G149" s="21" t="e">
        <f>IF(ISBLANK(Data!#REF!),"",Data!#REF!)</f>
        <v>#REF!</v>
      </c>
      <c r="H149" s="33" t="e">
        <f>IF(ISBLANK(Data!#REF!),"",Data!#REF!)</f>
        <v>#REF!</v>
      </c>
      <c r="I149" s="33" t="e">
        <f>IF(ISBLANK(Data!#REF!),"",Data!#REF!)</f>
        <v>#REF!</v>
      </c>
      <c r="J149" s="33" t="e">
        <f>IF(ISBLANK(Data!#REF!),"",Data!#REF!)</f>
        <v>#REF!</v>
      </c>
      <c r="K149" s="21" t="e">
        <f>IF(ISBLANK(Data!#REF!),"",Data!#REF!)</f>
        <v>#REF!</v>
      </c>
      <c r="L149" s="21" t="e">
        <f>IF(ISBLANK(Data!#REF!),"",Data!#REF!)</f>
        <v>#REF!</v>
      </c>
      <c r="N149" s="46" t="e">
        <f>IF(ISBLANK(Data!#REF!),"",Data!#REF!)</f>
        <v>#REF!</v>
      </c>
      <c r="O149" s="46" t="e">
        <f>IF(ISBLANK(Data!#REF!),"",Data!#REF!)</f>
        <v>#REF!</v>
      </c>
      <c r="P149" s="46" t="e">
        <f>IF(ISBLANK(Data!#REF!),"",Data!#REF!)</f>
        <v>#REF!</v>
      </c>
      <c r="Q149" s="46" t="e">
        <f t="shared" si="2"/>
        <v>#REF!</v>
      </c>
      <c r="R149" s="47" t="e">
        <f>IF(ISBLANK(Data!#REF!),"",Data!#REF!)</f>
        <v>#REF!</v>
      </c>
      <c r="S149" s="33" t="e">
        <f>IF(ISBLANK(Data!#REF!),"",Data!#REF!)</f>
        <v>#REF!</v>
      </c>
      <c r="T149" s="33" t="e">
        <f>IF(ISBLANK(Data!#REF!),"",Data!#REF!)</f>
        <v>#REF!</v>
      </c>
      <c r="U149" s="21" t="e">
        <f>IF(ISBLANK(Data!#REF!),"",Data!#REF!)</f>
        <v>#REF!</v>
      </c>
    </row>
    <row r="150" spans="1:21" x14ac:dyDescent="0.25">
      <c r="A150" s="33" t="e">
        <f>IF(ISBLANK(Data!#REF!),"",YEAR(Data!#REF!))</f>
        <v>#REF!</v>
      </c>
      <c r="B150" s="44" t="e">
        <f>IF(ISBLANK(Data!#REF!),"",Data!#REF!)</f>
        <v>#REF!</v>
      </c>
      <c r="C150" s="45" t="e">
        <f>IF(ISBLANK(Data!#REF!),"",Data!#REF!)</f>
        <v>#REF!</v>
      </c>
      <c r="D150" s="21" t="e">
        <f>IF(ISBLANK(Data!#REF!),"",Data!#REF!)</f>
        <v>#REF!</v>
      </c>
      <c r="E150" s="21" t="e">
        <f>IF(ISBLANK(Data!#REF!),"",Data!#REF!)</f>
        <v>#REF!</v>
      </c>
      <c r="F150" s="33" t="e">
        <f>IF(ISBLANK(Data!#REF!),"",Data!#REF!)</f>
        <v>#REF!</v>
      </c>
      <c r="G150" s="21" t="e">
        <f>IF(ISBLANK(Data!#REF!),"",Data!#REF!)</f>
        <v>#REF!</v>
      </c>
      <c r="H150" s="33" t="e">
        <f>IF(ISBLANK(Data!#REF!),"",Data!#REF!)</f>
        <v>#REF!</v>
      </c>
      <c r="I150" s="33" t="e">
        <f>IF(ISBLANK(Data!#REF!),"",Data!#REF!)</f>
        <v>#REF!</v>
      </c>
      <c r="J150" s="33" t="e">
        <f>IF(ISBLANK(Data!#REF!),"",Data!#REF!)</f>
        <v>#REF!</v>
      </c>
      <c r="K150" s="21" t="e">
        <f>IF(ISBLANK(Data!#REF!),"",Data!#REF!)</f>
        <v>#REF!</v>
      </c>
      <c r="L150" s="21" t="e">
        <f>IF(ISBLANK(Data!#REF!),"",Data!#REF!)</f>
        <v>#REF!</v>
      </c>
      <c r="N150" s="46" t="e">
        <f>IF(ISBLANK(Data!#REF!),"",Data!#REF!)</f>
        <v>#REF!</v>
      </c>
      <c r="O150" s="46" t="e">
        <f>IF(ISBLANK(Data!#REF!),"",Data!#REF!)</f>
        <v>#REF!</v>
      </c>
      <c r="P150" s="46" t="e">
        <f>IF(ISBLANK(Data!#REF!),"",Data!#REF!)</f>
        <v>#REF!</v>
      </c>
      <c r="Q150" s="46" t="e">
        <f t="shared" si="2"/>
        <v>#REF!</v>
      </c>
      <c r="R150" s="47" t="e">
        <f>IF(ISBLANK(Data!#REF!),"",Data!#REF!)</f>
        <v>#REF!</v>
      </c>
      <c r="S150" s="33" t="e">
        <f>IF(ISBLANK(Data!#REF!),"",Data!#REF!)</f>
        <v>#REF!</v>
      </c>
      <c r="T150" s="33" t="e">
        <f>IF(ISBLANK(Data!#REF!),"",Data!#REF!)</f>
        <v>#REF!</v>
      </c>
      <c r="U150" s="21" t="e">
        <f>IF(ISBLANK(Data!#REF!),"",Data!#REF!)</f>
        <v>#REF!</v>
      </c>
    </row>
    <row r="151" spans="1:21" x14ac:dyDescent="0.25">
      <c r="A151" s="33" t="e">
        <f>IF(ISBLANK(Data!#REF!),"",YEAR(Data!#REF!))</f>
        <v>#REF!</v>
      </c>
      <c r="B151" s="44" t="e">
        <f>IF(ISBLANK(Data!#REF!),"",Data!#REF!)</f>
        <v>#REF!</v>
      </c>
      <c r="C151" s="45" t="e">
        <f>IF(ISBLANK(Data!#REF!),"",Data!#REF!)</f>
        <v>#REF!</v>
      </c>
      <c r="D151" s="21" t="e">
        <f>IF(ISBLANK(Data!#REF!),"",Data!#REF!)</f>
        <v>#REF!</v>
      </c>
      <c r="E151" s="21" t="e">
        <f>IF(ISBLANK(Data!#REF!),"",Data!#REF!)</f>
        <v>#REF!</v>
      </c>
      <c r="F151" s="33" t="e">
        <f>IF(ISBLANK(Data!#REF!),"",Data!#REF!)</f>
        <v>#REF!</v>
      </c>
      <c r="G151" s="21" t="e">
        <f>IF(ISBLANK(Data!#REF!),"",Data!#REF!)</f>
        <v>#REF!</v>
      </c>
      <c r="H151" s="33" t="e">
        <f>IF(ISBLANK(Data!#REF!),"",Data!#REF!)</f>
        <v>#REF!</v>
      </c>
      <c r="I151" s="33" t="e">
        <f>IF(ISBLANK(Data!#REF!),"",Data!#REF!)</f>
        <v>#REF!</v>
      </c>
      <c r="J151" s="33" t="e">
        <f>IF(ISBLANK(Data!#REF!),"",Data!#REF!)</f>
        <v>#REF!</v>
      </c>
      <c r="K151" s="21" t="e">
        <f>IF(ISBLANK(Data!#REF!),"",Data!#REF!)</f>
        <v>#REF!</v>
      </c>
      <c r="L151" s="21" t="e">
        <f>IF(ISBLANK(Data!#REF!),"",Data!#REF!)</f>
        <v>#REF!</v>
      </c>
      <c r="N151" s="46" t="e">
        <f>IF(ISBLANK(Data!#REF!),"",Data!#REF!)</f>
        <v>#REF!</v>
      </c>
      <c r="O151" s="46" t="e">
        <f>IF(ISBLANK(Data!#REF!),"",Data!#REF!)</f>
        <v>#REF!</v>
      </c>
      <c r="P151" s="46" t="e">
        <f>IF(ISBLANK(Data!#REF!),"",Data!#REF!)</f>
        <v>#REF!</v>
      </c>
      <c r="Q151" s="46" t="e">
        <f t="shared" si="2"/>
        <v>#REF!</v>
      </c>
      <c r="R151" s="47" t="e">
        <f>IF(ISBLANK(Data!#REF!),"",Data!#REF!)</f>
        <v>#REF!</v>
      </c>
      <c r="S151" s="33" t="e">
        <f>IF(ISBLANK(Data!#REF!),"",Data!#REF!)</f>
        <v>#REF!</v>
      </c>
      <c r="T151" s="33" t="e">
        <f>IF(ISBLANK(Data!#REF!),"",Data!#REF!)</f>
        <v>#REF!</v>
      </c>
      <c r="U151" s="21" t="e">
        <f>IF(ISBLANK(Data!#REF!),"",Data!#REF!)</f>
        <v>#REF!</v>
      </c>
    </row>
    <row r="152" spans="1:21" x14ac:dyDescent="0.25">
      <c r="A152" s="33" t="e">
        <f>IF(ISBLANK(Data!#REF!),"",YEAR(Data!#REF!))</f>
        <v>#REF!</v>
      </c>
      <c r="B152" s="44" t="e">
        <f>IF(ISBLANK(Data!#REF!),"",Data!#REF!)</f>
        <v>#REF!</v>
      </c>
      <c r="C152" s="45" t="e">
        <f>IF(ISBLANK(Data!#REF!),"",Data!#REF!)</f>
        <v>#REF!</v>
      </c>
      <c r="D152" s="21" t="e">
        <f>IF(ISBLANK(Data!#REF!),"",Data!#REF!)</f>
        <v>#REF!</v>
      </c>
      <c r="E152" s="21" t="e">
        <f>IF(ISBLANK(Data!#REF!),"",Data!#REF!)</f>
        <v>#REF!</v>
      </c>
      <c r="F152" s="33" t="e">
        <f>IF(ISBLANK(Data!#REF!),"",Data!#REF!)</f>
        <v>#REF!</v>
      </c>
      <c r="G152" s="21" t="e">
        <f>IF(ISBLANK(Data!#REF!),"",Data!#REF!)</f>
        <v>#REF!</v>
      </c>
      <c r="H152" s="33" t="e">
        <f>IF(ISBLANK(Data!#REF!),"",Data!#REF!)</f>
        <v>#REF!</v>
      </c>
      <c r="I152" s="33" t="e">
        <f>IF(ISBLANK(Data!#REF!),"",Data!#REF!)</f>
        <v>#REF!</v>
      </c>
      <c r="J152" s="33" t="e">
        <f>IF(ISBLANK(Data!#REF!),"",Data!#REF!)</f>
        <v>#REF!</v>
      </c>
      <c r="K152" s="21" t="e">
        <f>IF(ISBLANK(Data!#REF!),"",Data!#REF!)</f>
        <v>#REF!</v>
      </c>
      <c r="L152" s="21" t="e">
        <f>IF(ISBLANK(Data!#REF!),"",Data!#REF!)</f>
        <v>#REF!</v>
      </c>
      <c r="N152" s="46" t="e">
        <f>IF(ISBLANK(Data!#REF!),"",Data!#REF!)</f>
        <v>#REF!</v>
      </c>
      <c r="O152" s="46" t="e">
        <f>IF(ISBLANK(Data!#REF!),"",Data!#REF!)</f>
        <v>#REF!</v>
      </c>
      <c r="P152" s="46" t="e">
        <f>IF(ISBLANK(Data!#REF!),"",Data!#REF!)</f>
        <v>#REF!</v>
      </c>
      <c r="Q152" s="46" t="e">
        <f t="shared" si="2"/>
        <v>#REF!</v>
      </c>
      <c r="R152" s="47" t="e">
        <f>IF(ISBLANK(Data!#REF!),"",Data!#REF!)</f>
        <v>#REF!</v>
      </c>
      <c r="S152" s="33" t="e">
        <f>IF(ISBLANK(Data!#REF!),"",Data!#REF!)</f>
        <v>#REF!</v>
      </c>
      <c r="T152" s="33" t="e">
        <f>IF(ISBLANK(Data!#REF!),"",Data!#REF!)</f>
        <v>#REF!</v>
      </c>
      <c r="U152" s="21" t="e">
        <f>IF(ISBLANK(Data!#REF!),"",Data!#REF!)</f>
        <v>#REF!</v>
      </c>
    </row>
    <row r="153" spans="1:21" x14ac:dyDescent="0.25">
      <c r="A153" s="33" t="e">
        <f>IF(ISBLANK(Data!#REF!),"",YEAR(Data!#REF!))</f>
        <v>#REF!</v>
      </c>
      <c r="B153" s="44" t="e">
        <f>IF(ISBLANK(Data!#REF!),"",Data!#REF!)</f>
        <v>#REF!</v>
      </c>
      <c r="C153" s="45" t="e">
        <f>IF(ISBLANK(Data!#REF!),"",Data!#REF!)</f>
        <v>#REF!</v>
      </c>
      <c r="D153" s="21" t="e">
        <f>IF(ISBLANK(Data!#REF!),"",Data!#REF!)</f>
        <v>#REF!</v>
      </c>
      <c r="E153" s="21" t="e">
        <f>IF(ISBLANK(Data!#REF!),"",Data!#REF!)</f>
        <v>#REF!</v>
      </c>
      <c r="F153" s="33" t="e">
        <f>IF(ISBLANK(Data!#REF!),"",Data!#REF!)</f>
        <v>#REF!</v>
      </c>
      <c r="G153" s="21" t="e">
        <f>IF(ISBLANK(Data!#REF!),"",Data!#REF!)</f>
        <v>#REF!</v>
      </c>
      <c r="H153" s="33" t="e">
        <f>IF(ISBLANK(Data!#REF!),"",Data!#REF!)</f>
        <v>#REF!</v>
      </c>
      <c r="I153" s="33" t="e">
        <f>IF(ISBLANK(Data!#REF!),"",Data!#REF!)</f>
        <v>#REF!</v>
      </c>
      <c r="J153" s="33" t="e">
        <f>IF(ISBLANK(Data!#REF!),"",Data!#REF!)</f>
        <v>#REF!</v>
      </c>
      <c r="K153" s="21" t="e">
        <f>IF(ISBLANK(Data!#REF!),"",Data!#REF!)</f>
        <v>#REF!</v>
      </c>
      <c r="L153" s="21" t="e">
        <f>IF(ISBLANK(Data!#REF!),"",Data!#REF!)</f>
        <v>#REF!</v>
      </c>
      <c r="N153" s="46" t="e">
        <f>IF(ISBLANK(Data!#REF!),"",Data!#REF!)</f>
        <v>#REF!</v>
      </c>
      <c r="O153" s="46" t="e">
        <f>IF(ISBLANK(Data!#REF!),"",Data!#REF!)</f>
        <v>#REF!</v>
      </c>
      <c r="P153" s="46" t="e">
        <f>IF(ISBLANK(Data!#REF!),"",Data!#REF!)</f>
        <v>#REF!</v>
      </c>
      <c r="Q153" s="46" t="e">
        <f t="shared" si="2"/>
        <v>#REF!</v>
      </c>
      <c r="R153" s="47" t="e">
        <f>IF(ISBLANK(Data!#REF!),"",Data!#REF!)</f>
        <v>#REF!</v>
      </c>
      <c r="S153" s="33" t="e">
        <f>IF(ISBLANK(Data!#REF!),"",Data!#REF!)</f>
        <v>#REF!</v>
      </c>
      <c r="T153" s="33" t="e">
        <f>IF(ISBLANK(Data!#REF!),"",Data!#REF!)</f>
        <v>#REF!</v>
      </c>
      <c r="U153" s="21" t="e">
        <f>IF(ISBLANK(Data!#REF!),"",Data!#REF!)</f>
        <v>#REF!</v>
      </c>
    </row>
    <row r="154" spans="1:21" x14ac:dyDescent="0.25">
      <c r="A154" s="33" t="e">
        <f>IF(ISBLANK(Data!#REF!),"",YEAR(Data!#REF!))</f>
        <v>#REF!</v>
      </c>
      <c r="B154" s="44" t="e">
        <f>IF(ISBLANK(Data!#REF!),"",Data!#REF!)</f>
        <v>#REF!</v>
      </c>
      <c r="C154" s="45" t="e">
        <f>IF(ISBLANK(Data!#REF!),"",Data!#REF!)</f>
        <v>#REF!</v>
      </c>
      <c r="D154" s="21" t="e">
        <f>IF(ISBLANK(Data!#REF!),"",Data!#REF!)</f>
        <v>#REF!</v>
      </c>
      <c r="E154" s="21" t="e">
        <f>IF(ISBLANK(Data!#REF!),"",Data!#REF!)</f>
        <v>#REF!</v>
      </c>
      <c r="F154" s="33" t="e">
        <f>IF(ISBLANK(Data!#REF!),"",Data!#REF!)</f>
        <v>#REF!</v>
      </c>
      <c r="G154" s="21" t="e">
        <f>IF(ISBLANK(Data!#REF!),"",Data!#REF!)</f>
        <v>#REF!</v>
      </c>
      <c r="H154" s="33" t="e">
        <f>IF(ISBLANK(Data!#REF!),"",Data!#REF!)</f>
        <v>#REF!</v>
      </c>
      <c r="I154" s="33" t="e">
        <f>IF(ISBLANK(Data!#REF!),"",Data!#REF!)</f>
        <v>#REF!</v>
      </c>
      <c r="J154" s="33" t="e">
        <f>IF(ISBLANK(Data!#REF!),"",Data!#REF!)</f>
        <v>#REF!</v>
      </c>
      <c r="K154" s="21" t="e">
        <f>IF(ISBLANK(Data!#REF!),"",Data!#REF!)</f>
        <v>#REF!</v>
      </c>
      <c r="L154" s="21" t="e">
        <f>IF(ISBLANK(Data!#REF!),"",Data!#REF!)</f>
        <v>#REF!</v>
      </c>
      <c r="N154" s="46" t="e">
        <f>IF(ISBLANK(Data!#REF!),"",Data!#REF!)</f>
        <v>#REF!</v>
      </c>
      <c r="O154" s="46" t="e">
        <f>IF(ISBLANK(Data!#REF!),"",Data!#REF!)</f>
        <v>#REF!</v>
      </c>
      <c r="P154" s="46" t="e">
        <f>IF(ISBLANK(Data!#REF!),"",Data!#REF!)</f>
        <v>#REF!</v>
      </c>
      <c r="Q154" s="46" t="e">
        <f t="shared" si="2"/>
        <v>#REF!</v>
      </c>
      <c r="R154" s="47" t="e">
        <f>IF(ISBLANK(Data!#REF!),"",Data!#REF!)</f>
        <v>#REF!</v>
      </c>
      <c r="S154" s="33" t="e">
        <f>IF(ISBLANK(Data!#REF!),"",Data!#REF!)</f>
        <v>#REF!</v>
      </c>
      <c r="T154" s="33" t="e">
        <f>IF(ISBLANK(Data!#REF!),"",Data!#REF!)</f>
        <v>#REF!</v>
      </c>
      <c r="U154" s="21" t="e">
        <f>IF(ISBLANK(Data!#REF!),"",Data!#REF!)</f>
        <v>#REF!</v>
      </c>
    </row>
    <row r="155" spans="1:21" x14ac:dyDescent="0.25">
      <c r="A155" s="33" t="e">
        <f>IF(ISBLANK(Data!#REF!),"",YEAR(Data!#REF!))</f>
        <v>#REF!</v>
      </c>
      <c r="B155" s="44" t="e">
        <f>IF(ISBLANK(Data!#REF!),"",Data!#REF!)</f>
        <v>#REF!</v>
      </c>
      <c r="C155" s="45" t="e">
        <f>IF(ISBLANK(Data!#REF!),"",Data!#REF!)</f>
        <v>#REF!</v>
      </c>
      <c r="D155" s="21" t="e">
        <f>IF(ISBLANK(Data!#REF!),"",Data!#REF!)</f>
        <v>#REF!</v>
      </c>
      <c r="E155" s="21" t="e">
        <f>IF(ISBLANK(Data!#REF!),"",Data!#REF!)</f>
        <v>#REF!</v>
      </c>
      <c r="F155" s="33" t="e">
        <f>IF(ISBLANK(Data!#REF!),"",Data!#REF!)</f>
        <v>#REF!</v>
      </c>
      <c r="G155" s="21" t="e">
        <f>IF(ISBLANK(Data!#REF!),"",Data!#REF!)</f>
        <v>#REF!</v>
      </c>
      <c r="H155" s="33" t="e">
        <f>IF(ISBLANK(Data!#REF!),"",Data!#REF!)</f>
        <v>#REF!</v>
      </c>
      <c r="I155" s="33" t="e">
        <f>IF(ISBLANK(Data!#REF!),"",Data!#REF!)</f>
        <v>#REF!</v>
      </c>
      <c r="J155" s="33" t="e">
        <f>IF(ISBLANK(Data!#REF!),"",Data!#REF!)</f>
        <v>#REF!</v>
      </c>
      <c r="K155" s="21" t="e">
        <f>IF(ISBLANK(Data!#REF!),"",Data!#REF!)</f>
        <v>#REF!</v>
      </c>
      <c r="L155" s="21" t="e">
        <f>IF(ISBLANK(Data!#REF!),"",Data!#REF!)</f>
        <v>#REF!</v>
      </c>
      <c r="N155" s="46" t="e">
        <f>IF(ISBLANK(Data!#REF!),"",Data!#REF!)</f>
        <v>#REF!</v>
      </c>
      <c r="O155" s="46" t="e">
        <f>IF(ISBLANK(Data!#REF!),"",Data!#REF!)</f>
        <v>#REF!</v>
      </c>
      <c r="P155" s="46" t="e">
        <f>IF(ISBLANK(Data!#REF!),"",Data!#REF!)</f>
        <v>#REF!</v>
      </c>
      <c r="Q155" s="46" t="e">
        <f t="shared" si="2"/>
        <v>#REF!</v>
      </c>
      <c r="R155" s="47" t="e">
        <f>IF(ISBLANK(Data!#REF!),"",Data!#REF!)</f>
        <v>#REF!</v>
      </c>
      <c r="S155" s="33" t="e">
        <f>IF(ISBLANK(Data!#REF!),"",Data!#REF!)</f>
        <v>#REF!</v>
      </c>
      <c r="T155" s="33" t="e">
        <f>IF(ISBLANK(Data!#REF!),"",Data!#REF!)</f>
        <v>#REF!</v>
      </c>
      <c r="U155" s="21" t="e">
        <f>IF(ISBLANK(Data!#REF!),"",Data!#REF!)</f>
        <v>#REF!</v>
      </c>
    </row>
    <row r="156" spans="1:21" x14ac:dyDescent="0.25">
      <c r="A156" s="33" t="e">
        <f>IF(ISBLANK(Data!#REF!),"",YEAR(Data!#REF!))</f>
        <v>#REF!</v>
      </c>
      <c r="B156" s="44" t="e">
        <f>IF(ISBLANK(Data!#REF!),"",Data!#REF!)</f>
        <v>#REF!</v>
      </c>
      <c r="C156" s="45" t="e">
        <f>IF(ISBLANK(Data!#REF!),"",Data!#REF!)</f>
        <v>#REF!</v>
      </c>
      <c r="D156" s="21" t="e">
        <f>IF(ISBLANK(Data!#REF!),"",Data!#REF!)</f>
        <v>#REF!</v>
      </c>
      <c r="E156" s="21" t="e">
        <f>IF(ISBLANK(Data!#REF!),"",Data!#REF!)</f>
        <v>#REF!</v>
      </c>
      <c r="F156" s="33" t="e">
        <f>IF(ISBLANK(Data!#REF!),"",Data!#REF!)</f>
        <v>#REF!</v>
      </c>
      <c r="G156" s="21" t="e">
        <f>IF(ISBLANK(Data!#REF!),"",Data!#REF!)</f>
        <v>#REF!</v>
      </c>
      <c r="H156" s="33" t="e">
        <f>IF(ISBLANK(Data!#REF!),"",Data!#REF!)</f>
        <v>#REF!</v>
      </c>
      <c r="I156" s="33" t="e">
        <f>IF(ISBLANK(Data!#REF!),"",Data!#REF!)</f>
        <v>#REF!</v>
      </c>
      <c r="J156" s="33" t="e">
        <f>IF(ISBLANK(Data!#REF!),"",Data!#REF!)</f>
        <v>#REF!</v>
      </c>
      <c r="K156" s="21" t="e">
        <f>IF(ISBLANK(Data!#REF!),"",Data!#REF!)</f>
        <v>#REF!</v>
      </c>
      <c r="L156" s="21" t="e">
        <f>IF(ISBLANK(Data!#REF!),"",Data!#REF!)</f>
        <v>#REF!</v>
      </c>
      <c r="N156" s="46" t="e">
        <f>IF(ISBLANK(Data!#REF!),"",Data!#REF!)</f>
        <v>#REF!</v>
      </c>
      <c r="O156" s="46" t="e">
        <f>IF(ISBLANK(Data!#REF!),"",Data!#REF!)</f>
        <v>#REF!</v>
      </c>
      <c r="P156" s="46" t="e">
        <f>IF(ISBLANK(Data!#REF!),"",Data!#REF!)</f>
        <v>#REF!</v>
      </c>
      <c r="Q156" s="46" t="e">
        <f t="shared" si="2"/>
        <v>#REF!</v>
      </c>
      <c r="R156" s="47" t="e">
        <f>IF(ISBLANK(Data!#REF!),"",Data!#REF!)</f>
        <v>#REF!</v>
      </c>
      <c r="S156" s="33" t="e">
        <f>IF(ISBLANK(Data!#REF!),"",Data!#REF!)</f>
        <v>#REF!</v>
      </c>
      <c r="T156" s="33" t="e">
        <f>IF(ISBLANK(Data!#REF!),"",Data!#REF!)</f>
        <v>#REF!</v>
      </c>
      <c r="U156" s="21" t="e">
        <f>IF(ISBLANK(Data!#REF!),"",Data!#REF!)</f>
        <v>#REF!</v>
      </c>
    </row>
    <row r="157" spans="1:21" x14ac:dyDescent="0.25">
      <c r="A157" s="33" t="e">
        <f>IF(ISBLANK(Data!#REF!),"",YEAR(Data!#REF!))</f>
        <v>#REF!</v>
      </c>
      <c r="B157" s="44" t="e">
        <f>IF(ISBLANK(Data!#REF!),"",Data!#REF!)</f>
        <v>#REF!</v>
      </c>
      <c r="C157" s="45" t="e">
        <f>IF(ISBLANK(Data!#REF!),"",Data!#REF!)</f>
        <v>#REF!</v>
      </c>
      <c r="D157" s="21" t="e">
        <f>IF(ISBLANK(Data!#REF!),"",Data!#REF!)</f>
        <v>#REF!</v>
      </c>
      <c r="E157" s="21" t="e">
        <f>IF(ISBLANK(Data!#REF!),"",Data!#REF!)</f>
        <v>#REF!</v>
      </c>
      <c r="F157" s="33" t="e">
        <f>IF(ISBLANK(Data!#REF!),"",Data!#REF!)</f>
        <v>#REF!</v>
      </c>
      <c r="G157" s="21" t="e">
        <f>IF(ISBLANK(Data!#REF!),"",Data!#REF!)</f>
        <v>#REF!</v>
      </c>
      <c r="H157" s="33" t="e">
        <f>IF(ISBLANK(Data!#REF!),"",Data!#REF!)</f>
        <v>#REF!</v>
      </c>
      <c r="I157" s="33" t="e">
        <f>IF(ISBLANK(Data!#REF!),"",Data!#REF!)</f>
        <v>#REF!</v>
      </c>
      <c r="J157" s="33" t="e">
        <f>IF(ISBLANK(Data!#REF!),"",Data!#REF!)</f>
        <v>#REF!</v>
      </c>
      <c r="K157" s="21" t="e">
        <f>IF(ISBLANK(Data!#REF!),"",Data!#REF!)</f>
        <v>#REF!</v>
      </c>
      <c r="L157" s="21" t="e">
        <f>IF(ISBLANK(Data!#REF!),"",Data!#REF!)</f>
        <v>#REF!</v>
      </c>
      <c r="N157" s="46" t="e">
        <f>IF(ISBLANK(Data!#REF!),"",Data!#REF!)</f>
        <v>#REF!</v>
      </c>
      <c r="O157" s="46" t="e">
        <f>IF(ISBLANK(Data!#REF!),"",Data!#REF!)</f>
        <v>#REF!</v>
      </c>
      <c r="P157" s="46" t="e">
        <f>IF(ISBLANK(Data!#REF!),"",Data!#REF!)</f>
        <v>#REF!</v>
      </c>
      <c r="Q157" s="46" t="e">
        <f t="shared" si="2"/>
        <v>#REF!</v>
      </c>
      <c r="R157" s="47" t="e">
        <f>IF(ISBLANK(Data!#REF!),"",Data!#REF!)</f>
        <v>#REF!</v>
      </c>
      <c r="S157" s="33" t="e">
        <f>IF(ISBLANK(Data!#REF!),"",Data!#REF!)</f>
        <v>#REF!</v>
      </c>
      <c r="T157" s="33" t="e">
        <f>IF(ISBLANK(Data!#REF!),"",Data!#REF!)</f>
        <v>#REF!</v>
      </c>
      <c r="U157" s="21" t="e">
        <f>IF(ISBLANK(Data!#REF!),"",Data!#REF!)</f>
        <v>#REF!</v>
      </c>
    </row>
    <row r="158" spans="1:21" x14ac:dyDescent="0.25">
      <c r="A158" s="33" t="e">
        <f>IF(ISBLANK(Data!#REF!),"",YEAR(Data!#REF!))</f>
        <v>#REF!</v>
      </c>
      <c r="B158" s="44" t="e">
        <f>IF(ISBLANK(Data!#REF!),"",Data!#REF!)</f>
        <v>#REF!</v>
      </c>
      <c r="C158" s="45" t="e">
        <f>IF(ISBLANK(Data!#REF!),"",Data!#REF!)</f>
        <v>#REF!</v>
      </c>
      <c r="D158" s="21" t="e">
        <f>IF(ISBLANK(Data!#REF!),"",Data!#REF!)</f>
        <v>#REF!</v>
      </c>
      <c r="E158" s="21" t="e">
        <f>IF(ISBLANK(Data!#REF!),"",Data!#REF!)</f>
        <v>#REF!</v>
      </c>
      <c r="F158" s="33" t="e">
        <f>IF(ISBLANK(Data!#REF!),"",Data!#REF!)</f>
        <v>#REF!</v>
      </c>
      <c r="G158" s="21" t="e">
        <f>IF(ISBLANK(Data!#REF!),"",Data!#REF!)</f>
        <v>#REF!</v>
      </c>
      <c r="H158" s="33" t="e">
        <f>IF(ISBLANK(Data!#REF!),"",Data!#REF!)</f>
        <v>#REF!</v>
      </c>
      <c r="I158" s="33" t="e">
        <f>IF(ISBLANK(Data!#REF!),"",Data!#REF!)</f>
        <v>#REF!</v>
      </c>
      <c r="J158" s="33" t="e">
        <f>IF(ISBLANK(Data!#REF!),"",Data!#REF!)</f>
        <v>#REF!</v>
      </c>
      <c r="K158" s="21" t="e">
        <f>IF(ISBLANK(Data!#REF!),"",Data!#REF!)</f>
        <v>#REF!</v>
      </c>
      <c r="L158" s="21" t="e">
        <f>IF(ISBLANK(Data!#REF!),"",Data!#REF!)</f>
        <v>#REF!</v>
      </c>
      <c r="N158" s="46" t="e">
        <f>IF(ISBLANK(Data!#REF!),"",Data!#REF!)</f>
        <v>#REF!</v>
      </c>
      <c r="O158" s="46" t="e">
        <f>IF(ISBLANK(Data!#REF!),"",Data!#REF!)</f>
        <v>#REF!</v>
      </c>
      <c r="P158" s="46" t="e">
        <f>IF(ISBLANK(Data!#REF!),"",Data!#REF!)</f>
        <v>#REF!</v>
      </c>
      <c r="Q158" s="46" t="e">
        <f t="shared" si="2"/>
        <v>#REF!</v>
      </c>
      <c r="R158" s="47" t="e">
        <f>IF(ISBLANK(Data!#REF!),"",Data!#REF!)</f>
        <v>#REF!</v>
      </c>
      <c r="S158" s="33" t="e">
        <f>IF(ISBLANK(Data!#REF!),"",Data!#REF!)</f>
        <v>#REF!</v>
      </c>
      <c r="T158" s="33" t="e">
        <f>IF(ISBLANK(Data!#REF!),"",Data!#REF!)</f>
        <v>#REF!</v>
      </c>
      <c r="U158" s="21" t="e">
        <f>IF(ISBLANK(Data!#REF!),"",Data!#REF!)</f>
        <v>#REF!</v>
      </c>
    </row>
    <row r="159" spans="1:21" x14ac:dyDescent="0.25">
      <c r="A159" s="33" t="e">
        <f>IF(ISBLANK(Data!#REF!),"",YEAR(Data!#REF!))</f>
        <v>#REF!</v>
      </c>
      <c r="B159" s="44" t="e">
        <f>IF(ISBLANK(Data!#REF!),"",Data!#REF!)</f>
        <v>#REF!</v>
      </c>
      <c r="C159" s="45" t="e">
        <f>IF(ISBLANK(Data!#REF!),"",Data!#REF!)</f>
        <v>#REF!</v>
      </c>
      <c r="D159" s="21" t="e">
        <f>IF(ISBLANK(Data!#REF!),"",Data!#REF!)</f>
        <v>#REF!</v>
      </c>
      <c r="E159" s="21" t="e">
        <f>IF(ISBLANK(Data!#REF!),"",Data!#REF!)</f>
        <v>#REF!</v>
      </c>
      <c r="F159" s="33" t="e">
        <f>IF(ISBLANK(Data!#REF!),"",Data!#REF!)</f>
        <v>#REF!</v>
      </c>
      <c r="G159" s="21" t="e">
        <f>IF(ISBLANK(Data!#REF!),"",Data!#REF!)</f>
        <v>#REF!</v>
      </c>
      <c r="H159" s="33" t="e">
        <f>IF(ISBLANK(Data!#REF!),"",Data!#REF!)</f>
        <v>#REF!</v>
      </c>
      <c r="I159" s="33" t="e">
        <f>IF(ISBLANK(Data!#REF!),"",Data!#REF!)</f>
        <v>#REF!</v>
      </c>
      <c r="J159" s="33" t="e">
        <f>IF(ISBLANK(Data!#REF!),"",Data!#REF!)</f>
        <v>#REF!</v>
      </c>
      <c r="K159" s="21" t="e">
        <f>IF(ISBLANK(Data!#REF!),"",Data!#REF!)</f>
        <v>#REF!</v>
      </c>
      <c r="L159" s="21" t="e">
        <f>IF(ISBLANK(Data!#REF!),"",Data!#REF!)</f>
        <v>#REF!</v>
      </c>
      <c r="N159" s="46" t="e">
        <f>IF(ISBLANK(Data!#REF!),"",Data!#REF!)</f>
        <v>#REF!</v>
      </c>
      <c r="O159" s="46" t="e">
        <f>IF(ISBLANK(Data!#REF!),"",Data!#REF!)</f>
        <v>#REF!</v>
      </c>
      <c r="P159" s="46" t="e">
        <f>IF(ISBLANK(Data!#REF!),"",Data!#REF!)</f>
        <v>#REF!</v>
      </c>
      <c r="Q159" s="46" t="e">
        <f t="shared" si="2"/>
        <v>#REF!</v>
      </c>
      <c r="R159" s="47" t="e">
        <f>IF(ISBLANK(Data!#REF!),"",Data!#REF!)</f>
        <v>#REF!</v>
      </c>
      <c r="S159" s="33" t="e">
        <f>IF(ISBLANK(Data!#REF!),"",Data!#REF!)</f>
        <v>#REF!</v>
      </c>
      <c r="T159" s="33" t="e">
        <f>IF(ISBLANK(Data!#REF!),"",Data!#REF!)</f>
        <v>#REF!</v>
      </c>
      <c r="U159" s="21" t="e">
        <f>IF(ISBLANK(Data!#REF!),"",Data!#REF!)</f>
        <v>#REF!</v>
      </c>
    </row>
    <row r="160" spans="1:21" x14ac:dyDescent="0.25">
      <c r="A160" s="33" t="e">
        <f>IF(ISBLANK(Data!#REF!),"",YEAR(Data!#REF!))</f>
        <v>#REF!</v>
      </c>
      <c r="B160" s="44" t="e">
        <f>IF(ISBLANK(Data!#REF!),"",Data!#REF!)</f>
        <v>#REF!</v>
      </c>
      <c r="C160" s="45" t="e">
        <f>IF(ISBLANK(Data!#REF!),"",Data!#REF!)</f>
        <v>#REF!</v>
      </c>
      <c r="D160" s="21" t="e">
        <f>IF(ISBLANK(Data!#REF!),"",Data!#REF!)</f>
        <v>#REF!</v>
      </c>
      <c r="E160" s="21" t="e">
        <f>IF(ISBLANK(Data!#REF!),"",Data!#REF!)</f>
        <v>#REF!</v>
      </c>
      <c r="F160" s="33" t="e">
        <f>IF(ISBLANK(Data!#REF!),"",Data!#REF!)</f>
        <v>#REF!</v>
      </c>
      <c r="G160" s="21" t="e">
        <f>IF(ISBLANK(Data!#REF!),"",Data!#REF!)</f>
        <v>#REF!</v>
      </c>
      <c r="H160" s="33" t="e">
        <f>IF(ISBLANK(Data!#REF!),"",Data!#REF!)</f>
        <v>#REF!</v>
      </c>
      <c r="I160" s="33" t="e">
        <f>IF(ISBLANK(Data!#REF!),"",Data!#REF!)</f>
        <v>#REF!</v>
      </c>
      <c r="J160" s="33" t="e">
        <f>IF(ISBLANK(Data!#REF!),"",Data!#REF!)</f>
        <v>#REF!</v>
      </c>
      <c r="K160" s="21" t="e">
        <f>IF(ISBLANK(Data!#REF!),"",Data!#REF!)</f>
        <v>#REF!</v>
      </c>
      <c r="L160" s="21" t="e">
        <f>IF(ISBLANK(Data!#REF!),"",Data!#REF!)</f>
        <v>#REF!</v>
      </c>
      <c r="N160" s="46" t="e">
        <f>IF(ISBLANK(Data!#REF!),"",Data!#REF!)</f>
        <v>#REF!</v>
      </c>
      <c r="O160" s="46" t="e">
        <f>IF(ISBLANK(Data!#REF!),"",Data!#REF!)</f>
        <v>#REF!</v>
      </c>
      <c r="P160" s="46" t="e">
        <f>IF(ISBLANK(Data!#REF!),"",Data!#REF!)</f>
        <v>#REF!</v>
      </c>
      <c r="Q160" s="46" t="e">
        <f t="shared" si="2"/>
        <v>#REF!</v>
      </c>
      <c r="R160" s="47" t="e">
        <f>IF(ISBLANK(Data!#REF!),"",Data!#REF!)</f>
        <v>#REF!</v>
      </c>
      <c r="S160" s="33" t="e">
        <f>IF(ISBLANK(Data!#REF!),"",Data!#REF!)</f>
        <v>#REF!</v>
      </c>
      <c r="T160" s="33" t="e">
        <f>IF(ISBLANK(Data!#REF!),"",Data!#REF!)</f>
        <v>#REF!</v>
      </c>
      <c r="U160" s="21" t="e">
        <f>IF(ISBLANK(Data!#REF!),"",Data!#REF!)</f>
        <v>#REF!</v>
      </c>
    </row>
    <row r="161" spans="1:21" x14ac:dyDescent="0.25">
      <c r="A161" s="33" t="e">
        <f>IF(ISBLANK(Data!#REF!),"",YEAR(Data!#REF!))</f>
        <v>#REF!</v>
      </c>
      <c r="B161" s="44" t="e">
        <f>IF(ISBLANK(Data!#REF!),"",Data!#REF!)</f>
        <v>#REF!</v>
      </c>
      <c r="C161" s="45" t="e">
        <f>IF(ISBLANK(Data!#REF!),"",Data!#REF!)</f>
        <v>#REF!</v>
      </c>
      <c r="D161" s="21" t="e">
        <f>IF(ISBLANK(Data!#REF!),"",Data!#REF!)</f>
        <v>#REF!</v>
      </c>
      <c r="E161" s="21" t="e">
        <f>IF(ISBLANK(Data!#REF!),"",Data!#REF!)</f>
        <v>#REF!</v>
      </c>
      <c r="F161" s="33" t="e">
        <f>IF(ISBLANK(Data!#REF!),"",Data!#REF!)</f>
        <v>#REF!</v>
      </c>
      <c r="G161" s="21" t="e">
        <f>IF(ISBLANK(Data!#REF!),"",Data!#REF!)</f>
        <v>#REF!</v>
      </c>
      <c r="H161" s="33" t="e">
        <f>IF(ISBLANK(Data!#REF!),"",Data!#REF!)</f>
        <v>#REF!</v>
      </c>
      <c r="I161" s="33" t="e">
        <f>IF(ISBLANK(Data!#REF!),"",Data!#REF!)</f>
        <v>#REF!</v>
      </c>
      <c r="J161" s="33" t="e">
        <f>IF(ISBLANK(Data!#REF!),"",Data!#REF!)</f>
        <v>#REF!</v>
      </c>
      <c r="K161" s="21" t="e">
        <f>IF(ISBLANK(Data!#REF!),"",Data!#REF!)</f>
        <v>#REF!</v>
      </c>
      <c r="L161" s="21" t="e">
        <f>IF(ISBLANK(Data!#REF!),"",Data!#REF!)</f>
        <v>#REF!</v>
      </c>
      <c r="N161" s="46" t="e">
        <f>IF(ISBLANK(Data!#REF!),"",Data!#REF!)</f>
        <v>#REF!</v>
      </c>
      <c r="O161" s="46" t="e">
        <f>IF(ISBLANK(Data!#REF!),"",Data!#REF!)</f>
        <v>#REF!</v>
      </c>
      <c r="P161" s="46" t="e">
        <f>IF(ISBLANK(Data!#REF!),"",Data!#REF!)</f>
        <v>#REF!</v>
      </c>
      <c r="Q161" s="46" t="e">
        <f t="shared" si="2"/>
        <v>#REF!</v>
      </c>
      <c r="R161" s="47" t="e">
        <f>IF(ISBLANK(Data!#REF!),"",Data!#REF!)</f>
        <v>#REF!</v>
      </c>
      <c r="S161" s="33" t="e">
        <f>IF(ISBLANK(Data!#REF!),"",Data!#REF!)</f>
        <v>#REF!</v>
      </c>
      <c r="T161" s="33" t="e">
        <f>IF(ISBLANK(Data!#REF!),"",Data!#REF!)</f>
        <v>#REF!</v>
      </c>
      <c r="U161" s="21" t="e">
        <f>IF(ISBLANK(Data!#REF!),"",Data!#REF!)</f>
        <v>#REF!</v>
      </c>
    </row>
    <row r="162" spans="1:21" x14ac:dyDescent="0.25">
      <c r="A162" s="33" t="e">
        <f>IF(ISBLANK(Data!#REF!),"",YEAR(Data!#REF!))</f>
        <v>#REF!</v>
      </c>
      <c r="B162" s="44" t="e">
        <f>IF(ISBLANK(Data!#REF!),"",Data!#REF!)</f>
        <v>#REF!</v>
      </c>
      <c r="C162" s="45" t="e">
        <f>IF(ISBLANK(Data!#REF!),"",Data!#REF!)</f>
        <v>#REF!</v>
      </c>
      <c r="D162" s="21" t="e">
        <f>IF(ISBLANK(Data!#REF!),"",Data!#REF!)</f>
        <v>#REF!</v>
      </c>
      <c r="E162" s="21" t="e">
        <f>IF(ISBLANK(Data!#REF!),"",Data!#REF!)</f>
        <v>#REF!</v>
      </c>
      <c r="F162" s="33" t="e">
        <f>IF(ISBLANK(Data!#REF!),"",Data!#REF!)</f>
        <v>#REF!</v>
      </c>
      <c r="G162" s="21" t="e">
        <f>IF(ISBLANK(Data!#REF!),"",Data!#REF!)</f>
        <v>#REF!</v>
      </c>
      <c r="H162" s="33" t="e">
        <f>IF(ISBLANK(Data!#REF!),"",Data!#REF!)</f>
        <v>#REF!</v>
      </c>
      <c r="I162" s="33" t="e">
        <f>IF(ISBLANK(Data!#REF!),"",Data!#REF!)</f>
        <v>#REF!</v>
      </c>
      <c r="J162" s="33" t="e">
        <f>IF(ISBLANK(Data!#REF!),"",Data!#REF!)</f>
        <v>#REF!</v>
      </c>
      <c r="K162" s="21" t="e">
        <f>IF(ISBLANK(Data!#REF!),"",Data!#REF!)</f>
        <v>#REF!</v>
      </c>
      <c r="L162" s="21" t="e">
        <f>IF(ISBLANK(Data!#REF!),"",Data!#REF!)</f>
        <v>#REF!</v>
      </c>
      <c r="N162" s="46" t="e">
        <f>IF(ISBLANK(Data!#REF!),"",Data!#REF!)</f>
        <v>#REF!</v>
      </c>
      <c r="O162" s="46" t="e">
        <f>IF(ISBLANK(Data!#REF!),"",Data!#REF!)</f>
        <v>#REF!</v>
      </c>
      <c r="P162" s="46" t="e">
        <f>IF(ISBLANK(Data!#REF!),"",Data!#REF!)</f>
        <v>#REF!</v>
      </c>
      <c r="Q162" s="46" t="e">
        <f t="shared" si="2"/>
        <v>#REF!</v>
      </c>
      <c r="R162" s="47" t="e">
        <f>IF(ISBLANK(Data!#REF!),"",Data!#REF!)</f>
        <v>#REF!</v>
      </c>
      <c r="S162" s="33" t="e">
        <f>IF(ISBLANK(Data!#REF!),"",Data!#REF!)</f>
        <v>#REF!</v>
      </c>
      <c r="T162" s="33" t="e">
        <f>IF(ISBLANK(Data!#REF!),"",Data!#REF!)</f>
        <v>#REF!</v>
      </c>
      <c r="U162" s="21" t="e">
        <f>IF(ISBLANK(Data!#REF!),"",Data!#REF!)</f>
        <v>#REF!</v>
      </c>
    </row>
    <row r="163" spans="1:21" x14ac:dyDescent="0.25">
      <c r="A163" s="33" t="e">
        <f>IF(ISBLANK(Data!#REF!),"",YEAR(Data!#REF!))</f>
        <v>#REF!</v>
      </c>
      <c r="B163" s="44" t="e">
        <f>IF(ISBLANK(Data!#REF!),"",Data!#REF!)</f>
        <v>#REF!</v>
      </c>
      <c r="C163" s="45" t="e">
        <f>IF(ISBLANK(Data!#REF!),"",Data!#REF!)</f>
        <v>#REF!</v>
      </c>
      <c r="D163" s="21" t="e">
        <f>IF(ISBLANK(Data!#REF!),"",Data!#REF!)</f>
        <v>#REF!</v>
      </c>
      <c r="E163" s="21" t="e">
        <f>IF(ISBLANK(Data!#REF!),"",Data!#REF!)</f>
        <v>#REF!</v>
      </c>
      <c r="F163" s="33" t="e">
        <f>IF(ISBLANK(Data!#REF!),"",Data!#REF!)</f>
        <v>#REF!</v>
      </c>
      <c r="G163" s="21" t="e">
        <f>IF(ISBLANK(Data!#REF!),"",Data!#REF!)</f>
        <v>#REF!</v>
      </c>
      <c r="H163" s="33" t="e">
        <f>IF(ISBLANK(Data!#REF!),"",Data!#REF!)</f>
        <v>#REF!</v>
      </c>
      <c r="I163" s="33" t="e">
        <f>IF(ISBLANK(Data!#REF!),"",Data!#REF!)</f>
        <v>#REF!</v>
      </c>
      <c r="J163" s="33" t="e">
        <f>IF(ISBLANK(Data!#REF!),"",Data!#REF!)</f>
        <v>#REF!</v>
      </c>
      <c r="K163" s="21" t="e">
        <f>IF(ISBLANK(Data!#REF!),"",Data!#REF!)</f>
        <v>#REF!</v>
      </c>
      <c r="L163" s="21" t="e">
        <f>IF(ISBLANK(Data!#REF!),"",Data!#REF!)</f>
        <v>#REF!</v>
      </c>
      <c r="N163" s="46" t="e">
        <f>IF(ISBLANK(Data!#REF!),"",Data!#REF!)</f>
        <v>#REF!</v>
      </c>
      <c r="O163" s="46" t="e">
        <f>IF(ISBLANK(Data!#REF!),"",Data!#REF!)</f>
        <v>#REF!</v>
      </c>
      <c r="P163" s="46" t="e">
        <f>IF(ISBLANK(Data!#REF!),"",Data!#REF!)</f>
        <v>#REF!</v>
      </c>
      <c r="Q163" s="46" t="e">
        <f t="shared" si="2"/>
        <v>#REF!</v>
      </c>
      <c r="R163" s="47" t="e">
        <f>IF(ISBLANK(Data!#REF!),"",Data!#REF!)</f>
        <v>#REF!</v>
      </c>
      <c r="S163" s="33" t="e">
        <f>IF(ISBLANK(Data!#REF!),"",Data!#REF!)</f>
        <v>#REF!</v>
      </c>
      <c r="T163" s="33" t="e">
        <f>IF(ISBLANK(Data!#REF!),"",Data!#REF!)</f>
        <v>#REF!</v>
      </c>
      <c r="U163" s="21" t="e">
        <f>IF(ISBLANK(Data!#REF!),"",Data!#REF!)</f>
        <v>#REF!</v>
      </c>
    </row>
    <row r="164" spans="1:21" x14ac:dyDescent="0.25">
      <c r="A164" s="33" t="e">
        <f>IF(ISBLANK(Data!#REF!),"",YEAR(Data!#REF!))</f>
        <v>#REF!</v>
      </c>
      <c r="B164" s="44" t="e">
        <f>IF(ISBLANK(Data!#REF!),"",Data!#REF!)</f>
        <v>#REF!</v>
      </c>
      <c r="C164" s="45" t="e">
        <f>IF(ISBLANK(Data!#REF!),"",Data!#REF!)</f>
        <v>#REF!</v>
      </c>
      <c r="D164" s="21" t="e">
        <f>IF(ISBLANK(Data!#REF!),"",Data!#REF!)</f>
        <v>#REF!</v>
      </c>
      <c r="E164" s="21" t="e">
        <f>IF(ISBLANK(Data!#REF!),"",Data!#REF!)</f>
        <v>#REF!</v>
      </c>
      <c r="F164" s="33" t="e">
        <f>IF(ISBLANK(Data!#REF!),"",Data!#REF!)</f>
        <v>#REF!</v>
      </c>
      <c r="G164" s="21" t="e">
        <f>IF(ISBLANK(Data!#REF!),"",Data!#REF!)</f>
        <v>#REF!</v>
      </c>
      <c r="H164" s="33" t="e">
        <f>IF(ISBLANK(Data!#REF!),"",Data!#REF!)</f>
        <v>#REF!</v>
      </c>
      <c r="I164" s="33" t="e">
        <f>IF(ISBLANK(Data!#REF!),"",Data!#REF!)</f>
        <v>#REF!</v>
      </c>
      <c r="J164" s="33" t="e">
        <f>IF(ISBLANK(Data!#REF!),"",Data!#REF!)</f>
        <v>#REF!</v>
      </c>
      <c r="K164" s="21" t="e">
        <f>IF(ISBLANK(Data!#REF!),"",Data!#REF!)</f>
        <v>#REF!</v>
      </c>
      <c r="L164" s="21" t="e">
        <f>IF(ISBLANK(Data!#REF!),"",Data!#REF!)</f>
        <v>#REF!</v>
      </c>
      <c r="N164" s="46" t="e">
        <f>IF(ISBLANK(Data!#REF!),"",Data!#REF!)</f>
        <v>#REF!</v>
      </c>
      <c r="O164" s="46" t="e">
        <f>IF(ISBLANK(Data!#REF!),"",Data!#REF!)</f>
        <v>#REF!</v>
      </c>
      <c r="P164" s="46" t="e">
        <f>IF(ISBLANK(Data!#REF!),"",Data!#REF!)</f>
        <v>#REF!</v>
      </c>
      <c r="Q164" s="46" t="e">
        <f t="shared" si="2"/>
        <v>#REF!</v>
      </c>
      <c r="R164" s="47" t="e">
        <f>IF(ISBLANK(Data!#REF!),"",Data!#REF!)</f>
        <v>#REF!</v>
      </c>
      <c r="S164" s="33" t="e">
        <f>IF(ISBLANK(Data!#REF!),"",Data!#REF!)</f>
        <v>#REF!</v>
      </c>
      <c r="T164" s="33" t="e">
        <f>IF(ISBLANK(Data!#REF!),"",Data!#REF!)</f>
        <v>#REF!</v>
      </c>
      <c r="U164" s="21" t="e">
        <f>IF(ISBLANK(Data!#REF!),"",Data!#REF!)</f>
        <v>#REF!</v>
      </c>
    </row>
    <row r="165" spans="1:21" x14ac:dyDescent="0.25">
      <c r="A165" s="33" t="e">
        <f>IF(ISBLANK(Data!#REF!),"",YEAR(Data!#REF!))</f>
        <v>#REF!</v>
      </c>
      <c r="B165" s="44" t="e">
        <f>IF(ISBLANK(Data!#REF!),"",Data!#REF!)</f>
        <v>#REF!</v>
      </c>
      <c r="C165" s="45" t="e">
        <f>IF(ISBLANK(Data!#REF!),"",Data!#REF!)</f>
        <v>#REF!</v>
      </c>
      <c r="D165" s="21" t="e">
        <f>IF(ISBLANK(Data!#REF!),"",Data!#REF!)</f>
        <v>#REF!</v>
      </c>
      <c r="E165" s="21" t="e">
        <f>IF(ISBLANK(Data!#REF!),"",Data!#REF!)</f>
        <v>#REF!</v>
      </c>
      <c r="F165" s="33" t="e">
        <f>IF(ISBLANK(Data!#REF!),"",Data!#REF!)</f>
        <v>#REF!</v>
      </c>
      <c r="G165" s="21" t="e">
        <f>IF(ISBLANK(Data!#REF!),"",Data!#REF!)</f>
        <v>#REF!</v>
      </c>
      <c r="H165" s="33" t="e">
        <f>IF(ISBLANK(Data!#REF!),"",Data!#REF!)</f>
        <v>#REF!</v>
      </c>
      <c r="I165" s="33" t="e">
        <f>IF(ISBLANK(Data!#REF!),"",Data!#REF!)</f>
        <v>#REF!</v>
      </c>
      <c r="J165" s="33" t="e">
        <f>IF(ISBLANK(Data!#REF!),"",Data!#REF!)</f>
        <v>#REF!</v>
      </c>
      <c r="K165" s="21" t="e">
        <f>IF(ISBLANK(Data!#REF!),"",Data!#REF!)</f>
        <v>#REF!</v>
      </c>
      <c r="L165" s="21" t="e">
        <f>IF(ISBLANK(Data!#REF!),"",Data!#REF!)</f>
        <v>#REF!</v>
      </c>
      <c r="N165" s="46" t="e">
        <f>IF(ISBLANK(Data!#REF!),"",Data!#REF!)</f>
        <v>#REF!</v>
      </c>
      <c r="O165" s="46" t="e">
        <f>IF(ISBLANK(Data!#REF!),"",Data!#REF!)</f>
        <v>#REF!</v>
      </c>
      <c r="P165" s="46" t="e">
        <f>IF(ISBLANK(Data!#REF!),"",Data!#REF!)</f>
        <v>#REF!</v>
      </c>
      <c r="Q165" s="46" t="e">
        <f t="shared" si="2"/>
        <v>#REF!</v>
      </c>
      <c r="R165" s="47" t="e">
        <f>IF(ISBLANK(Data!#REF!),"",Data!#REF!)</f>
        <v>#REF!</v>
      </c>
      <c r="S165" s="33" t="e">
        <f>IF(ISBLANK(Data!#REF!),"",Data!#REF!)</f>
        <v>#REF!</v>
      </c>
      <c r="T165" s="33" t="e">
        <f>IF(ISBLANK(Data!#REF!),"",Data!#REF!)</f>
        <v>#REF!</v>
      </c>
      <c r="U165" s="21" t="e">
        <f>IF(ISBLANK(Data!#REF!),"",Data!#REF!)</f>
        <v>#REF!</v>
      </c>
    </row>
    <row r="166" spans="1:21" x14ac:dyDescent="0.25">
      <c r="A166" s="33" t="e">
        <f>IF(ISBLANK(Data!#REF!),"",YEAR(Data!#REF!))</f>
        <v>#REF!</v>
      </c>
      <c r="B166" s="44" t="e">
        <f>IF(ISBLANK(Data!#REF!),"",Data!#REF!)</f>
        <v>#REF!</v>
      </c>
      <c r="C166" s="45" t="e">
        <f>IF(ISBLANK(Data!#REF!),"",Data!#REF!)</f>
        <v>#REF!</v>
      </c>
      <c r="D166" s="21" t="e">
        <f>IF(ISBLANK(Data!#REF!),"",Data!#REF!)</f>
        <v>#REF!</v>
      </c>
      <c r="E166" s="21" t="e">
        <f>IF(ISBLANK(Data!#REF!),"",Data!#REF!)</f>
        <v>#REF!</v>
      </c>
      <c r="F166" s="33" t="e">
        <f>IF(ISBLANK(Data!#REF!),"",Data!#REF!)</f>
        <v>#REF!</v>
      </c>
      <c r="G166" s="21" t="e">
        <f>IF(ISBLANK(Data!#REF!),"",Data!#REF!)</f>
        <v>#REF!</v>
      </c>
      <c r="H166" s="33" t="e">
        <f>IF(ISBLANK(Data!#REF!),"",Data!#REF!)</f>
        <v>#REF!</v>
      </c>
      <c r="I166" s="33" t="e">
        <f>IF(ISBLANK(Data!#REF!),"",Data!#REF!)</f>
        <v>#REF!</v>
      </c>
      <c r="J166" s="33" t="e">
        <f>IF(ISBLANK(Data!#REF!),"",Data!#REF!)</f>
        <v>#REF!</v>
      </c>
      <c r="K166" s="21" t="e">
        <f>IF(ISBLANK(Data!#REF!),"",Data!#REF!)</f>
        <v>#REF!</v>
      </c>
      <c r="L166" s="21" t="e">
        <f>IF(ISBLANK(Data!#REF!),"",Data!#REF!)</f>
        <v>#REF!</v>
      </c>
      <c r="N166" s="46" t="e">
        <f>IF(ISBLANK(Data!#REF!),"",Data!#REF!)</f>
        <v>#REF!</v>
      </c>
      <c r="O166" s="46" t="e">
        <f>IF(ISBLANK(Data!#REF!),"",Data!#REF!)</f>
        <v>#REF!</v>
      </c>
      <c r="P166" s="46" t="e">
        <f>IF(ISBLANK(Data!#REF!),"",Data!#REF!)</f>
        <v>#REF!</v>
      </c>
      <c r="Q166" s="46" t="e">
        <f t="shared" si="2"/>
        <v>#REF!</v>
      </c>
      <c r="R166" s="47" t="e">
        <f>IF(ISBLANK(Data!#REF!),"",Data!#REF!)</f>
        <v>#REF!</v>
      </c>
      <c r="S166" s="33" t="e">
        <f>IF(ISBLANK(Data!#REF!),"",Data!#REF!)</f>
        <v>#REF!</v>
      </c>
      <c r="T166" s="33" t="e">
        <f>IF(ISBLANK(Data!#REF!),"",Data!#REF!)</f>
        <v>#REF!</v>
      </c>
      <c r="U166" s="21" t="e">
        <f>IF(ISBLANK(Data!#REF!),"",Data!#REF!)</f>
        <v>#REF!</v>
      </c>
    </row>
    <row r="167" spans="1:21" x14ac:dyDescent="0.25">
      <c r="A167" s="33" t="e">
        <f>IF(ISBLANK(Data!#REF!),"",YEAR(Data!#REF!))</f>
        <v>#REF!</v>
      </c>
      <c r="B167" s="44" t="e">
        <f>IF(ISBLANK(Data!#REF!),"",Data!#REF!)</f>
        <v>#REF!</v>
      </c>
      <c r="C167" s="45" t="e">
        <f>IF(ISBLANK(Data!#REF!),"",Data!#REF!)</f>
        <v>#REF!</v>
      </c>
      <c r="D167" s="21" t="e">
        <f>IF(ISBLANK(Data!#REF!),"",Data!#REF!)</f>
        <v>#REF!</v>
      </c>
      <c r="E167" s="21" t="e">
        <f>IF(ISBLANK(Data!#REF!),"",Data!#REF!)</f>
        <v>#REF!</v>
      </c>
      <c r="F167" s="33" t="e">
        <f>IF(ISBLANK(Data!#REF!),"",Data!#REF!)</f>
        <v>#REF!</v>
      </c>
      <c r="G167" s="21" t="e">
        <f>IF(ISBLANK(Data!#REF!),"",Data!#REF!)</f>
        <v>#REF!</v>
      </c>
      <c r="H167" s="33" t="e">
        <f>IF(ISBLANK(Data!#REF!),"",Data!#REF!)</f>
        <v>#REF!</v>
      </c>
      <c r="I167" s="33" t="e">
        <f>IF(ISBLANK(Data!#REF!),"",Data!#REF!)</f>
        <v>#REF!</v>
      </c>
      <c r="J167" s="33" t="e">
        <f>IF(ISBLANK(Data!#REF!),"",Data!#REF!)</f>
        <v>#REF!</v>
      </c>
      <c r="K167" s="21" t="e">
        <f>IF(ISBLANK(Data!#REF!),"",Data!#REF!)</f>
        <v>#REF!</v>
      </c>
      <c r="L167" s="21" t="e">
        <f>IF(ISBLANK(Data!#REF!),"",Data!#REF!)</f>
        <v>#REF!</v>
      </c>
      <c r="N167" s="46" t="e">
        <f>IF(ISBLANK(Data!#REF!),"",Data!#REF!)</f>
        <v>#REF!</v>
      </c>
      <c r="O167" s="46" t="e">
        <f>IF(ISBLANK(Data!#REF!),"",Data!#REF!)</f>
        <v>#REF!</v>
      </c>
      <c r="P167" s="46" t="e">
        <f>IF(ISBLANK(Data!#REF!),"",Data!#REF!)</f>
        <v>#REF!</v>
      </c>
      <c r="Q167" s="46" t="e">
        <f t="shared" si="2"/>
        <v>#REF!</v>
      </c>
      <c r="R167" s="47" t="e">
        <f>IF(ISBLANK(Data!#REF!),"",Data!#REF!)</f>
        <v>#REF!</v>
      </c>
      <c r="S167" s="33" t="e">
        <f>IF(ISBLANK(Data!#REF!),"",Data!#REF!)</f>
        <v>#REF!</v>
      </c>
      <c r="T167" s="33" t="e">
        <f>IF(ISBLANK(Data!#REF!),"",Data!#REF!)</f>
        <v>#REF!</v>
      </c>
      <c r="U167" s="21" t="e">
        <f>IF(ISBLANK(Data!#REF!),"",Data!#REF!)</f>
        <v>#REF!</v>
      </c>
    </row>
    <row r="168" spans="1:21" x14ac:dyDescent="0.25">
      <c r="A168" s="33" t="e">
        <f>IF(ISBLANK(Data!#REF!),"",YEAR(Data!#REF!))</f>
        <v>#REF!</v>
      </c>
      <c r="B168" s="44" t="e">
        <f>IF(ISBLANK(Data!#REF!),"",Data!#REF!)</f>
        <v>#REF!</v>
      </c>
      <c r="C168" s="45" t="e">
        <f>IF(ISBLANK(Data!#REF!),"",Data!#REF!)</f>
        <v>#REF!</v>
      </c>
      <c r="D168" s="21" t="e">
        <f>IF(ISBLANK(Data!#REF!),"",Data!#REF!)</f>
        <v>#REF!</v>
      </c>
      <c r="E168" s="21" t="e">
        <f>IF(ISBLANK(Data!#REF!),"",Data!#REF!)</f>
        <v>#REF!</v>
      </c>
      <c r="F168" s="33" t="e">
        <f>IF(ISBLANK(Data!#REF!),"",Data!#REF!)</f>
        <v>#REF!</v>
      </c>
      <c r="G168" s="21" t="e">
        <f>IF(ISBLANK(Data!#REF!),"",Data!#REF!)</f>
        <v>#REF!</v>
      </c>
      <c r="H168" s="33" t="e">
        <f>IF(ISBLANK(Data!#REF!),"",Data!#REF!)</f>
        <v>#REF!</v>
      </c>
      <c r="I168" s="33" t="e">
        <f>IF(ISBLANK(Data!#REF!),"",Data!#REF!)</f>
        <v>#REF!</v>
      </c>
      <c r="J168" s="33" t="e">
        <f>IF(ISBLANK(Data!#REF!),"",Data!#REF!)</f>
        <v>#REF!</v>
      </c>
      <c r="K168" s="21" t="e">
        <f>IF(ISBLANK(Data!#REF!),"",Data!#REF!)</f>
        <v>#REF!</v>
      </c>
      <c r="L168" s="21" t="e">
        <f>IF(ISBLANK(Data!#REF!),"",Data!#REF!)</f>
        <v>#REF!</v>
      </c>
      <c r="N168" s="46" t="e">
        <f>IF(ISBLANK(Data!#REF!),"",Data!#REF!)</f>
        <v>#REF!</v>
      </c>
      <c r="O168" s="46" t="e">
        <f>IF(ISBLANK(Data!#REF!),"",Data!#REF!)</f>
        <v>#REF!</v>
      </c>
      <c r="P168" s="46" t="e">
        <f>IF(ISBLANK(Data!#REF!),"",Data!#REF!)</f>
        <v>#REF!</v>
      </c>
      <c r="Q168" s="46" t="e">
        <f t="shared" si="2"/>
        <v>#REF!</v>
      </c>
      <c r="R168" s="47" t="e">
        <f>IF(ISBLANK(Data!#REF!),"",Data!#REF!)</f>
        <v>#REF!</v>
      </c>
      <c r="S168" s="33" t="e">
        <f>IF(ISBLANK(Data!#REF!),"",Data!#REF!)</f>
        <v>#REF!</v>
      </c>
      <c r="T168" s="33" t="e">
        <f>IF(ISBLANK(Data!#REF!),"",Data!#REF!)</f>
        <v>#REF!</v>
      </c>
      <c r="U168" s="21" t="e">
        <f>IF(ISBLANK(Data!#REF!),"",Data!#REF!)</f>
        <v>#REF!</v>
      </c>
    </row>
    <row r="169" spans="1:21" x14ac:dyDescent="0.25">
      <c r="A169" s="33" t="e">
        <f>IF(ISBLANK(Data!#REF!),"",YEAR(Data!#REF!))</f>
        <v>#REF!</v>
      </c>
      <c r="B169" s="44" t="e">
        <f>IF(ISBLANK(Data!#REF!),"",Data!#REF!)</f>
        <v>#REF!</v>
      </c>
      <c r="C169" s="45" t="e">
        <f>IF(ISBLANK(Data!#REF!),"",Data!#REF!)</f>
        <v>#REF!</v>
      </c>
      <c r="D169" s="21" t="e">
        <f>IF(ISBLANK(Data!#REF!),"",Data!#REF!)</f>
        <v>#REF!</v>
      </c>
      <c r="E169" s="21" t="e">
        <f>IF(ISBLANK(Data!#REF!),"",Data!#REF!)</f>
        <v>#REF!</v>
      </c>
      <c r="F169" s="33" t="e">
        <f>IF(ISBLANK(Data!#REF!),"",Data!#REF!)</f>
        <v>#REF!</v>
      </c>
      <c r="G169" s="21" t="e">
        <f>IF(ISBLANK(Data!#REF!),"",Data!#REF!)</f>
        <v>#REF!</v>
      </c>
      <c r="H169" s="33" t="e">
        <f>IF(ISBLANK(Data!#REF!),"",Data!#REF!)</f>
        <v>#REF!</v>
      </c>
      <c r="I169" s="33" t="e">
        <f>IF(ISBLANK(Data!#REF!),"",Data!#REF!)</f>
        <v>#REF!</v>
      </c>
      <c r="J169" s="33" t="e">
        <f>IF(ISBLANK(Data!#REF!),"",Data!#REF!)</f>
        <v>#REF!</v>
      </c>
      <c r="K169" s="21" t="e">
        <f>IF(ISBLANK(Data!#REF!),"",Data!#REF!)</f>
        <v>#REF!</v>
      </c>
      <c r="L169" s="21" t="e">
        <f>IF(ISBLANK(Data!#REF!),"",Data!#REF!)</f>
        <v>#REF!</v>
      </c>
      <c r="N169" s="46" t="e">
        <f>IF(ISBLANK(Data!#REF!),"",Data!#REF!)</f>
        <v>#REF!</v>
      </c>
      <c r="O169" s="46" t="e">
        <f>IF(ISBLANK(Data!#REF!),"",Data!#REF!)</f>
        <v>#REF!</v>
      </c>
      <c r="P169" s="46" t="e">
        <f>IF(ISBLANK(Data!#REF!),"",Data!#REF!)</f>
        <v>#REF!</v>
      </c>
      <c r="Q169" s="46" t="e">
        <f t="shared" si="2"/>
        <v>#REF!</v>
      </c>
      <c r="R169" s="47" t="e">
        <f>IF(ISBLANK(Data!#REF!),"",Data!#REF!)</f>
        <v>#REF!</v>
      </c>
      <c r="S169" s="33" t="e">
        <f>IF(ISBLANK(Data!#REF!),"",Data!#REF!)</f>
        <v>#REF!</v>
      </c>
      <c r="T169" s="33" t="e">
        <f>IF(ISBLANK(Data!#REF!),"",Data!#REF!)</f>
        <v>#REF!</v>
      </c>
      <c r="U169" s="21" t="e">
        <f>IF(ISBLANK(Data!#REF!),"",Data!#REF!)</f>
        <v>#REF!</v>
      </c>
    </row>
    <row r="170" spans="1:21" x14ac:dyDescent="0.25">
      <c r="A170" s="33" t="e">
        <f>IF(ISBLANK(Data!#REF!),"",YEAR(Data!#REF!))</f>
        <v>#REF!</v>
      </c>
      <c r="B170" s="44" t="e">
        <f>IF(ISBLANK(Data!#REF!),"",Data!#REF!)</f>
        <v>#REF!</v>
      </c>
      <c r="C170" s="45" t="e">
        <f>IF(ISBLANK(Data!#REF!),"",Data!#REF!)</f>
        <v>#REF!</v>
      </c>
      <c r="D170" s="21" t="e">
        <f>IF(ISBLANK(Data!#REF!),"",Data!#REF!)</f>
        <v>#REF!</v>
      </c>
      <c r="E170" s="21" t="e">
        <f>IF(ISBLANK(Data!#REF!),"",Data!#REF!)</f>
        <v>#REF!</v>
      </c>
      <c r="F170" s="33" t="e">
        <f>IF(ISBLANK(Data!#REF!),"",Data!#REF!)</f>
        <v>#REF!</v>
      </c>
      <c r="G170" s="21" t="e">
        <f>IF(ISBLANK(Data!#REF!),"",Data!#REF!)</f>
        <v>#REF!</v>
      </c>
      <c r="H170" s="33" t="e">
        <f>IF(ISBLANK(Data!#REF!),"",Data!#REF!)</f>
        <v>#REF!</v>
      </c>
      <c r="I170" s="33" t="e">
        <f>IF(ISBLANK(Data!#REF!),"",Data!#REF!)</f>
        <v>#REF!</v>
      </c>
      <c r="J170" s="33" t="e">
        <f>IF(ISBLANK(Data!#REF!),"",Data!#REF!)</f>
        <v>#REF!</v>
      </c>
      <c r="K170" s="21" t="e">
        <f>IF(ISBLANK(Data!#REF!),"",Data!#REF!)</f>
        <v>#REF!</v>
      </c>
      <c r="L170" s="21" t="e">
        <f>IF(ISBLANK(Data!#REF!),"",Data!#REF!)</f>
        <v>#REF!</v>
      </c>
      <c r="N170" s="46" t="e">
        <f>IF(ISBLANK(Data!#REF!),"",Data!#REF!)</f>
        <v>#REF!</v>
      </c>
      <c r="O170" s="46" t="e">
        <f>IF(ISBLANK(Data!#REF!),"",Data!#REF!)</f>
        <v>#REF!</v>
      </c>
      <c r="P170" s="46" t="e">
        <f>IF(ISBLANK(Data!#REF!),"",Data!#REF!)</f>
        <v>#REF!</v>
      </c>
      <c r="Q170" s="46" t="e">
        <f t="shared" si="2"/>
        <v>#REF!</v>
      </c>
      <c r="R170" s="47" t="e">
        <f>IF(ISBLANK(Data!#REF!),"",Data!#REF!)</f>
        <v>#REF!</v>
      </c>
      <c r="S170" s="33" t="e">
        <f>IF(ISBLANK(Data!#REF!),"",Data!#REF!)</f>
        <v>#REF!</v>
      </c>
      <c r="T170" s="33" t="e">
        <f>IF(ISBLANK(Data!#REF!),"",Data!#REF!)</f>
        <v>#REF!</v>
      </c>
      <c r="U170" s="21" t="e">
        <f>IF(ISBLANK(Data!#REF!),"",Data!#REF!)</f>
        <v>#REF!</v>
      </c>
    </row>
    <row r="171" spans="1:21" x14ac:dyDescent="0.25">
      <c r="A171" s="33" t="e">
        <f>IF(ISBLANK(Data!#REF!),"",YEAR(Data!#REF!))</f>
        <v>#REF!</v>
      </c>
      <c r="B171" s="44" t="e">
        <f>IF(ISBLANK(Data!#REF!),"",Data!#REF!)</f>
        <v>#REF!</v>
      </c>
      <c r="C171" s="45" t="e">
        <f>IF(ISBLANK(Data!#REF!),"",Data!#REF!)</f>
        <v>#REF!</v>
      </c>
      <c r="D171" s="21" t="e">
        <f>IF(ISBLANK(Data!#REF!),"",Data!#REF!)</f>
        <v>#REF!</v>
      </c>
      <c r="E171" s="21" t="e">
        <f>IF(ISBLANK(Data!#REF!),"",Data!#REF!)</f>
        <v>#REF!</v>
      </c>
      <c r="F171" s="33" t="e">
        <f>IF(ISBLANK(Data!#REF!),"",Data!#REF!)</f>
        <v>#REF!</v>
      </c>
      <c r="G171" s="21" t="e">
        <f>IF(ISBLANK(Data!#REF!),"",Data!#REF!)</f>
        <v>#REF!</v>
      </c>
      <c r="H171" s="33" t="e">
        <f>IF(ISBLANK(Data!#REF!),"",Data!#REF!)</f>
        <v>#REF!</v>
      </c>
      <c r="I171" s="33" t="e">
        <f>IF(ISBLANK(Data!#REF!),"",Data!#REF!)</f>
        <v>#REF!</v>
      </c>
      <c r="J171" s="33" t="e">
        <f>IF(ISBLANK(Data!#REF!),"",Data!#REF!)</f>
        <v>#REF!</v>
      </c>
      <c r="K171" s="21" t="e">
        <f>IF(ISBLANK(Data!#REF!),"",Data!#REF!)</f>
        <v>#REF!</v>
      </c>
      <c r="L171" s="21" t="e">
        <f>IF(ISBLANK(Data!#REF!),"",Data!#REF!)</f>
        <v>#REF!</v>
      </c>
      <c r="N171" s="46" t="e">
        <f>IF(ISBLANK(Data!#REF!),"",Data!#REF!)</f>
        <v>#REF!</v>
      </c>
      <c r="O171" s="46" t="e">
        <f>IF(ISBLANK(Data!#REF!),"",Data!#REF!)</f>
        <v>#REF!</v>
      </c>
      <c r="P171" s="46" t="e">
        <f>IF(ISBLANK(Data!#REF!),"",Data!#REF!)</f>
        <v>#REF!</v>
      </c>
      <c r="Q171" s="46" t="e">
        <f t="shared" si="2"/>
        <v>#REF!</v>
      </c>
      <c r="R171" s="47" t="e">
        <f>IF(ISBLANK(Data!#REF!),"",Data!#REF!)</f>
        <v>#REF!</v>
      </c>
      <c r="S171" s="33" t="e">
        <f>IF(ISBLANK(Data!#REF!),"",Data!#REF!)</f>
        <v>#REF!</v>
      </c>
      <c r="T171" s="33" t="e">
        <f>IF(ISBLANK(Data!#REF!),"",Data!#REF!)</f>
        <v>#REF!</v>
      </c>
      <c r="U171" s="21" t="e">
        <f>IF(ISBLANK(Data!#REF!),"",Data!#REF!)</f>
        <v>#REF!</v>
      </c>
    </row>
    <row r="172" spans="1:21" x14ac:dyDescent="0.25">
      <c r="A172" s="33" t="e">
        <f>IF(ISBLANK(Data!#REF!),"",YEAR(Data!#REF!))</f>
        <v>#REF!</v>
      </c>
      <c r="B172" s="44" t="e">
        <f>IF(ISBLANK(Data!#REF!),"",Data!#REF!)</f>
        <v>#REF!</v>
      </c>
      <c r="C172" s="45" t="e">
        <f>IF(ISBLANK(Data!#REF!),"",Data!#REF!)</f>
        <v>#REF!</v>
      </c>
      <c r="D172" s="21" t="e">
        <f>IF(ISBLANK(Data!#REF!),"",Data!#REF!)</f>
        <v>#REF!</v>
      </c>
      <c r="E172" s="21" t="e">
        <f>IF(ISBLANK(Data!#REF!),"",Data!#REF!)</f>
        <v>#REF!</v>
      </c>
      <c r="F172" s="33" t="e">
        <f>IF(ISBLANK(Data!#REF!),"",Data!#REF!)</f>
        <v>#REF!</v>
      </c>
      <c r="G172" s="21" t="e">
        <f>IF(ISBLANK(Data!#REF!),"",Data!#REF!)</f>
        <v>#REF!</v>
      </c>
      <c r="H172" s="33" t="e">
        <f>IF(ISBLANK(Data!#REF!),"",Data!#REF!)</f>
        <v>#REF!</v>
      </c>
      <c r="I172" s="33" t="e">
        <f>IF(ISBLANK(Data!#REF!),"",Data!#REF!)</f>
        <v>#REF!</v>
      </c>
      <c r="J172" s="33" t="e">
        <f>IF(ISBLANK(Data!#REF!),"",Data!#REF!)</f>
        <v>#REF!</v>
      </c>
      <c r="K172" s="21" t="e">
        <f>IF(ISBLANK(Data!#REF!),"",Data!#REF!)</f>
        <v>#REF!</v>
      </c>
      <c r="L172" s="21" t="e">
        <f>IF(ISBLANK(Data!#REF!),"",Data!#REF!)</f>
        <v>#REF!</v>
      </c>
      <c r="N172" s="46" t="e">
        <f>IF(ISBLANK(Data!#REF!),"",Data!#REF!)</f>
        <v>#REF!</v>
      </c>
      <c r="O172" s="46" t="e">
        <f>IF(ISBLANK(Data!#REF!),"",Data!#REF!)</f>
        <v>#REF!</v>
      </c>
      <c r="P172" s="46" t="e">
        <f>IF(ISBLANK(Data!#REF!),"",Data!#REF!)</f>
        <v>#REF!</v>
      </c>
      <c r="Q172" s="46" t="e">
        <f t="shared" si="2"/>
        <v>#REF!</v>
      </c>
      <c r="R172" s="47" t="e">
        <f>IF(ISBLANK(Data!#REF!),"",Data!#REF!)</f>
        <v>#REF!</v>
      </c>
      <c r="S172" s="33" t="e">
        <f>IF(ISBLANK(Data!#REF!),"",Data!#REF!)</f>
        <v>#REF!</v>
      </c>
      <c r="T172" s="33" t="e">
        <f>IF(ISBLANK(Data!#REF!),"",Data!#REF!)</f>
        <v>#REF!</v>
      </c>
      <c r="U172" s="21" t="e">
        <f>IF(ISBLANK(Data!#REF!),"",Data!#REF!)</f>
        <v>#REF!</v>
      </c>
    </row>
    <row r="173" spans="1:21" x14ac:dyDescent="0.25">
      <c r="A173" s="33" t="e">
        <f>IF(ISBLANK(Data!#REF!),"",YEAR(Data!#REF!))</f>
        <v>#REF!</v>
      </c>
      <c r="B173" s="44" t="e">
        <f>IF(ISBLANK(Data!#REF!),"",Data!#REF!)</f>
        <v>#REF!</v>
      </c>
      <c r="C173" s="45" t="e">
        <f>IF(ISBLANK(Data!#REF!),"",Data!#REF!)</f>
        <v>#REF!</v>
      </c>
      <c r="D173" s="21" t="e">
        <f>IF(ISBLANK(Data!#REF!),"",Data!#REF!)</f>
        <v>#REF!</v>
      </c>
      <c r="E173" s="21" t="e">
        <f>IF(ISBLANK(Data!#REF!),"",Data!#REF!)</f>
        <v>#REF!</v>
      </c>
      <c r="F173" s="33" t="e">
        <f>IF(ISBLANK(Data!#REF!),"",Data!#REF!)</f>
        <v>#REF!</v>
      </c>
      <c r="G173" s="21" t="e">
        <f>IF(ISBLANK(Data!#REF!),"",Data!#REF!)</f>
        <v>#REF!</v>
      </c>
      <c r="H173" s="33" t="e">
        <f>IF(ISBLANK(Data!#REF!),"",Data!#REF!)</f>
        <v>#REF!</v>
      </c>
      <c r="I173" s="33" t="e">
        <f>IF(ISBLANK(Data!#REF!),"",Data!#REF!)</f>
        <v>#REF!</v>
      </c>
      <c r="J173" s="33" t="e">
        <f>IF(ISBLANK(Data!#REF!),"",Data!#REF!)</f>
        <v>#REF!</v>
      </c>
      <c r="K173" s="21" t="e">
        <f>IF(ISBLANK(Data!#REF!),"",Data!#REF!)</f>
        <v>#REF!</v>
      </c>
      <c r="L173" s="21" t="e">
        <f>IF(ISBLANK(Data!#REF!),"",Data!#REF!)</f>
        <v>#REF!</v>
      </c>
      <c r="N173" s="46" t="e">
        <f>IF(ISBLANK(Data!#REF!),"",Data!#REF!)</f>
        <v>#REF!</v>
      </c>
      <c r="O173" s="46" t="e">
        <f>IF(ISBLANK(Data!#REF!),"",Data!#REF!)</f>
        <v>#REF!</v>
      </c>
      <c r="P173" s="46" t="e">
        <f>IF(ISBLANK(Data!#REF!),"",Data!#REF!)</f>
        <v>#REF!</v>
      </c>
      <c r="Q173" s="46" t="e">
        <f t="shared" si="2"/>
        <v>#REF!</v>
      </c>
      <c r="R173" s="47" t="e">
        <f>IF(ISBLANK(Data!#REF!),"",Data!#REF!)</f>
        <v>#REF!</v>
      </c>
      <c r="S173" s="33" t="e">
        <f>IF(ISBLANK(Data!#REF!),"",Data!#REF!)</f>
        <v>#REF!</v>
      </c>
      <c r="T173" s="33" t="e">
        <f>IF(ISBLANK(Data!#REF!),"",Data!#REF!)</f>
        <v>#REF!</v>
      </c>
      <c r="U173" s="21" t="e">
        <f>IF(ISBLANK(Data!#REF!),"",Data!#REF!)</f>
        <v>#REF!</v>
      </c>
    </row>
    <row r="174" spans="1:21" x14ac:dyDescent="0.25">
      <c r="A174" s="33" t="e">
        <f>IF(ISBLANK(Data!#REF!),"",YEAR(Data!#REF!))</f>
        <v>#REF!</v>
      </c>
      <c r="B174" s="44" t="e">
        <f>IF(ISBLANK(Data!#REF!),"",Data!#REF!)</f>
        <v>#REF!</v>
      </c>
      <c r="C174" s="45" t="e">
        <f>IF(ISBLANK(Data!#REF!),"",Data!#REF!)</f>
        <v>#REF!</v>
      </c>
      <c r="D174" s="21" t="e">
        <f>IF(ISBLANK(Data!#REF!),"",Data!#REF!)</f>
        <v>#REF!</v>
      </c>
      <c r="E174" s="21" t="e">
        <f>IF(ISBLANK(Data!#REF!),"",Data!#REF!)</f>
        <v>#REF!</v>
      </c>
      <c r="F174" s="33" t="e">
        <f>IF(ISBLANK(Data!#REF!),"",Data!#REF!)</f>
        <v>#REF!</v>
      </c>
      <c r="G174" s="21" t="e">
        <f>IF(ISBLANK(Data!#REF!),"",Data!#REF!)</f>
        <v>#REF!</v>
      </c>
      <c r="H174" s="33" t="e">
        <f>IF(ISBLANK(Data!#REF!),"",Data!#REF!)</f>
        <v>#REF!</v>
      </c>
      <c r="I174" s="33" t="e">
        <f>IF(ISBLANK(Data!#REF!),"",Data!#REF!)</f>
        <v>#REF!</v>
      </c>
      <c r="J174" s="33" t="e">
        <f>IF(ISBLANK(Data!#REF!),"",Data!#REF!)</f>
        <v>#REF!</v>
      </c>
      <c r="K174" s="21" t="e">
        <f>IF(ISBLANK(Data!#REF!),"",Data!#REF!)</f>
        <v>#REF!</v>
      </c>
      <c r="L174" s="21" t="e">
        <f>IF(ISBLANK(Data!#REF!),"",Data!#REF!)</f>
        <v>#REF!</v>
      </c>
      <c r="N174" s="46" t="e">
        <f>IF(ISBLANK(Data!#REF!),"",Data!#REF!)</f>
        <v>#REF!</v>
      </c>
      <c r="O174" s="46" t="e">
        <f>IF(ISBLANK(Data!#REF!),"",Data!#REF!)</f>
        <v>#REF!</v>
      </c>
      <c r="P174" s="46" t="e">
        <f>IF(ISBLANK(Data!#REF!),"",Data!#REF!)</f>
        <v>#REF!</v>
      </c>
      <c r="Q174" s="46" t="e">
        <f t="shared" si="2"/>
        <v>#REF!</v>
      </c>
      <c r="R174" s="47" t="e">
        <f>IF(ISBLANK(Data!#REF!),"",Data!#REF!)</f>
        <v>#REF!</v>
      </c>
      <c r="S174" s="33" t="e">
        <f>IF(ISBLANK(Data!#REF!),"",Data!#REF!)</f>
        <v>#REF!</v>
      </c>
      <c r="T174" s="33" t="e">
        <f>IF(ISBLANK(Data!#REF!),"",Data!#REF!)</f>
        <v>#REF!</v>
      </c>
      <c r="U174" s="21" t="e">
        <f>IF(ISBLANK(Data!#REF!),"",Data!#REF!)</f>
        <v>#REF!</v>
      </c>
    </row>
    <row r="175" spans="1:21" x14ac:dyDescent="0.25">
      <c r="A175" s="33" t="e">
        <f>IF(ISBLANK(Data!#REF!),"",YEAR(Data!#REF!))</f>
        <v>#REF!</v>
      </c>
      <c r="B175" s="44" t="e">
        <f>IF(ISBLANK(Data!#REF!),"",Data!#REF!)</f>
        <v>#REF!</v>
      </c>
      <c r="C175" s="45" t="e">
        <f>IF(ISBLANK(Data!#REF!),"",Data!#REF!)</f>
        <v>#REF!</v>
      </c>
      <c r="D175" s="21" t="e">
        <f>IF(ISBLANK(Data!#REF!),"",Data!#REF!)</f>
        <v>#REF!</v>
      </c>
      <c r="E175" s="21" t="e">
        <f>IF(ISBLANK(Data!#REF!),"",Data!#REF!)</f>
        <v>#REF!</v>
      </c>
      <c r="F175" s="33" t="e">
        <f>IF(ISBLANK(Data!#REF!),"",Data!#REF!)</f>
        <v>#REF!</v>
      </c>
      <c r="G175" s="21" t="e">
        <f>IF(ISBLANK(Data!#REF!),"",Data!#REF!)</f>
        <v>#REF!</v>
      </c>
      <c r="H175" s="33" t="e">
        <f>IF(ISBLANK(Data!#REF!),"",Data!#REF!)</f>
        <v>#REF!</v>
      </c>
      <c r="I175" s="33" t="e">
        <f>IF(ISBLANK(Data!#REF!),"",Data!#REF!)</f>
        <v>#REF!</v>
      </c>
      <c r="J175" s="33" t="e">
        <f>IF(ISBLANK(Data!#REF!),"",Data!#REF!)</f>
        <v>#REF!</v>
      </c>
      <c r="K175" s="21" t="e">
        <f>IF(ISBLANK(Data!#REF!),"",Data!#REF!)</f>
        <v>#REF!</v>
      </c>
      <c r="L175" s="21" t="e">
        <f>IF(ISBLANK(Data!#REF!),"",Data!#REF!)</f>
        <v>#REF!</v>
      </c>
      <c r="N175" s="46" t="e">
        <f>IF(ISBLANK(Data!#REF!),"",Data!#REF!)</f>
        <v>#REF!</v>
      </c>
      <c r="O175" s="46" t="e">
        <f>IF(ISBLANK(Data!#REF!),"",Data!#REF!)</f>
        <v>#REF!</v>
      </c>
      <c r="P175" s="46" t="e">
        <f>IF(ISBLANK(Data!#REF!),"",Data!#REF!)</f>
        <v>#REF!</v>
      </c>
      <c r="Q175" s="46" t="e">
        <f t="shared" si="2"/>
        <v>#REF!</v>
      </c>
      <c r="R175" s="47" t="e">
        <f>IF(ISBLANK(Data!#REF!),"",Data!#REF!)</f>
        <v>#REF!</v>
      </c>
      <c r="S175" s="33" t="e">
        <f>IF(ISBLANK(Data!#REF!),"",Data!#REF!)</f>
        <v>#REF!</v>
      </c>
      <c r="T175" s="33" t="e">
        <f>IF(ISBLANK(Data!#REF!),"",Data!#REF!)</f>
        <v>#REF!</v>
      </c>
      <c r="U175" s="21" t="e">
        <f>IF(ISBLANK(Data!#REF!),"",Data!#REF!)</f>
        <v>#REF!</v>
      </c>
    </row>
    <row r="176" spans="1:21" x14ac:dyDescent="0.25">
      <c r="A176" s="33" t="e">
        <f>IF(ISBLANK(Data!#REF!),"",YEAR(Data!#REF!))</f>
        <v>#REF!</v>
      </c>
      <c r="B176" s="44" t="e">
        <f>IF(ISBLANK(Data!#REF!),"",Data!#REF!)</f>
        <v>#REF!</v>
      </c>
      <c r="C176" s="45" t="e">
        <f>IF(ISBLANK(Data!#REF!),"",Data!#REF!)</f>
        <v>#REF!</v>
      </c>
      <c r="D176" s="21" t="e">
        <f>IF(ISBLANK(Data!#REF!),"",Data!#REF!)</f>
        <v>#REF!</v>
      </c>
      <c r="E176" s="21" t="e">
        <f>IF(ISBLANK(Data!#REF!),"",Data!#REF!)</f>
        <v>#REF!</v>
      </c>
      <c r="F176" s="33" t="e">
        <f>IF(ISBLANK(Data!#REF!),"",Data!#REF!)</f>
        <v>#REF!</v>
      </c>
      <c r="G176" s="21" t="e">
        <f>IF(ISBLANK(Data!#REF!),"",Data!#REF!)</f>
        <v>#REF!</v>
      </c>
      <c r="H176" s="33" t="e">
        <f>IF(ISBLANK(Data!#REF!),"",Data!#REF!)</f>
        <v>#REF!</v>
      </c>
      <c r="I176" s="33" t="e">
        <f>IF(ISBLANK(Data!#REF!),"",Data!#REF!)</f>
        <v>#REF!</v>
      </c>
      <c r="J176" s="33" t="e">
        <f>IF(ISBLANK(Data!#REF!),"",Data!#REF!)</f>
        <v>#REF!</v>
      </c>
      <c r="K176" s="21" t="e">
        <f>IF(ISBLANK(Data!#REF!),"",Data!#REF!)</f>
        <v>#REF!</v>
      </c>
      <c r="L176" s="21" t="e">
        <f>IF(ISBLANK(Data!#REF!),"",Data!#REF!)</f>
        <v>#REF!</v>
      </c>
      <c r="N176" s="46" t="e">
        <f>IF(ISBLANK(Data!#REF!),"",Data!#REF!)</f>
        <v>#REF!</v>
      </c>
      <c r="O176" s="46" t="e">
        <f>IF(ISBLANK(Data!#REF!),"",Data!#REF!)</f>
        <v>#REF!</v>
      </c>
      <c r="P176" s="46" t="e">
        <f>IF(ISBLANK(Data!#REF!),"",Data!#REF!)</f>
        <v>#REF!</v>
      </c>
      <c r="Q176" s="46" t="e">
        <f t="shared" si="2"/>
        <v>#REF!</v>
      </c>
      <c r="R176" s="47" t="e">
        <f>IF(ISBLANK(Data!#REF!),"",Data!#REF!)</f>
        <v>#REF!</v>
      </c>
      <c r="S176" s="33" t="e">
        <f>IF(ISBLANK(Data!#REF!),"",Data!#REF!)</f>
        <v>#REF!</v>
      </c>
      <c r="T176" s="33" t="e">
        <f>IF(ISBLANK(Data!#REF!),"",Data!#REF!)</f>
        <v>#REF!</v>
      </c>
      <c r="U176" s="21" t="e">
        <f>IF(ISBLANK(Data!#REF!),"",Data!#REF!)</f>
        <v>#REF!</v>
      </c>
    </row>
    <row r="177" spans="1:21" x14ac:dyDescent="0.25">
      <c r="A177" s="33" t="e">
        <f>IF(ISBLANK(Data!#REF!),"",YEAR(Data!#REF!))</f>
        <v>#REF!</v>
      </c>
      <c r="B177" s="44" t="e">
        <f>IF(ISBLANK(Data!#REF!),"",Data!#REF!)</f>
        <v>#REF!</v>
      </c>
      <c r="C177" s="45" t="e">
        <f>IF(ISBLANK(Data!#REF!),"",Data!#REF!)</f>
        <v>#REF!</v>
      </c>
      <c r="D177" s="21" t="e">
        <f>IF(ISBLANK(Data!#REF!),"",Data!#REF!)</f>
        <v>#REF!</v>
      </c>
      <c r="E177" s="21" t="e">
        <f>IF(ISBLANK(Data!#REF!),"",Data!#REF!)</f>
        <v>#REF!</v>
      </c>
      <c r="F177" s="33" t="e">
        <f>IF(ISBLANK(Data!#REF!),"",Data!#REF!)</f>
        <v>#REF!</v>
      </c>
      <c r="G177" s="21" t="e">
        <f>IF(ISBLANK(Data!#REF!),"",Data!#REF!)</f>
        <v>#REF!</v>
      </c>
      <c r="H177" s="33" t="e">
        <f>IF(ISBLANK(Data!#REF!),"",Data!#REF!)</f>
        <v>#REF!</v>
      </c>
      <c r="I177" s="33" t="e">
        <f>IF(ISBLANK(Data!#REF!),"",Data!#REF!)</f>
        <v>#REF!</v>
      </c>
      <c r="J177" s="33" t="e">
        <f>IF(ISBLANK(Data!#REF!),"",Data!#REF!)</f>
        <v>#REF!</v>
      </c>
      <c r="K177" s="21" t="e">
        <f>IF(ISBLANK(Data!#REF!),"",Data!#REF!)</f>
        <v>#REF!</v>
      </c>
      <c r="L177" s="21" t="e">
        <f>IF(ISBLANK(Data!#REF!),"",Data!#REF!)</f>
        <v>#REF!</v>
      </c>
      <c r="N177" s="46" t="e">
        <f>IF(ISBLANK(Data!#REF!),"",Data!#REF!)</f>
        <v>#REF!</v>
      </c>
      <c r="O177" s="46" t="e">
        <f>IF(ISBLANK(Data!#REF!),"",Data!#REF!)</f>
        <v>#REF!</v>
      </c>
      <c r="P177" s="46" t="e">
        <f>IF(ISBLANK(Data!#REF!),"",Data!#REF!)</f>
        <v>#REF!</v>
      </c>
      <c r="Q177" s="46" t="e">
        <f t="shared" si="2"/>
        <v>#REF!</v>
      </c>
      <c r="R177" s="47" t="e">
        <f>IF(ISBLANK(Data!#REF!),"",Data!#REF!)</f>
        <v>#REF!</v>
      </c>
      <c r="S177" s="33" t="e">
        <f>IF(ISBLANK(Data!#REF!),"",Data!#REF!)</f>
        <v>#REF!</v>
      </c>
      <c r="T177" s="33" t="e">
        <f>IF(ISBLANK(Data!#REF!),"",Data!#REF!)</f>
        <v>#REF!</v>
      </c>
      <c r="U177" s="21" t="e">
        <f>IF(ISBLANK(Data!#REF!),"",Data!#REF!)</f>
        <v>#REF!</v>
      </c>
    </row>
    <row r="178" spans="1:21" x14ac:dyDescent="0.25">
      <c r="A178" s="33" t="e">
        <f>IF(ISBLANK(Data!#REF!),"",YEAR(Data!#REF!))</f>
        <v>#REF!</v>
      </c>
      <c r="B178" s="44" t="e">
        <f>IF(ISBLANK(Data!#REF!),"",Data!#REF!)</f>
        <v>#REF!</v>
      </c>
      <c r="C178" s="45" t="e">
        <f>IF(ISBLANK(Data!#REF!),"",Data!#REF!)</f>
        <v>#REF!</v>
      </c>
      <c r="D178" s="21" t="e">
        <f>IF(ISBLANK(Data!#REF!),"",Data!#REF!)</f>
        <v>#REF!</v>
      </c>
      <c r="E178" s="21" t="e">
        <f>IF(ISBLANK(Data!#REF!),"",Data!#REF!)</f>
        <v>#REF!</v>
      </c>
      <c r="F178" s="33" t="e">
        <f>IF(ISBLANK(Data!#REF!),"",Data!#REF!)</f>
        <v>#REF!</v>
      </c>
      <c r="G178" s="21" t="e">
        <f>IF(ISBLANK(Data!#REF!),"",Data!#REF!)</f>
        <v>#REF!</v>
      </c>
      <c r="H178" s="33" t="e">
        <f>IF(ISBLANK(Data!#REF!),"",Data!#REF!)</f>
        <v>#REF!</v>
      </c>
      <c r="I178" s="33" t="e">
        <f>IF(ISBLANK(Data!#REF!),"",Data!#REF!)</f>
        <v>#REF!</v>
      </c>
      <c r="J178" s="33" t="e">
        <f>IF(ISBLANK(Data!#REF!),"",Data!#REF!)</f>
        <v>#REF!</v>
      </c>
      <c r="K178" s="21" t="e">
        <f>IF(ISBLANK(Data!#REF!),"",Data!#REF!)</f>
        <v>#REF!</v>
      </c>
      <c r="L178" s="21" t="e">
        <f>IF(ISBLANK(Data!#REF!),"",Data!#REF!)</f>
        <v>#REF!</v>
      </c>
      <c r="N178" s="46" t="e">
        <f>IF(ISBLANK(Data!#REF!),"",Data!#REF!)</f>
        <v>#REF!</v>
      </c>
      <c r="O178" s="46" t="e">
        <f>IF(ISBLANK(Data!#REF!),"",Data!#REF!)</f>
        <v>#REF!</v>
      </c>
      <c r="P178" s="46" t="e">
        <f>IF(ISBLANK(Data!#REF!),"",Data!#REF!)</f>
        <v>#REF!</v>
      </c>
      <c r="Q178" s="46" t="e">
        <f t="shared" si="2"/>
        <v>#REF!</v>
      </c>
      <c r="R178" s="47" t="e">
        <f>IF(ISBLANK(Data!#REF!),"",Data!#REF!)</f>
        <v>#REF!</v>
      </c>
      <c r="S178" s="33" t="e">
        <f>IF(ISBLANK(Data!#REF!),"",Data!#REF!)</f>
        <v>#REF!</v>
      </c>
      <c r="T178" s="33" t="e">
        <f>IF(ISBLANK(Data!#REF!),"",Data!#REF!)</f>
        <v>#REF!</v>
      </c>
      <c r="U178" s="21" t="e">
        <f>IF(ISBLANK(Data!#REF!),"",Data!#REF!)</f>
        <v>#REF!</v>
      </c>
    </row>
    <row r="179" spans="1:21" x14ac:dyDescent="0.25">
      <c r="A179" s="33" t="e">
        <f>IF(ISBLANK(Data!#REF!),"",YEAR(Data!#REF!))</f>
        <v>#REF!</v>
      </c>
      <c r="B179" s="44" t="e">
        <f>IF(ISBLANK(Data!#REF!),"",Data!#REF!)</f>
        <v>#REF!</v>
      </c>
      <c r="C179" s="45" t="e">
        <f>IF(ISBLANK(Data!#REF!),"",Data!#REF!)</f>
        <v>#REF!</v>
      </c>
      <c r="D179" s="21" t="e">
        <f>IF(ISBLANK(Data!#REF!),"",Data!#REF!)</f>
        <v>#REF!</v>
      </c>
      <c r="E179" s="21" t="e">
        <f>IF(ISBLANK(Data!#REF!),"",Data!#REF!)</f>
        <v>#REF!</v>
      </c>
      <c r="F179" s="33" t="e">
        <f>IF(ISBLANK(Data!#REF!),"",Data!#REF!)</f>
        <v>#REF!</v>
      </c>
      <c r="G179" s="21" t="e">
        <f>IF(ISBLANK(Data!#REF!),"",Data!#REF!)</f>
        <v>#REF!</v>
      </c>
      <c r="H179" s="33" t="e">
        <f>IF(ISBLANK(Data!#REF!),"",Data!#REF!)</f>
        <v>#REF!</v>
      </c>
      <c r="I179" s="33" t="e">
        <f>IF(ISBLANK(Data!#REF!),"",Data!#REF!)</f>
        <v>#REF!</v>
      </c>
      <c r="J179" s="33" t="e">
        <f>IF(ISBLANK(Data!#REF!),"",Data!#REF!)</f>
        <v>#REF!</v>
      </c>
      <c r="K179" s="21" t="e">
        <f>IF(ISBLANK(Data!#REF!),"",Data!#REF!)</f>
        <v>#REF!</v>
      </c>
      <c r="L179" s="21" t="e">
        <f>IF(ISBLANK(Data!#REF!),"",Data!#REF!)</f>
        <v>#REF!</v>
      </c>
      <c r="N179" s="46" t="e">
        <f>IF(ISBLANK(Data!#REF!),"",Data!#REF!)</f>
        <v>#REF!</v>
      </c>
      <c r="O179" s="46" t="e">
        <f>IF(ISBLANK(Data!#REF!),"",Data!#REF!)</f>
        <v>#REF!</v>
      </c>
      <c r="P179" s="46" t="e">
        <f>IF(ISBLANK(Data!#REF!),"",Data!#REF!)</f>
        <v>#REF!</v>
      </c>
      <c r="Q179" s="46" t="e">
        <f t="shared" si="2"/>
        <v>#REF!</v>
      </c>
      <c r="R179" s="47" t="e">
        <f>IF(ISBLANK(Data!#REF!),"",Data!#REF!)</f>
        <v>#REF!</v>
      </c>
      <c r="S179" s="33" t="e">
        <f>IF(ISBLANK(Data!#REF!),"",Data!#REF!)</f>
        <v>#REF!</v>
      </c>
      <c r="T179" s="33" t="e">
        <f>IF(ISBLANK(Data!#REF!),"",Data!#REF!)</f>
        <v>#REF!</v>
      </c>
      <c r="U179" s="21" t="e">
        <f>IF(ISBLANK(Data!#REF!),"",Data!#REF!)</f>
        <v>#REF!</v>
      </c>
    </row>
    <row r="180" spans="1:21" x14ac:dyDescent="0.25">
      <c r="A180" s="33" t="e">
        <f>IF(ISBLANK(Data!#REF!),"",YEAR(Data!#REF!))</f>
        <v>#REF!</v>
      </c>
      <c r="B180" s="44" t="e">
        <f>IF(ISBLANK(Data!#REF!),"",Data!#REF!)</f>
        <v>#REF!</v>
      </c>
      <c r="C180" s="45" t="e">
        <f>IF(ISBLANK(Data!#REF!),"",Data!#REF!)</f>
        <v>#REF!</v>
      </c>
      <c r="D180" s="21" t="e">
        <f>IF(ISBLANK(Data!#REF!),"",Data!#REF!)</f>
        <v>#REF!</v>
      </c>
      <c r="E180" s="21" t="e">
        <f>IF(ISBLANK(Data!#REF!),"",Data!#REF!)</f>
        <v>#REF!</v>
      </c>
      <c r="F180" s="33" t="e">
        <f>IF(ISBLANK(Data!#REF!),"",Data!#REF!)</f>
        <v>#REF!</v>
      </c>
      <c r="G180" s="21" t="e">
        <f>IF(ISBLANK(Data!#REF!),"",Data!#REF!)</f>
        <v>#REF!</v>
      </c>
      <c r="H180" s="33" t="e">
        <f>IF(ISBLANK(Data!#REF!),"",Data!#REF!)</f>
        <v>#REF!</v>
      </c>
      <c r="I180" s="33" t="e">
        <f>IF(ISBLANK(Data!#REF!),"",Data!#REF!)</f>
        <v>#REF!</v>
      </c>
      <c r="J180" s="33" t="e">
        <f>IF(ISBLANK(Data!#REF!),"",Data!#REF!)</f>
        <v>#REF!</v>
      </c>
      <c r="K180" s="21" t="e">
        <f>IF(ISBLANK(Data!#REF!),"",Data!#REF!)</f>
        <v>#REF!</v>
      </c>
      <c r="L180" s="21" t="e">
        <f>IF(ISBLANK(Data!#REF!),"",Data!#REF!)</f>
        <v>#REF!</v>
      </c>
      <c r="N180" s="46" t="e">
        <f>IF(ISBLANK(Data!#REF!),"",Data!#REF!)</f>
        <v>#REF!</v>
      </c>
      <c r="O180" s="46" t="e">
        <f>IF(ISBLANK(Data!#REF!),"",Data!#REF!)</f>
        <v>#REF!</v>
      </c>
      <c r="P180" s="46" t="e">
        <f>IF(ISBLANK(Data!#REF!),"",Data!#REF!)</f>
        <v>#REF!</v>
      </c>
      <c r="Q180" s="46" t="e">
        <f t="shared" si="2"/>
        <v>#REF!</v>
      </c>
      <c r="R180" s="47" t="e">
        <f>IF(ISBLANK(Data!#REF!),"",Data!#REF!)</f>
        <v>#REF!</v>
      </c>
      <c r="S180" s="33" t="e">
        <f>IF(ISBLANK(Data!#REF!),"",Data!#REF!)</f>
        <v>#REF!</v>
      </c>
      <c r="T180" s="33" t="e">
        <f>IF(ISBLANK(Data!#REF!),"",Data!#REF!)</f>
        <v>#REF!</v>
      </c>
      <c r="U180" s="21" t="e">
        <f>IF(ISBLANK(Data!#REF!),"",Data!#REF!)</f>
        <v>#REF!</v>
      </c>
    </row>
    <row r="181" spans="1:21" x14ac:dyDescent="0.25">
      <c r="A181" s="33" t="e">
        <f>IF(ISBLANK(Data!#REF!),"",YEAR(Data!#REF!))</f>
        <v>#REF!</v>
      </c>
      <c r="B181" s="44" t="e">
        <f>IF(ISBLANK(Data!#REF!),"",Data!#REF!)</f>
        <v>#REF!</v>
      </c>
      <c r="C181" s="45" t="e">
        <f>IF(ISBLANK(Data!#REF!),"",Data!#REF!)</f>
        <v>#REF!</v>
      </c>
      <c r="D181" s="21" t="e">
        <f>IF(ISBLANK(Data!#REF!),"",Data!#REF!)</f>
        <v>#REF!</v>
      </c>
      <c r="E181" s="21" t="e">
        <f>IF(ISBLANK(Data!#REF!),"",Data!#REF!)</f>
        <v>#REF!</v>
      </c>
      <c r="F181" s="33" t="e">
        <f>IF(ISBLANK(Data!#REF!),"",Data!#REF!)</f>
        <v>#REF!</v>
      </c>
      <c r="G181" s="21" t="e">
        <f>IF(ISBLANK(Data!#REF!),"",Data!#REF!)</f>
        <v>#REF!</v>
      </c>
      <c r="H181" s="33" t="e">
        <f>IF(ISBLANK(Data!#REF!),"",Data!#REF!)</f>
        <v>#REF!</v>
      </c>
      <c r="I181" s="33" t="e">
        <f>IF(ISBLANK(Data!#REF!),"",Data!#REF!)</f>
        <v>#REF!</v>
      </c>
      <c r="J181" s="33" t="e">
        <f>IF(ISBLANK(Data!#REF!),"",Data!#REF!)</f>
        <v>#REF!</v>
      </c>
      <c r="K181" s="21" t="e">
        <f>IF(ISBLANK(Data!#REF!),"",Data!#REF!)</f>
        <v>#REF!</v>
      </c>
      <c r="L181" s="21" t="e">
        <f>IF(ISBLANK(Data!#REF!),"",Data!#REF!)</f>
        <v>#REF!</v>
      </c>
      <c r="N181" s="46" t="e">
        <f>IF(ISBLANK(Data!#REF!),"",Data!#REF!)</f>
        <v>#REF!</v>
      </c>
      <c r="O181" s="46" t="e">
        <f>IF(ISBLANK(Data!#REF!),"",Data!#REF!)</f>
        <v>#REF!</v>
      </c>
      <c r="P181" s="46" t="e">
        <f>IF(ISBLANK(Data!#REF!),"",Data!#REF!)</f>
        <v>#REF!</v>
      </c>
      <c r="Q181" s="46" t="e">
        <f t="shared" si="2"/>
        <v>#REF!</v>
      </c>
      <c r="R181" s="47" t="e">
        <f>IF(ISBLANK(Data!#REF!),"",Data!#REF!)</f>
        <v>#REF!</v>
      </c>
      <c r="S181" s="33" t="e">
        <f>IF(ISBLANK(Data!#REF!),"",Data!#REF!)</f>
        <v>#REF!</v>
      </c>
      <c r="T181" s="33" t="e">
        <f>IF(ISBLANK(Data!#REF!),"",Data!#REF!)</f>
        <v>#REF!</v>
      </c>
      <c r="U181" s="21" t="e">
        <f>IF(ISBLANK(Data!#REF!),"",Data!#REF!)</f>
        <v>#REF!</v>
      </c>
    </row>
    <row r="182" spans="1:21" x14ac:dyDescent="0.25">
      <c r="A182" s="33" t="e">
        <f>IF(ISBLANK(Data!#REF!),"",YEAR(Data!#REF!))</f>
        <v>#REF!</v>
      </c>
      <c r="B182" s="44" t="e">
        <f>IF(ISBLANK(Data!#REF!),"",Data!#REF!)</f>
        <v>#REF!</v>
      </c>
      <c r="C182" s="45" t="e">
        <f>IF(ISBLANK(Data!#REF!),"",Data!#REF!)</f>
        <v>#REF!</v>
      </c>
      <c r="D182" s="21" t="e">
        <f>IF(ISBLANK(Data!#REF!),"",Data!#REF!)</f>
        <v>#REF!</v>
      </c>
      <c r="E182" s="21" t="e">
        <f>IF(ISBLANK(Data!#REF!),"",Data!#REF!)</f>
        <v>#REF!</v>
      </c>
      <c r="F182" s="33" t="e">
        <f>IF(ISBLANK(Data!#REF!),"",Data!#REF!)</f>
        <v>#REF!</v>
      </c>
      <c r="G182" s="21" t="e">
        <f>IF(ISBLANK(Data!#REF!),"",Data!#REF!)</f>
        <v>#REF!</v>
      </c>
      <c r="H182" s="33" t="e">
        <f>IF(ISBLANK(Data!#REF!),"",Data!#REF!)</f>
        <v>#REF!</v>
      </c>
      <c r="I182" s="33" t="e">
        <f>IF(ISBLANK(Data!#REF!),"",Data!#REF!)</f>
        <v>#REF!</v>
      </c>
      <c r="J182" s="33" t="e">
        <f>IF(ISBLANK(Data!#REF!),"",Data!#REF!)</f>
        <v>#REF!</v>
      </c>
      <c r="K182" s="21" t="e">
        <f>IF(ISBLANK(Data!#REF!),"",Data!#REF!)</f>
        <v>#REF!</v>
      </c>
      <c r="L182" s="21" t="e">
        <f>IF(ISBLANK(Data!#REF!),"",Data!#REF!)</f>
        <v>#REF!</v>
      </c>
      <c r="N182" s="46" t="e">
        <f>IF(ISBLANK(Data!#REF!),"",Data!#REF!)</f>
        <v>#REF!</v>
      </c>
      <c r="O182" s="46" t="e">
        <f>IF(ISBLANK(Data!#REF!),"",Data!#REF!)</f>
        <v>#REF!</v>
      </c>
      <c r="P182" s="46" t="e">
        <f>IF(ISBLANK(Data!#REF!),"",Data!#REF!)</f>
        <v>#REF!</v>
      </c>
      <c r="Q182" s="46" t="e">
        <f t="shared" si="2"/>
        <v>#REF!</v>
      </c>
      <c r="R182" s="47" t="e">
        <f>IF(ISBLANK(Data!#REF!),"",Data!#REF!)</f>
        <v>#REF!</v>
      </c>
      <c r="S182" s="33" t="e">
        <f>IF(ISBLANK(Data!#REF!),"",Data!#REF!)</f>
        <v>#REF!</v>
      </c>
      <c r="T182" s="33" t="e">
        <f>IF(ISBLANK(Data!#REF!),"",Data!#REF!)</f>
        <v>#REF!</v>
      </c>
      <c r="U182" s="21" t="e">
        <f>IF(ISBLANK(Data!#REF!),"",Data!#REF!)</f>
        <v>#REF!</v>
      </c>
    </row>
    <row r="183" spans="1:21" x14ac:dyDescent="0.25">
      <c r="A183" s="33" t="e">
        <f>IF(ISBLANK(Data!#REF!),"",YEAR(Data!#REF!))</f>
        <v>#REF!</v>
      </c>
      <c r="B183" s="44" t="e">
        <f>IF(ISBLANK(Data!#REF!),"",Data!#REF!)</f>
        <v>#REF!</v>
      </c>
      <c r="C183" s="45" t="e">
        <f>IF(ISBLANK(Data!#REF!),"",Data!#REF!)</f>
        <v>#REF!</v>
      </c>
      <c r="D183" s="21" t="e">
        <f>IF(ISBLANK(Data!#REF!),"",Data!#REF!)</f>
        <v>#REF!</v>
      </c>
      <c r="E183" s="21" t="e">
        <f>IF(ISBLANK(Data!#REF!),"",Data!#REF!)</f>
        <v>#REF!</v>
      </c>
      <c r="F183" s="33" t="e">
        <f>IF(ISBLANK(Data!#REF!),"",Data!#REF!)</f>
        <v>#REF!</v>
      </c>
      <c r="G183" s="21" t="e">
        <f>IF(ISBLANK(Data!#REF!),"",Data!#REF!)</f>
        <v>#REF!</v>
      </c>
      <c r="H183" s="33" t="e">
        <f>IF(ISBLANK(Data!#REF!),"",Data!#REF!)</f>
        <v>#REF!</v>
      </c>
      <c r="I183" s="33" t="e">
        <f>IF(ISBLANK(Data!#REF!),"",Data!#REF!)</f>
        <v>#REF!</v>
      </c>
      <c r="J183" s="33" t="e">
        <f>IF(ISBLANK(Data!#REF!),"",Data!#REF!)</f>
        <v>#REF!</v>
      </c>
      <c r="K183" s="21" t="e">
        <f>IF(ISBLANK(Data!#REF!),"",Data!#REF!)</f>
        <v>#REF!</v>
      </c>
      <c r="L183" s="21" t="e">
        <f>IF(ISBLANK(Data!#REF!),"",Data!#REF!)</f>
        <v>#REF!</v>
      </c>
      <c r="N183" s="46" t="e">
        <f>IF(ISBLANK(Data!#REF!),"",Data!#REF!)</f>
        <v>#REF!</v>
      </c>
      <c r="O183" s="46" t="e">
        <f>IF(ISBLANK(Data!#REF!),"",Data!#REF!)</f>
        <v>#REF!</v>
      </c>
      <c r="P183" s="46" t="e">
        <f>IF(ISBLANK(Data!#REF!),"",Data!#REF!)</f>
        <v>#REF!</v>
      </c>
      <c r="Q183" s="46" t="e">
        <f t="shared" si="2"/>
        <v>#REF!</v>
      </c>
      <c r="R183" s="47" t="e">
        <f>IF(ISBLANK(Data!#REF!),"",Data!#REF!)</f>
        <v>#REF!</v>
      </c>
      <c r="S183" s="33" t="e">
        <f>IF(ISBLANK(Data!#REF!),"",Data!#REF!)</f>
        <v>#REF!</v>
      </c>
      <c r="T183" s="33" t="e">
        <f>IF(ISBLANK(Data!#REF!),"",Data!#REF!)</f>
        <v>#REF!</v>
      </c>
      <c r="U183" s="21" t="e">
        <f>IF(ISBLANK(Data!#REF!),"",Data!#REF!)</f>
        <v>#REF!</v>
      </c>
    </row>
    <row r="184" spans="1:21" x14ac:dyDescent="0.25">
      <c r="A184" s="33" t="e">
        <f>IF(ISBLANK(Data!#REF!),"",YEAR(Data!#REF!))</f>
        <v>#REF!</v>
      </c>
      <c r="B184" s="44" t="e">
        <f>IF(ISBLANK(Data!#REF!),"",Data!#REF!)</f>
        <v>#REF!</v>
      </c>
      <c r="C184" s="45" t="e">
        <f>IF(ISBLANK(Data!#REF!),"",Data!#REF!)</f>
        <v>#REF!</v>
      </c>
      <c r="D184" s="21" t="e">
        <f>IF(ISBLANK(Data!#REF!),"",Data!#REF!)</f>
        <v>#REF!</v>
      </c>
      <c r="E184" s="21" t="e">
        <f>IF(ISBLANK(Data!#REF!),"",Data!#REF!)</f>
        <v>#REF!</v>
      </c>
      <c r="F184" s="33" t="e">
        <f>IF(ISBLANK(Data!#REF!),"",Data!#REF!)</f>
        <v>#REF!</v>
      </c>
      <c r="G184" s="21" t="e">
        <f>IF(ISBLANK(Data!#REF!),"",Data!#REF!)</f>
        <v>#REF!</v>
      </c>
      <c r="H184" s="33" t="e">
        <f>IF(ISBLANK(Data!#REF!),"",Data!#REF!)</f>
        <v>#REF!</v>
      </c>
      <c r="I184" s="33" t="e">
        <f>IF(ISBLANK(Data!#REF!),"",Data!#REF!)</f>
        <v>#REF!</v>
      </c>
      <c r="J184" s="33" t="e">
        <f>IF(ISBLANK(Data!#REF!),"",Data!#REF!)</f>
        <v>#REF!</v>
      </c>
      <c r="K184" s="21" t="e">
        <f>IF(ISBLANK(Data!#REF!),"",Data!#REF!)</f>
        <v>#REF!</v>
      </c>
      <c r="L184" s="21" t="e">
        <f>IF(ISBLANK(Data!#REF!),"",Data!#REF!)</f>
        <v>#REF!</v>
      </c>
      <c r="N184" s="46" t="e">
        <f>IF(ISBLANK(Data!#REF!),"",Data!#REF!)</f>
        <v>#REF!</v>
      </c>
      <c r="O184" s="46" t="e">
        <f>IF(ISBLANK(Data!#REF!),"",Data!#REF!)</f>
        <v>#REF!</v>
      </c>
      <c r="P184" s="46" t="e">
        <f>IF(ISBLANK(Data!#REF!),"",Data!#REF!)</f>
        <v>#REF!</v>
      </c>
      <c r="Q184" s="46" t="e">
        <f t="shared" si="2"/>
        <v>#REF!</v>
      </c>
      <c r="R184" s="47" t="e">
        <f>IF(ISBLANK(Data!#REF!),"",Data!#REF!)</f>
        <v>#REF!</v>
      </c>
      <c r="S184" s="33" t="e">
        <f>IF(ISBLANK(Data!#REF!),"",Data!#REF!)</f>
        <v>#REF!</v>
      </c>
      <c r="T184" s="33" t="e">
        <f>IF(ISBLANK(Data!#REF!),"",Data!#REF!)</f>
        <v>#REF!</v>
      </c>
      <c r="U184" s="21" t="e">
        <f>IF(ISBLANK(Data!#REF!),"",Data!#REF!)</f>
        <v>#REF!</v>
      </c>
    </row>
    <row r="185" spans="1:21" x14ac:dyDescent="0.25">
      <c r="A185" s="33" t="e">
        <f>IF(ISBLANK(Data!#REF!),"",YEAR(Data!#REF!))</f>
        <v>#REF!</v>
      </c>
      <c r="B185" s="44" t="e">
        <f>IF(ISBLANK(Data!#REF!),"",Data!#REF!)</f>
        <v>#REF!</v>
      </c>
      <c r="C185" s="45" t="e">
        <f>IF(ISBLANK(Data!#REF!),"",Data!#REF!)</f>
        <v>#REF!</v>
      </c>
      <c r="D185" s="21" t="e">
        <f>IF(ISBLANK(Data!#REF!),"",Data!#REF!)</f>
        <v>#REF!</v>
      </c>
      <c r="E185" s="21" t="e">
        <f>IF(ISBLANK(Data!#REF!),"",Data!#REF!)</f>
        <v>#REF!</v>
      </c>
      <c r="F185" s="33" t="e">
        <f>IF(ISBLANK(Data!#REF!),"",Data!#REF!)</f>
        <v>#REF!</v>
      </c>
      <c r="G185" s="21" t="e">
        <f>IF(ISBLANK(Data!#REF!),"",Data!#REF!)</f>
        <v>#REF!</v>
      </c>
      <c r="H185" s="33" t="e">
        <f>IF(ISBLANK(Data!#REF!),"",Data!#REF!)</f>
        <v>#REF!</v>
      </c>
      <c r="I185" s="33" t="e">
        <f>IF(ISBLANK(Data!#REF!),"",Data!#REF!)</f>
        <v>#REF!</v>
      </c>
      <c r="J185" s="33" t="e">
        <f>IF(ISBLANK(Data!#REF!),"",Data!#REF!)</f>
        <v>#REF!</v>
      </c>
      <c r="K185" s="21" t="e">
        <f>IF(ISBLANK(Data!#REF!),"",Data!#REF!)</f>
        <v>#REF!</v>
      </c>
      <c r="L185" s="21" t="e">
        <f>IF(ISBLANK(Data!#REF!),"",Data!#REF!)</f>
        <v>#REF!</v>
      </c>
      <c r="N185" s="46" t="e">
        <f>IF(ISBLANK(Data!#REF!),"",Data!#REF!)</f>
        <v>#REF!</v>
      </c>
      <c r="O185" s="46" t="e">
        <f>IF(ISBLANK(Data!#REF!),"",Data!#REF!)</f>
        <v>#REF!</v>
      </c>
      <c r="P185" s="46" t="e">
        <f>IF(ISBLANK(Data!#REF!),"",Data!#REF!)</f>
        <v>#REF!</v>
      </c>
      <c r="Q185" s="46" t="e">
        <f t="shared" si="2"/>
        <v>#REF!</v>
      </c>
      <c r="R185" s="47" t="e">
        <f>IF(ISBLANK(Data!#REF!),"",Data!#REF!)</f>
        <v>#REF!</v>
      </c>
      <c r="S185" s="33" t="e">
        <f>IF(ISBLANK(Data!#REF!),"",Data!#REF!)</f>
        <v>#REF!</v>
      </c>
      <c r="T185" s="33" t="e">
        <f>IF(ISBLANK(Data!#REF!),"",Data!#REF!)</f>
        <v>#REF!</v>
      </c>
      <c r="U185" s="21" t="e">
        <f>IF(ISBLANK(Data!#REF!),"",Data!#REF!)</f>
        <v>#REF!</v>
      </c>
    </row>
    <row r="186" spans="1:21" x14ac:dyDescent="0.25">
      <c r="A186" s="33" t="e">
        <f>IF(ISBLANK(Data!#REF!),"",YEAR(Data!#REF!))</f>
        <v>#REF!</v>
      </c>
      <c r="B186" s="44" t="e">
        <f>IF(ISBLANK(Data!#REF!),"",Data!#REF!)</f>
        <v>#REF!</v>
      </c>
      <c r="C186" s="45" t="e">
        <f>IF(ISBLANK(Data!#REF!),"",Data!#REF!)</f>
        <v>#REF!</v>
      </c>
      <c r="D186" s="21" t="e">
        <f>IF(ISBLANK(Data!#REF!),"",Data!#REF!)</f>
        <v>#REF!</v>
      </c>
      <c r="E186" s="21" t="e">
        <f>IF(ISBLANK(Data!#REF!),"",Data!#REF!)</f>
        <v>#REF!</v>
      </c>
      <c r="F186" s="33" t="e">
        <f>IF(ISBLANK(Data!#REF!),"",Data!#REF!)</f>
        <v>#REF!</v>
      </c>
      <c r="G186" s="21" t="e">
        <f>IF(ISBLANK(Data!#REF!),"",Data!#REF!)</f>
        <v>#REF!</v>
      </c>
      <c r="H186" s="33" t="e">
        <f>IF(ISBLANK(Data!#REF!),"",Data!#REF!)</f>
        <v>#REF!</v>
      </c>
      <c r="I186" s="33" t="e">
        <f>IF(ISBLANK(Data!#REF!),"",Data!#REF!)</f>
        <v>#REF!</v>
      </c>
      <c r="J186" s="33" t="e">
        <f>IF(ISBLANK(Data!#REF!),"",Data!#REF!)</f>
        <v>#REF!</v>
      </c>
      <c r="K186" s="21" t="e">
        <f>IF(ISBLANK(Data!#REF!),"",Data!#REF!)</f>
        <v>#REF!</v>
      </c>
      <c r="L186" s="21" t="e">
        <f>IF(ISBLANK(Data!#REF!),"",Data!#REF!)</f>
        <v>#REF!</v>
      </c>
      <c r="N186" s="46" t="e">
        <f>IF(ISBLANK(Data!#REF!),"",Data!#REF!)</f>
        <v>#REF!</v>
      </c>
      <c r="O186" s="46" t="e">
        <f>IF(ISBLANK(Data!#REF!),"",Data!#REF!)</f>
        <v>#REF!</v>
      </c>
      <c r="P186" s="46" t="e">
        <f>IF(ISBLANK(Data!#REF!),"",Data!#REF!)</f>
        <v>#REF!</v>
      </c>
      <c r="Q186" s="46" t="e">
        <f t="shared" si="2"/>
        <v>#REF!</v>
      </c>
      <c r="R186" s="47" t="e">
        <f>IF(ISBLANK(Data!#REF!),"",Data!#REF!)</f>
        <v>#REF!</v>
      </c>
      <c r="S186" s="33" t="e">
        <f>IF(ISBLANK(Data!#REF!),"",Data!#REF!)</f>
        <v>#REF!</v>
      </c>
      <c r="T186" s="33" t="e">
        <f>IF(ISBLANK(Data!#REF!),"",Data!#REF!)</f>
        <v>#REF!</v>
      </c>
      <c r="U186" s="21" t="e">
        <f>IF(ISBLANK(Data!#REF!),"",Data!#REF!)</f>
        <v>#REF!</v>
      </c>
    </row>
    <row r="187" spans="1:21" x14ac:dyDescent="0.25">
      <c r="A187" s="33" t="e">
        <f>IF(ISBLANK(Data!#REF!),"",YEAR(Data!#REF!))</f>
        <v>#REF!</v>
      </c>
      <c r="B187" s="44" t="e">
        <f>IF(ISBLANK(Data!#REF!),"",Data!#REF!)</f>
        <v>#REF!</v>
      </c>
      <c r="C187" s="45" t="e">
        <f>IF(ISBLANK(Data!#REF!),"",Data!#REF!)</f>
        <v>#REF!</v>
      </c>
      <c r="D187" s="21" t="e">
        <f>IF(ISBLANK(Data!#REF!),"",Data!#REF!)</f>
        <v>#REF!</v>
      </c>
      <c r="E187" s="21" t="e">
        <f>IF(ISBLANK(Data!#REF!),"",Data!#REF!)</f>
        <v>#REF!</v>
      </c>
      <c r="F187" s="33" t="e">
        <f>IF(ISBLANK(Data!#REF!),"",Data!#REF!)</f>
        <v>#REF!</v>
      </c>
      <c r="G187" s="21" t="e">
        <f>IF(ISBLANK(Data!#REF!),"",Data!#REF!)</f>
        <v>#REF!</v>
      </c>
      <c r="H187" s="33" t="e">
        <f>IF(ISBLANK(Data!#REF!),"",Data!#REF!)</f>
        <v>#REF!</v>
      </c>
      <c r="I187" s="33" t="e">
        <f>IF(ISBLANK(Data!#REF!),"",Data!#REF!)</f>
        <v>#REF!</v>
      </c>
      <c r="J187" s="33" t="e">
        <f>IF(ISBLANK(Data!#REF!),"",Data!#REF!)</f>
        <v>#REF!</v>
      </c>
      <c r="K187" s="21" t="e">
        <f>IF(ISBLANK(Data!#REF!),"",Data!#REF!)</f>
        <v>#REF!</v>
      </c>
      <c r="L187" s="21" t="e">
        <f>IF(ISBLANK(Data!#REF!),"",Data!#REF!)</f>
        <v>#REF!</v>
      </c>
      <c r="N187" s="46" t="e">
        <f>IF(ISBLANK(Data!#REF!),"",Data!#REF!)</f>
        <v>#REF!</v>
      </c>
      <c r="O187" s="46" t="e">
        <f>IF(ISBLANK(Data!#REF!),"",Data!#REF!)</f>
        <v>#REF!</v>
      </c>
      <c r="P187" s="46" t="e">
        <f>IF(ISBLANK(Data!#REF!),"",Data!#REF!)</f>
        <v>#REF!</v>
      </c>
      <c r="Q187" s="46" t="e">
        <f t="shared" si="2"/>
        <v>#REF!</v>
      </c>
      <c r="R187" s="47" t="e">
        <f>IF(ISBLANK(Data!#REF!),"",Data!#REF!)</f>
        <v>#REF!</v>
      </c>
      <c r="S187" s="33" t="e">
        <f>IF(ISBLANK(Data!#REF!),"",Data!#REF!)</f>
        <v>#REF!</v>
      </c>
      <c r="T187" s="33" t="e">
        <f>IF(ISBLANK(Data!#REF!),"",Data!#REF!)</f>
        <v>#REF!</v>
      </c>
      <c r="U187" s="21" t="e">
        <f>IF(ISBLANK(Data!#REF!),"",Data!#REF!)</f>
        <v>#REF!</v>
      </c>
    </row>
    <row r="188" spans="1:21" x14ac:dyDescent="0.25">
      <c r="A188" s="33" t="e">
        <f>IF(ISBLANK(Data!#REF!),"",YEAR(Data!#REF!))</f>
        <v>#REF!</v>
      </c>
      <c r="B188" s="44" t="e">
        <f>IF(ISBLANK(Data!#REF!),"",Data!#REF!)</f>
        <v>#REF!</v>
      </c>
      <c r="C188" s="45" t="e">
        <f>IF(ISBLANK(Data!#REF!),"",Data!#REF!)</f>
        <v>#REF!</v>
      </c>
      <c r="D188" s="21" t="e">
        <f>IF(ISBLANK(Data!#REF!),"",Data!#REF!)</f>
        <v>#REF!</v>
      </c>
      <c r="E188" s="21" t="e">
        <f>IF(ISBLANK(Data!#REF!),"",Data!#REF!)</f>
        <v>#REF!</v>
      </c>
      <c r="F188" s="33" t="e">
        <f>IF(ISBLANK(Data!#REF!),"",Data!#REF!)</f>
        <v>#REF!</v>
      </c>
      <c r="G188" s="21" t="e">
        <f>IF(ISBLANK(Data!#REF!),"",Data!#REF!)</f>
        <v>#REF!</v>
      </c>
      <c r="H188" s="33" t="e">
        <f>IF(ISBLANK(Data!#REF!),"",Data!#REF!)</f>
        <v>#REF!</v>
      </c>
      <c r="I188" s="33" t="e">
        <f>IF(ISBLANK(Data!#REF!),"",Data!#REF!)</f>
        <v>#REF!</v>
      </c>
      <c r="J188" s="33" t="e">
        <f>IF(ISBLANK(Data!#REF!),"",Data!#REF!)</f>
        <v>#REF!</v>
      </c>
      <c r="K188" s="21" t="e">
        <f>IF(ISBLANK(Data!#REF!),"",Data!#REF!)</f>
        <v>#REF!</v>
      </c>
      <c r="L188" s="21" t="e">
        <f>IF(ISBLANK(Data!#REF!),"",Data!#REF!)</f>
        <v>#REF!</v>
      </c>
      <c r="N188" s="46" t="e">
        <f>IF(ISBLANK(Data!#REF!),"",Data!#REF!)</f>
        <v>#REF!</v>
      </c>
      <c r="O188" s="46" t="e">
        <f>IF(ISBLANK(Data!#REF!),"",Data!#REF!)</f>
        <v>#REF!</v>
      </c>
      <c r="P188" s="46" t="e">
        <f>IF(ISBLANK(Data!#REF!),"",Data!#REF!)</f>
        <v>#REF!</v>
      </c>
      <c r="Q188" s="46" t="e">
        <f t="shared" si="2"/>
        <v>#REF!</v>
      </c>
      <c r="R188" s="47" t="e">
        <f>IF(ISBLANK(Data!#REF!),"",Data!#REF!)</f>
        <v>#REF!</v>
      </c>
      <c r="S188" s="33" t="e">
        <f>IF(ISBLANK(Data!#REF!),"",Data!#REF!)</f>
        <v>#REF!</v>
      </c>
      <c r="T188" s="33" t="e">
        <f>IF(ISBLANK(Data!#REF!),"",Data!#REF!)</f>
        <v>#REF!</v>
      </c>
      <c r="U188" s="21" t="e">
        <f>IF(ISBLANK(Data!#REF!),"",Data!#REF!)</f>
        <v>#REF!</v>
      </c>
    </row>
    <row r="189" spans="1:21" x14ac:dyDescent="0.25">
      <c r="A189" s="33" t="e">
        <f>IF(ISBLANK(Data!#REF!),"",YEAR(Data!#REF!))</f>
        <v>#REF!</v>
      </c>
      <c r="B189" s="44" t="e">
        <f>IF(ISBLANK(Data!#REF!),"",Data!#REF!)</f>
        <v>#REF!</v>
      </c>
      <c r="C189" s="45" t="e">
        <f>IF(ISBLANK(Data!#REF!),"",Data!#REF!)</f>
        <v>#REF!</v>
      </c>
      <c r="D189" s="21" t="e">
        <f>IF(ISBLANK(Data!#REF!),"",Data!#REF!)</f>
        <v>#REF!</v>
      </c>
      <c r="E189" s="21" t="e">
        <f>IF(ISBLANK(Data!#REF!),"",Data!#REF!)</f>
        <v>#REF!</v>
      </c>
      <c r="F189" s="33" t="e">
        <f>IF(ISBLANK(Data!#REF!),"",Data!#REF!)</f>
        <v>#REF!</v>
      </c>
      <c r="G189" s="21" t="e">
        <f>IF(ISBLANK(Data!#REF!),"",Data!#REF!)</f>
        <v>#REF!</v>
      </c>
      <c r="H189" s="33" t="e">
        <f>IF(ISBLANK(Data!#REF!),"",Data!#REF!)</f>
        <v>#REF!</v>
      </c>
      <c r="I189" s="33" t="e">
        <f>IF(ISBLANK(Data!#REF!),"",Data!#REF!)</f>
        <v>#REF!</v>
      </c>
      <c r="J189" s="33" t="e">
        <f>IF(ISBLANK(Data!#REF!),"",Data!#REF!)</f>
        <v>#REF!</v>
      </c>
      <c r="K189" s="21" t="e">
        <f>IF(ISBLANK(Data!#REF!),"",Data!#REF!)</f>
        <v>#REF!</v>
      </c>
      <c r="L189" s="21" t="e">
        <f>IF(ISBLANK(Data!#REF!),"",Data!#REF!)</f>
        <v>#REF!</v>
      </c>
      <c r="N189" s="46" t="e">
        <f>IF(ISBLANK(Data!#REF!),"",Data!#REF!)</f>
        <v>#REF!</v>
      </c>
      <c r="O189" s="46" t="e">
        <f>IF(ISBLANK(Data!#REF!),"",Data!#REF!)</f>
        <v>#REF!</v>
      </c>
      <c r="P189" s="46" t="e">
        <f>IF(ISBLANK(Data!#REF!),"",Data!#REF!)</f>
        <v>#REF!</v>
      </c>
      <c r="Q189" s="46" t="e">
        <f t="shared" si="2"/>
        <v>#REF!</v>
      </c>
      <c r="R189" s="47" t="e">
        <f>IF(ISBLANK(Data!#REF!),"",Data!#REF!)</f>
        <v>#REF!</v>
      </c>
      <c r="S189" s="33" t="e">
        <f>IF(ISBLANK(Data!#REF!),"",Data!#REF!)</f>
        <v>#REF!</v>
      </c>
      <c r="T189" s="33" t="e">
        <f>IF(ISBLANK(Data!#REF!),"",Data!#REF!)</f>
        <v>#REF!</v>
      </c>
      <c r="U189" s="21" t="e">
        <f>IF(ISBLANK(Data!#REF!),"",Data!#REF!)</f>
        <v>#REF!</v>
      </c>
    </row>
    <row r="190" spans="1:21" x14ac:dyDescent="0.25">
      <c r="A190" s="33" t="e">
        <f>IF(ISBLANK(Data!#REF!),"",YEAR(Data!#REF!))</f>
        <v>#REF!</v>
      </c>
      <c r="B190" s="44" t="e">
        <f>IF(ISBLANK(Data!#REF!),"",Data!#REF!)</f>
        <v>#REF!</v>
      </c>
      <c r="C190" s="45" t="e">
        <f>IF(ISBLANK(Data!#REF!),"",Data!#REF!)</f>
        <v>#REF!</v>
      </c>
      <c r="D190" s="21" t="e">
        <f>IF(ISBLANK(Data!#REF!),"",Data!#REF!)</f>
        <v>#REF!</v>
      </c>
      <c r="E190" s="21" t="e">
        <f>IF(ISBLANK(Data!#REF!),"",Data!#REF!)</f>
        <v>#REF!</v>
      </c>
      <c r="F190" s="33" t="e">
        <f>IF(ISBLANK(Data!#REF!),"",Data!#REF!)</f>
        <v>#REF!</v>
      </c>
      <c r="G190" s="21" t="e">
        <f>IF(ISBLANK(Data!#REF!),"",Data!#REF!)</f>
        <v>#REF!</v>
      </c>
      <c r="H190" s="33" t="e">
        <f>IF(ISBLANK(Data!#REF!),"",Data!#REF!)</f>
        <v>#REF!</v>
      </c>
      <c r="I190" s="33" t="e">
        <f>IF(ISBLANK(Data!#REF!),"",Data!#REF!)</f>
        <v>#REF!</v>
      </c>
      <c r="J190" s="33" t="e">
        <f>IF(ISBLANK(Data!#REF!),"",Data!#REF!)</f>
        <v>#REF!</v>
      </c>
      <c r="K190" s="21" t="e">
        <f>IF(ISBLANK(Data!#REF!),"",Data!#REF!)</f>
        <v>#REF!</v>
      </c>
      <c r="L190" s="21" t="e">
        <f>IF(ISBLANK(Data!#REF!),"",Data!#REF!)</f>
        <v>#REF!</v>
      </c>
      <c r="N190" s="46" t="e">
        <f>IF(ISBLANK(Data!#REF!),"",Data!#REF!)</f>
        <v>#REF!</v>
      </c>
      <c r="O190" s="46" t="e">
        <f>IF(ISBLANK(Data!#REF!),"",Data!#REF!)</f>
        <v>#REF!</v>
      </c>
      <c r="P190" s="46" t="e">
        <f>IF(ISBLANK(Data!#REF!),"",Data!#REF!)</f>
        <v>#REF!</v>
      </c>
      <c r="Q190" s="46" t="e">
        <f t="shared" si="2"/>
        <v>#REF!</v>
      </c>
      <c r="R190" s="47" t="e">
        <f>IF(ISBLANK(Data!#REF!),"",Data!#REF!)</f>
        <v>#REF!</v>
      </c>
      <c r="S190" s="33" t="e">
        <f>IF(ISBLANK(Data!#REF!),"",Data!#REF!)</f>
        <v>#REF!</v>
      </c>
      <c r="T190" s="33" t="e">
        <f>IF(ISBLANK(Data!#REF!),"",Data!#REF!)</f>
        <v>#REF!</v>
      </c>
      <c r="U190" s="21" t="e">
        <f>IF(ISBLANK(Data!#REF!),"",Data!#REF!)</f>
        <v>#REF!</v>
      </c>
    </row>
    <row r="191" spans="1:21" x14ac:dyDescent="0.25">
      <c r="A191" s="33" t="e">
        <f>IF(ISBLANK(Data!#REF!),"",YEAR(Data!#REF!))</f>
        <v>#REF!</v>
      </c>
      <c r="B191" s="44" t="e">
        <f>IF(ISBLANK(Data!#REF!),"",Data!#REF!)</f>
        <v>#REF!</v>
      </c>
      <c r="C191" s="45" t="e">
        <f>IF(ISBLANK(Data!#REF!),"",Data!#REF!)</f>
        <v>#REF!</v>
      </c>
      <c r="D191" s="21" t="e">
        <f>IF(ISBLANK(Data!#REF!),"",Data!#REF!)</f>
        <v>#REF!</v>
      </c>
      <c r="E191" s="21" t="e">
        <f>IF(ISBLANK(Data!#REF!),"",Data!#REF!)</f>
        <v>#REF!</v>
      </c>
      <c r="F191" s="33" t="e">
        <f>IF(ISBLANK(Data!#REF!),"",Data!#REF!)</f>
        <v>#REF!</v>
      </c>
      <c r="G191" s="21" t="e">
        <f>IF(ISBLANK(Data!#REF!),"",Data!#REF!)</f>
        <v>#REF!</v>
      </c>
      <c r="H191" s="33" t="e">
        <f>IF(ISBLANK(Data!#REF!),"",Data!#REF!)</f>
        <v>#REF!</v>
      </c>
      <c r="I191" s="33" t="e">
        <f>IF(ISBLANK(Data!#REF!),"",Data!#REF!)</f>
        <v>#REF!</v>
      </c>
      <c r="J191" s="33" t="e">
        <f>IF(ISBLANK(Data!#REF!),"",Data!#REF!)</f>
        <v>#REF!</v>
      </c>
      <c r="K191" s="21" t="e">
        <f>IF(ISBLANK(Data!#REF!),"",Data!#REF!)</f>
        <v>#REF!</v>
      </c>
      <c r="L191" s="21" t="e">
        <f>IF(ISBLANK(Data!#REF!),"",Data!#REF!)</f>
        <v>#REF!</v>
      </c>
      <c r="N191" s="46" t="e">
        <f>IF(ISBLANK(Data!#REF!),"",Data!#REF!)</f>
        <v>#REF!</v>
      </c>
      <c r="O191" s="46" t="e">
        <f>IF(ISBLANK(Data!#REF!),"",Data!#REF!)</f>
        <v>#REF!</v>
      </c>
      <c r="P191" s="46" t="e">
        <f>IF(ISBLANK(Data!#REF!),"",Data!#REF!)</f>
        <v>#REF!</v>
      </c>
      <c r="Q191" s="46" t="e">
        <f t="shared" si="2"/>
        <v>#REF!</v>
      </c>
      <c r="R191" s="47" t="e">
        <f>IF(ISBLANK(Data!#REF!),"",Data!#REF!)</f>
        <v>#REF!</v>
      </c>
      <c r="S191" s="33" t="e">
        <f>IF(ISBLANK(Data!#REF!),"",Data!#REF!)</f>
        <v>#REF!</v>
      </c>
      <c r="T191" s="33" t="e">
        <f>IF(ISBLANK(Data!#REF!),"",Data!#REF!)</f>
        <v>#REF!</v>
      </c>
      <c r="U191" s="21" t="e">
        <f>IF(ISBLANK(Data!#REF!),"",Data!#REF!)</f>
        <v>#REF!</v>
      </c>
    </row>
    <row r="192" spans="1:21" x14ac:dyDescent="0.25">
      <c r="A192" s="33" t="e">
        <f>IF(ISBLANK(Data!#REF!),"",YEAR(Data!#REF!))</f>
        <v>#REF!</v>
      </c>
      <c r="B192" s="44" t="e">
        <f>IF(ISBLANK(Data!#REF!),"",Data!#REF!)</f>
        <v>#REF!</v>
      </c>
      <c r="C192" s="45" t="e">
        <f>IF(ISBLANK(Data!#REF!),"",Data!#REF!)</f>
        <v>#REF!</v>
      </c>
      <c r="D192" s="21" t="e">
        <f>IF(ISBLANK(Data!#REF!),"",Data!#REF!)</f>
        <v>#REF!</v>
      </c>
      <c r="E192" s="21" t="e">
        <f>IF(ISBLANK(Data!#REF!),"",Data!#REF!)</f>
        <v>#REF!</v>
      </c>
      <c r="F192" s="33" t="e">
        <f>IF(ISBLANK(Data!#REF!),"",Data!#REF!)</f>
        <v>#REF!</v>
      </c>
      <c r="G192" s="21" t="e">
        <f>IF(ISBLANK(Data!#REF!),"",Data!#REF!)</f>
        <v>#REF!</v>
      </c>
      <c r="H192" s="33" t="e">
        <f>IF(ISBLANK(Data!#REF!),"",Data!#REF!)</f>
        <v>#REF!</v>
      </c>
      <c r="I192" s="33" t="e">
        <f>IF(ISBLANK(Data!#REF!),"",Data!#REF!)</f>
        <v>#REF!</v>
      </c>
      <c r="J192" s="33" t="e">
        <f>IF(ISBLANK(Data!#REF!),"",Data!#REF!)</f>
        <v>#REF!</v>
      </c>
      <c r="K192" s="21" t="e">
        <f>IF(ISBLANK(Data!#REF!),"",Data!#REF!)</f>
        <v>#REF!</v>
      </c>
      <c r="L192" s="21" t="e">
        <f>IF(ISBLANK(Data!#REF!),"",Data!#REF!)</f>
        <v>#REF!</v>
      </c>
      <c r="N192" s="46" t="e">
        <f>IF(ISBLANK(Data!#REF!),"",Data!#REF!)</f>
        <v>#REF!</v>
      </c>
      <c r="O192" s="46" t="e">
        <f>IF(ISBLANK(Data!#REF!),"",Data!#REF!)</f>
        <v>#REF!</v>
      </c>
      <c r="P192" s="46" t="e">
        <f>IF(ISBLANK(Data!#REF!),"",Data!#REF!)</f>
        <v>#REF!</v>
      </c>
      <c r="Q192" s="46" t="e">
        <f t="shared" si="2"/>
        <v>#REF!</v>
      </c>
      <c r="R192" s="47" t="e">
        <f>IF(ISBLANK(Data!#REF!),"",Data!#REF!)</f>
        <v>#REF!</v>
      </c>
      <c r="S192" s="33" t="e">
        <f>IF(ISBLANK(Data!#REF!),"",Data!#REF!)</f>
        <v>#REF!</v>
      </c>
      <c r="T192" s="33" t="e">
        <f>IF(ISBLANK(Data!#REF!),"",Data!#REF!)</f>
        <v>#REF!</v>
      </c>
      <c r="U192" s="21" t="e">
        <f>IF(ISBLANK(Data!#REF!),"",Data!#REF!)</f>
        <v>#REF!</v>
      </c>
    </row>
    <row r="193" spans="1:21" x14ac:dyDescent="0.25">
      <c r="A193" s="33" t="e">
        <f>IF(ISBLANK(Data!#REF!),"",YEAR(Data!#REF!))</f>
        <v>#REF!</v>
      </c>
      <c r="B193" s="44" t="e">
        <f>IF(ISBLANK(Data!#REF!),"",Data!#REF!)</f>
        <v>#REF!</v>
      </c>
      <c r="C193" s="45" t="e">
        <f>IF(ISBLANK(Data!#REF!),"",Data!#REF!)</f>
        <v>#REF!</v>
      </c>
      <c r="D193" s="21" t="e">
        <f>IF(ISBLANK(Data!#REF!),"",Data!#REF!)</f>
        <v>#REF!</v>
      </c>
      <c r="E193" s="21" t="e">
        <f>IF(ISBLANK(Data!#REF!),"",Data!#REF!)</f>
        <v>#REF!</v>
      </c>
      <c r="F193" s="33" t="e">
        <f>IF(ISBLANK(Data!#REF!),"",Data!#REF!)</f>
        <v>#REF!</v>
      </c>
      <c r="G193" s="21" t="e">
        <f>IF(ISBLANK(Data!#REF!),"",Data!#REF!)</f>
        <v>#REF!</v>
      </c>
      <c r="H193" s="33" t="e">
        <f>IF(ISBLANK(Data!#REF!),"",Data!#REF!)</f>
        <v>#REF!</v>
      </c>
      <c r="I193" s="33" t="e">
        <f>IF(ISBLANK(Data!#REF!),"",Data!#REF!)</f>
        <v>#REF!</v>
      </c>
      <c r="J193" s="33" t="e">
        <f>IF(ISBLANK(Data!#REF!),"",Data!#REF!)</f>
        <v>#REF!</v>
      </c>
      <c r="K193" s="21" t="e">
        <f>IF(ISBLANK(Data!#REF!),"",Data!#REF!)</f>
        <v>#REF!</v>
      </c>
      <c r="L193" s="21" t="e">
        <f>IF(ISBLANK(Data!#REF!),"",Data!#REF!)</f>
        <v>#REF!</v>
      </c>
      <c r="N193" s="46" t="e">
        <f>IF(ISBLANK(Data!#REF!),"",Data!#REF!)</f>
        <v>#REF!</v>
      </c>
      <c r="O193" s="46" t="e">
        <f>IF(ISBLANK(Data!#REF!),"",Data!#REF!)</f>
        <v>#REF!</v>
      </c>
      <c r="P193" s="46" t="e">
        <f>IF(ISBLANK(Data!#REF!),"",Data!#REF!)</f>
        <v>#REF!</v>
      </c>
      <c r="Q193" s="46" t="e">
        <f t="shared" si="2"/>
        <v>#REF!</v>
      </c>
      <c r="R193" s="47" t="e">
        <f>IF(ISBLANK(Data!#REF!),"",Data!#REF!)</f>
        <v>#REF!</v>
      </c>
      <c r="S193" s="33" t="e">
        <f>IF(ISBLANK(Data!#REF!),"",Data!#REF!)</f>
        <v>#REF!</v>
      </c>
      <c r="T193" s="33" t="e">
        <f>IF(ISBLANK(Data!#REF!),"",Data!#REF!)</f>
        <v>#REF!</v>
      </c>
      <c r="U193" s="21" t="e">
        <f>IF(ISBLANK(Data!#REF!),"",Data!#REF!)</f>
        <v>#REF!</v>
      </c>
    </row>
    <row r="194" spans="1:21" x14ac:dyDescent="0.25">
      <c r="A194" s="33" t="e">
        <f>IF(ISBLANK(Data!#REF!),"",YEAR(Data!#REF!))</f>
        <v>#REF!</v>
      </c>
      <c r="B194" s="44" t="e">
        <f>IF(ISBLANK(Data!#REF!),"",Data!#REF!)</f>
        <v>#REF!</v>
      </c>
      <c r="C194" s="45" t="e">
        <f>IF(ISBLANK(Data!#REF!),"",Data!#REF!)</f>
        <v>#REF!</v>
      </c>
      <c r="D194" s="21" t="e">
        <f>IF(ISBLANK(Data!#REF!),"",Data!#REF!)</f>
        <v>#REF!</v>
      </c>
      <c r="E194" s="21" t="e">
        <f>IF(ISBLANK(Data!#REF!),"",Data!#REF!)</f>
        <v>#REF!</v>
      </c>
      <c r="F194" s="33" t="e">
        <f>IF(ISBLANK(Data!#REF!),"",Data!#REF!)</f>
        <v>#REF!</v>
      </c>
      <c r="G194" s="21" t="e">
        <f>IF(ISBLANK(Data!#REF!),"",Data!#REF!)</f>
        <v>#REF!</v>
      </c>
      <c r="H194" s="33" t="e">
        <f>IF(ISBLANK(Data!#REF!),"",Data!#REF!)</f>
        <v>#REF!</v>
      </c>
      <c r="I194" s="33" t="e">
        <f>IF(ISBLANK(Data!#REF!),"",Data!#REF!)</f>
        <v>#REF!</v>
      </c>
      <c r="J194" s="33" t="e">
        <f>IF(ISBLANK(Data!#REF!),"",Data!#REF!)</f>
        <v>#REF!</v>
      </c>
      <c r="K194" s="21" t="e">
        <f>IF(ISBLANK(Data!#REF!),"",Data!#REF!)</f>
        <v>#REF!</v>
      </c>
      <c r="L194" s="21" t="e">
        <f>IF(ISBLANK(Data!#REF!),"",Data!#REF!)</f>
        <v>#REF!</v>
      </c>
      <c r="N194" s="46" t="e">
        <f>IF(ISBLANK(Data!#REF!),"",Data!#REF!)</f>
        <v>#REF!</v>
      </c>
      <c r="O194" s="46" t="e">
        <f>IF(ISBLANK(Data!#REF!),"",Data!#REF!)</f>
        <v>#REF!</v>
      </c>
      <c r="P194" s="46" t="e">
        <f>IF(ISBLANK(Data!#REF!),"",Data!#REF!)</f>
        <v>#REF!</v>
      </c>
      <c r="Q194" s="46" t="e">
        <f t="shared" si="2"/>
        <v>#REF!</v>
      </c>
      <c r="R194" s="47" t="e">
        <f>IF(ISBLANK(Data!#REF!),"",Data!#REF!)</f>
        <v>#REF!</v>
      </c>
      <c r="S194" s="33" t="e">
        <f>IF(ISBLANK(Data!#REF!),"",Data!#REF!)</f>
        <v>#REF!</v>
      </c>
      <c r="T194" s="33" t="e">
        <f>IF(ISBLANK(Data!#REF!),"",Data!#REF!)</f>
        <v>#REF!</v>
      </c>
      <c r="U194" s="21" t="e">
        <f>IF(ISBLANK(Data!#REF!),"",Data!#REF!)</f>
        <v>#REF!</v>
      </c>
    </row>
    <row r="195" spans="1:21" x14ac:dyDescent="0.25">
      <c r="A195" s="33" t="e">
        <f>IF(ISBLANK(Data!#REF!),"",YEAR(Data!#REF!))</f>
        <v>#REF!</v>
      </c>
      <c r="B195" s="44" t="e">
        <f>IF(ISBLANK(Data!#REF!),"",Data!#REF!)</f>
        <v>#REF!</v>
      </c>
      <c r="C195" s="45" t="e">
        <f>IF(ISBLANK(Data!#REF!),"",Data!#REF!)</f>
        <v>#REF!</v>
      </c>
      <c r="D195" s="21" t="e">
        <f>IF(ISBLANK(Data!#REF!),"",Data!#REF!)</f>
        <v>#REF!</v>
      </c>
      <c r="E195" s="21" t="e">
        <f>IF(ISBLANK(Data!#REF!),"",Data!#REF!)</f>
        <v>#REF!</v>
      </c>
      <c r="F195" s="33" t="e">
        <f>IF(ISBLANK(Data!#REF!),"",Data!#REF!)</f>
        <v>#REF!</v>
      </c>
      <c r="G195" s="21" t="e">
        <f>IF(ISBLANK(Data!#REF!),"",Data!#REF!)</f>
        <v>#REF!</v>
      </c>
      <c r="H195" s="33" t="e">
        <f>IF(ISBLANK(Data!#REF!),"",Data!#REF!)</f>
        <v>#REF!</v>
      </c>
      <c r="I195" s="33" t="e">
        <f>IF(ISBLANK(Data!#REF!),"",Data!#REF!)</f>
        <v>#REF!</v>
      </c>
      <c r="J195" s="33" t="e">
        <f>IF(ISBLANK(Data!#REF!),"",Data!#REF!)</f>
        <v>#REF!</v>
      </c>
      <c r="K195" s="21" t="e">
        <f>IF(ISBLANK(Data!#REF!),"",Data!#REF!)</f>
        <v>#REF!</v>
      </c>
      <c r="L195" s="21" t="e">
        <f>IF(ISBLANK(Data!#REF!),"",Data!#REF!)</f>
        <v>#REF!</v>
      </c>
      <c r="N195" s="46" t="e">
        <f>IF(ISBLANK(Data!#REF!),"",Data!#REF!)</f>
        <v>#REF!</v>
      </c>
      <c r="O195" s="46" t="e">
        <f>IF(ISBLANK(Data!#REF!),"",Data!#REF!)</f>
        <v>#REF!</v>
      </c>
      <c r="P195" s="46" t="e">
        <f>IF(ISBLANK(Data!#REF!),"",Data!#REF!)</f>
        <v>#REF!</v>
      </c>
      <c r="Q195" s="46" t="e">
        <f t="shared" ref="Q195:Q258" si="3">IF(N195="","",IF(O195="",N195,N195+O195))</f>
        <v>#REF!</v>
      </c>
      <c r="R195" s="47" t="e">
        <f>IF(ISBLANK(Data!#REF!),"",Data!#REF!)</f>
        <v>#REF!</v>
      </c>
      <c r="S195" s="33" t="e">
        <f>IF(ISBLANK(Data!#REF!),"",Data!#REF!)</f>
        <v>#REF!</v>
      </c>
      <c r="T195" s="33" t="e">
        <f>IF(ISBLANK(Data!#REF!),"",Data!#REF!)</f>
        <v>#REF!</v>
      </c>
      <c r="U195" s="21" t="e">
        <f>IF(ISBLANK(Data!#REF!),"",Data!#REF!)</f>
        <v>#REF!</v>
      </c>
    </row>
    <row r="196" spans="1:21" x14ac:dyDescent="0.25">
      <c r="A196" s="33" t="e">
        <f>IF(ISBLANK(Data!#REF!),"",YEAR(Data!#REF!))</f>
        <v>#REF!</v>
      </c>
      <c r="B196" s="44" t="e">
        <f>IF(ISBLANK(Data!#REF!),"",Data!#REF!)</f>
        <v>#REF!</v>
      </c>
      <c r="C196" s="45" t="e">
        <f>IF(ISBLANK(Data!#REF!),"",Data!#REF!)</f>
        <v>#REF!</v>
      </c>
      <c r="D196" s="21" t="e">
        <f>IF(ISBLANK(Data!#REF!),"",Data!#REF!)</f>
        <v>#REF!</v>
      </c>
      <c r="E196" s="21" t="e">
        <f>IF(ISBLANK(Data!#REF!),"",Data!#REF!)</f>
        <v>#REF!</v>
      </c>
      <c r="F196" s="33" t="e">
        <f>IF(ISBLANK(Data!#REF!),"",Data!#REF!)</f>
        <v>#REF!</v>
      </c>
      <c r="G196" s="21" t="e">
        <f>IF(ISBLANK(Data!#REF!),"",Data!#REF!)</f>
        <v>#REF!</v>
      </c>
      <c r="H196" s="33" t="e">
        <f>IF(ISBLANK(Data!#REF!),"",Data!#REF!)</f>
        <v>#REF!</v>
      </c>
      <c r="I196" s="33" t="e">
        <f>IF(ISBLANK(Data!#REF!),"",Data!#REF!)</f>
        <v>#REF!</v>
      </c>
      <c r="J196" s="33" t="e">
        <f>IF(ISBLANK(Data!#REF!),"",Data!#REF!)</f>
        <v>#REF!</v>
      </c>
      <c r="K196" s="21" t="e">
        <f>IF(ISBLANK(Data!#REF!),"",Data!#REF!)</f>
        <v>#REF!</v>
      </c>
      <c r="L196" s="21" t="e">
        <f>IF(ISBLANK(Data!#REF!),"",Data!#REF!)</f>
        <v>#REF!</v>
      </c>
      <c r="N196" s="46" t="e">
        <f>IF(ISBLANK(Data!#REF!),"",Data!#REF!)</f>
        <v>#REF!</v>
      </c>
      <c r="O196" s="46" t="e">
        <f>IF(ISBLANK(Data!#REF!),"",Data!#REF!)</f>
        <v>#REF!</v>
      </c>
      <c r="P196" s="46" t="e">
        <f>IF(ISBLANK(Data!#REF!),"",Data!#REF!)</f>
        <v>#REF!</v>
      </c>
      <c r="Q196" s="46" t="e">
        <f t="shared" si="3"/>
        <v>#REF!</v>
      </c>
      <c r="R196" s="47" t="e">
        <f>IF(ISBLANK(Data!#REF!),"",Data!#REF!)</f>
        <v>#REF!</v>
      </c>
      <c r="S196" s="33" t="e">
        <f>IF(ISBLANK(Data!#REF!),"",Data!#REF!)</f>
        <v>#REF!</v>
      </c>
      <c r="T196" s="33" t="e">
        <f>IF(ISBLANK(Data!#REF!),"",Data!#REF!)</f>
        <v>#REF!</v>
      </c>
      <c r="U196" s="21" t="e">
        <f>IF(ISBLANK(Data!#REF!),"",Data!#REF!)</f>
        <v>#REF!</v>
      </c>
    </row>
    <row r="197" spans="1:21" x14ac:dyDescent="0.25">
      <c r="A197" s="33" t="e">
        <f>IF(ISBLANK(Data!#REF!),"",YEAR(Data!#REF!))</f>
        <v>#REF!</v>
      </c>
      <c r="B197" s="44" t="e">
        <f>IF(ISBLANK(Data!#REF!),"",Data!#REF!)</f>
        <v>#REF!</v>
      </c>
      <c r="C197" s="45" t="e">
        <f>IF(ISBLANK(Data!#REF!),"",Data!#REF!)</f>
        <v>#REF!</v>
      </c>
      <c r="D197" s="21" t="e">
        <f>IF(ISBLANK(Data!#REF!),"",Data!#REF!)</f>
        <v>#REF!</v>
      </c>
      <c r="E197" s="21" t="e">
        <f>IF(ISBLANK(Data!#REF!),"",Data!#REF!)</f>
        <v>#REF!</v>
      </c>
      <c r="F197" s="33" t="e">
        <f>IF(ISBLANK(Data!#REF!),"",Data!#REF!)</f>
        <v>#REF!</v>
      </c>
      <c r="G197" s="21" t="e">
        <f>IF(ISBLANK(Data!#REF!),"",Data!#REF!)</f>
        <v>#REF!</v>
      </c>
      <c r="H197" s="33" t="e">
        <f>IF(ISBLANK(Data!#REF!),"",Data!#REF!)</f>
        <v>#REF!</v>
      </c>
      <c r="I197" s="33" t="e">
        <f>IF(ISBLANK(Data!#REF!),"",Data!#REF!)</f>
        <v>#REF!</v>
      </c>
      <c r="J197" s="33" t="e">
        <f>IF(ISBLANK(Data!#REF!),"",Data!#REF!)</f>
        <v>#REF!</v>
      </c>
      <c r="K197" s="21" t="e">
        <f>IF(ISBLANK(Data!#REF!),"",Data!#REF!)</f>
        <v>#REF!</v>
      </c>
      <c r="L197" s="21" t="e">
        <f>IF(ISBLANK(Data!#REF!),"",Data!#REF!)</f>
        <v>#REF!</v>
      </c>
      <c r="N197" s="46" t="e">
        <f>IF(ISBLANK(Data!#REF!),"",Data!#REF!)</f>
        <v>#REF!</v>
      </c>
      <c r="O197" s="46" t="e">
        <f>IF(ISBLANK(Data!#REF!),"",Data!#REF!)</f>
        <v>#REF!</v>
      </c>
      <c r="P197" s="46" t="e">
        <f>IF(ISBLANK(Data!#REF!),"",Data!#REF!)</f>
        <v>#REF!</v>
      </c>
      <c r="Q197" s="46" t="e">
        <f t="shared" si="3"/>
        <v>#REF!</v>
      </c>
      <c r="R197" s="47" t="e">
        <f>IF(ISBLANK(Data!#REF!),"",Data!#REF!)</f>
        <v>#REF!</v>
      </c>
      <c r="S197" s="33" t="e">
        <f>IF(ISBLANK(Data!#REF!),"",Data!#REF!)</f>
        <v>#REF!</v>
      </c>
      <c r="T197" s="33" t="e">
        <f>IF(ISBLANK(Data!#REF!),"",Data!#REF!)</f>
        <v>#REF!</v>
      </c>
      <c r="U197" s="21" t="e">
        <f>IF(ISBLANK(Data!#REF!),"",Data!#REF!)</f>
        <v>#REF!</v>
      </c>
    </row>
    <row r="198" spans="1:21" x14ac:dyDescent="0.25">
      <c r="A198" s="33" t="e">
        <f>IF(ISBLANK(Data!#REF!),"",YEAR(Data!#REF!))</f>
        <v>#REF!</v>
      </c>
      <c r="B198" s="44" t="e">
        <f>IF(ISBLANK(Data!#REF!),"",Data!#REF!)</f>
        <v>#REF!</v>
      </c>
      <c r="C198" s="45" t="e">
        <f>IF(ISBLANK(Data!#REF!),"",Data!#REF!)</f>
        <v>#REF!</v>
      </c>
      <c r="D198" s="21" t="e">
        <f>IF(ISBLANK(Data!#REF!),"",Data!#REF!)</f>
        <v>#REF!</v>
      </c>
      <c r="E198" s="21" t="e">
        <f>IF(ISBLANK(Data!#REF!),"",Data!#REF!)</f>
        <v>#REF!</v>
      </c>
      <c r="F198" s="33" t="e">
        <f>IF(ISBLANK(Data!#REF!),"",Data!#REF!)</f>
        <v>#REF!</v>
      </c>
      <c r="G198" s="21" t="e">
        <f>IF(ISBLANK(Data!#REF!),"",Data!#REF!)</f>
        <v>#REF!</v>
      </c>
      <c r="H198" s="33" t="e">
        <f>IF(ISBLANK(Data!#REF!),"",Data!#REF!)</f>
        <v>#REF!</v>
      </c>
      <c r="I198" s="33" t="e">
        <f>IF(ISBLANK(Data!#REF!),"",Data!#REF!)</f>
        <v>#REF!</v>
      </c>
      <c r="J198" s="33" t="e">
        <f>IF(ISBLANK(Data!#REF!),"",Data!#REF!)</f>
        <v>#REF!</v>
      </c>
      <c r="K198" s="21" t="e">
        <f>IF(ISBLANK(Data!#REF!),"",Data!#REF!)</f>
        <v>#REF!</v>
      </c>
      <c r="L198" s="21" t="e">
        <f>IF(ISBLANK(Data!#REF!),"",Data!#REF!)</f>
        <v>#REF!</v>
      </c>
      <c r="N198" s="46" t="e">
        <f>IF(ISBLANK(Data!#REF!),"",Data!#REF!)</f>
        <v>#REF!</v>
      </c>
      <c r="O198" s="46" t="e">
        <f>IF(ISBLANK(Data!#REF!),"",Data!#REF!)</f>
        <v>#REF!</v>
      </c>
      <c r="P198" s="46" t="e">
        <f>IF(ISBLANK(Data!#REF!),"",Data!#REF!)</f>
        <v>#REF!</v>
      </c>
      <c r="Q198" s="46" t="e">
        <f t="shared" si="3"/>
        <v>#REF!</v>
      </c>
      <c r="R198" s="47" t="e">
        <f>IF(ISBLANK(Data!#REF!),"",Data!#REF!)</f>
        <v>#REF!</v>
      </c>
      <c r="S198" s="33" t="e">
        <f>IF(ISBLANK(Data!#REF!),"",Data!#REF!)</f>
        <v>#REF!</v>
      </c>
      <c r="T198" s="33" t="e">
        <f>IF(ISBLANK(Data!#REF!),"",Data!#REF!)</f>
        <v>#REF!</v>
      </c>
      <c r="U198" s="21" t="e">
        <f>IF(ISBLANK(Data!#REF!),"",Data!#REF!)</f>
        <v>#REF!</v>
      </c>
    </row>
    <row r="199" spans="1:21" x14ac:dyDescent="0.25">
      <c r="A199" s="33" t="e">
        <f>IF(ISBLANK(Data!#REF!),"",YEAR(Data!#REF!))</f>
        <v>#REF!</v>
      </c>
      <c r="B199" s="44" t="e">
        <f>IF(ISBLANK(Data!#REF!),"",Data!#REF!)</f>
        <v>#REF!</v>
      </c>
      <c r="C199" s="45" t="e">
        <f>IF(ISBLANK(Data!#REF!),"",Data!#REF!)</f>
        <v>#REF!</v>
      </c>
      <c r="D199" s="21" t="e">
        <f>IF(ISBLANK(Data!#REF!),"",Data!#REF!)</f>
        <v>#REF!</v>
      </c>
      <c r="E199" s="21" t="e">
        <f>IF(ISBLANK(Data!#REF!),"",Data!#REF!)</f>
        <v>#REF!</v>
      </c>
      <c r="F199" s="33" t="e">
        <f>IF(ISBLANK(Data!#REF!),"",Data!#REF!)</f>
        <v>#REF!</v>
      </c>
      <c r="G199" s="21" t="e">
        <f>IF(ISBLANK(Data!#REF!),"",Data!#REF!)</f>
        <v>#REF!</v>
      </c>
      <c r="H199" s="33" t="e">
        <f>IF(ISBLANK(Data!#REF!),"",Data!#REF!)</f>
        <v>#REF!</v>
      </c>
      <c r="I199" s="33" t="e">
        <f>IF(ISBLANK(Data!#REF!),"",Data!#REF!)</f>
        <v>#REF!</v>
      </c>
      <c r="J199" s="33" t="e">
        <f>IF(ISBLANK(Data!#REF!),"",Data!#REF!)</f>
        <v>#REF!</v>
      </c>
      <c r="K199" s="21" t="e">
        <f>IF(ISBLANK(Data!#REF!),"",Data!#REF!)</f>
        <v>#REF!</v>
      </c>
      <c r="L199" s="21" t="e">
        <f>IF(ISBLANK(Data!#REF!),"",Data!#REF!)</f>
        <v>#REF!</v>
      </c>
      <c r="N199" s="46" t="e">
        <f>IF(ISBLANK(Data!#REF!),"",Data!#REF!)</f>
        <v>#REF!</v>
      </c>
      <c r="O199" s="46" t="e">
        <f>IF(ISBLANK(Data!#REF!),"",Data!#REF!)</f>
        <v>#REF!</v>
      </c>
      <c r="P199" s="46" t="e">
        <f>IF(ISBLANK(Data!#REF!),"",Data!#REF!)</f>
        <v>#REF!</v>
      </c>
      <c r="Q199" s="46" t="e">
        <f t="shared" si="3"/>
        <v>#REF!</v>
      </c>
      <c r="R199" s="47" t="e">
        <f>IF(ISBLANK(Data!#REF!),"",Data!#REF!)</f>
        <v>#REF!</v>
      </c>
      <c r="S199" s="33" t="e">
        <f>IF(ISBLANK(Data!#REF!),"",Data!#REF!)</f>
        <v>#REF!</v>
      </c>
      <c r="T199" s="33" t="e">
        <f>IF(ISBLANK(Data!#REF!),"",Data!#REF!)</f>
        <v>#REF!</v>
      </c>
      <c r="U199" s="21" t="e">
        <f>IF(ISBLANK(Data!#REF!),"",Data!#REF!)</f>
        <v>#REF!</v>
      </c>
    </row>
    <row r="200" spans="1:21" x14ac:dyDescent="0.25">
      <c r="A200" s="33" t="e">
        <f>IF(ISBLANK(Data!#REF!),"",YEAR(Data!#REF!))</f>
        <v>#REF!</v>
      </c>
      <c r="B200" s="44" t="e">
        <f>IF(ISBLANK(Data!#REF!),"",Data!#REF!)</f>
        <v>#REF!</v>
      </c>
      <c r="C200" s="45" t="e">
        <f>IF(ISBLANK(Data!#REF!),"",Data!#REF!)</f>
        <v>#REF!</v>
      </c>
      <c r="D200" s="21" t="e">
        <f>IF(ISBLANK(Data!#REF!),"",Data!#REF!)</f>
        <v>#REF!</v>
      </c>
      <c r="E200" s="21" t="e">
        <f>IF(ISBLANK(Data!#REF!),"",Data!#REF!)</f>
        <v>#REF!</v>
      </c>
      <c r="F200" s="33" t="e">
        <f>IF(ISBLANK(Data!#REF!),"",Data!#REF!)</f>
        <v>#REF!</v>
      </c>
      <c r="G200" s="21" t="e">
        <f>IF(ISBLANK(Data!#REF!),"",Data!#REF!)</f>
        <v>#REF!</v>
      </c>
      <c r="H200" s="33" t="e">
        <f>IF(ISBLANK(Data!#REF!),"",Data!#REF!)</f>
        <v>#REF!</v>
      </c>
      <c r="I200" s="33" t="e">
        <f>IF(ISBLANK(Data!#REF!),"",Data!#REF!)</f>
        <v>#REF!</v>
      </c>
      <c r="J200" s="33" t="e">
        <f>IF(ISBLANK(Data!#REF!),"",Data!#REF!)</f>
        <v>#REF!</v>
      </c>
      <c r="K200" s="21" t="e">
        <f>IF(ISBLANK(Data!#REF!),"",Data!#REF!)</f>
        <v>#REF!</v>
      </c>
      <c r="L200" s="21" t="e">
        <f>IF(ISBLANK(Data!#REF!),"",Data!#REF!)</f>
        <v>#REF!</v>
      </c>
      <c r="N200" s="46" t="e">
        <f>IF(ISBLANK(Data!#REF!),"",Data!#REF!)</f>
        <v>#REF!</v>
      </c>
      <c r="O200" s="46" t="e">
        <f>IF(ISBLANK(Data!#REF!),"",Data!#REF!)</f>
        <v>#REF!</v>
      </c>
      <c r="P200" s="46" t="e">
        <f>IF(ISBLANK(Data!#REF!),"",Data!#REF!)</f>
        <v>#REF!</v>
      </c>
      <c r="Q200" s="46" t="e">
        <f t="shared" si="3"/>
        <v>#REF!</v>
      </c>
      <c r="R200" s="47" t="e">
        <f>IF(ISBLANK(Data!#REF!),"",Data!#REF!)</f>
        <v>#REF!</v>
      </c>
      <c r="S200" s="33" t="e">
        <f>IF(ISBLANK(Data!#REF!),"",Data!#REF!)</f>
        <v>#REF!</v>
      </c>
      <c r="T200" s="33" t="e">
        <f>IF(ISBLANK(Data!#REF!),"",Data!#REF!)</f>
        <v>#REF!</v>
      </c>
      <c r="U200" s="21" t="e">
        <f>IF(ISBLANK(Data!#REF!),"",Data!#REF!)</f>
        <v>#REF!</v>
      </c>
    </row>
    <row r="201" spans="1:21" x14ac:dyDescent="0.25">
      <c r="A201" s="33" t="e">
        <f>IF(ISBLANK(Data!#REF!),"",YEAR(Data!#REF!))</f>
        <v>#REF!</v>
      </c>
      <c r="B201" s="44" t="e">
        <f>IF(ISBLANK(Data!#REF!),"",Data!#REF!)</f>
        <v>#REF!</v>
      </c>
      <c r="C201" s="45" t="e">
        <f>IF(ISBLANK(Data!#REF!),"",Data!#REF!)</f>
        <v>#REF!</v>
      </c>
      <c r="D201" s="21" t="e">
        <f>IF(ISBLANK(Data!#REF!),"",Data!#REF!)</f>
        <v>#REF!</v>
      </c>
      <c r="E201" s="21" t="e">
        <f>IF(ISBLANK(Data!#REF!),"",Data!#REF!)</f>
        <v>#REF!</v>
      </c>
      <c r="F201" s="33" t="e">
        <f>IF(ISBLANK(Data!#REF!),"",Data!#REF!)</f>
        <v>#REF!</v>
      </c>
      <c r="G201" s="21" t="e">
        <f>IF(ISBLANK(Data!#REF!),"",Data!#REF!)</f>
        <v>#REF!</v>
      </c>
      <c r="H201" s="33" t="e">
        <f>IF(ISBLANK(Data!#REF!),"",Data!#REF!)</f>
        <v>#REF!</v>
      </c>
      <c r="I201" s="33" t="e">
        <f>IF(ISBLANK(Data!#REF!),"",Data!#REF!)</f>
        <v>#REF!</v>
      </c>
      <c r="J201" s="33" t="e">
        <f>IF(ISBLANK(Data!#REF!),"",Data!#REF!)</f>
        <v>#REF!</v>
      </c>
      <c r="K201" s="21" t="e">
        <f>IF(ISBLANK(Data!#REF!),"",Data!#REF!)</f>
        <v>#REF!</v>
      </c>
      <c r="L201" s="21" t="e">
        <f>IF(ISBLANK(Data!#REF!),"",Data!#REF!)</f>
        <v>#REF!</v>
      </c>
      <c r="N201" s="46" t="e">
        <f>IF(ISBLANK(Data!#REF!),"",Data!#REF!)</f>
        <v>#REF!</v>
      </c>
      <c r="O201" s="46" t="e">
        <f>IF(ISBLANK(Data!#REF!),"",Data!#REF!)</f>
        <v>#REF!</v>
      </c>
      <c r="P201" s="46" t="e">
        <f>IF(ISBLANK(Data!#REF!),"",Data!#REF!)</f>
        <v>#REF!</v>
      </c>
      <c r="Q201" s="46" t="e">
        <f t="shared" si="3"/>
        <v>#REF!</v>
      </c>
      <c r="R201" s="47" t="e">
        <f>IF(ISBLANK(Data!#REF!),"",Data!#REF!)</f>
        <v>#REF!</v>
      </c>
      <c r="S201" s="33" t="e">
        <f>IF(ISBLANK(Data!#REF!),"",Data!#REF!)</f>
        <v>#REF!</v>
      </c>
      <c r="T201" s="33" t="e">
        <f>IF(ISBLANK(Data!#REF!),"",Data!#REF!)</f>
        <v>#REF!</v>
      </c>
      <c r="U201" s="21" t="e">
        <f>IF(ISBLANK(Data!#REF!),"",Data!#REF!)</f>
        <v>#REF!</v>
      </c>
    </row>
    <row r="202" spans="1:21" x14ac:dyDescent="0.25">
      <c r="A202" s="33" t="e">
        <f>IF(ISBLANK(Data!#REF!),"",YEAR(Data!#REF!))</f>
        <v>#REF!</v>
      </c>
      <c r="B202" s="44" t="e">
        <f>IF(ISBLANK(Data!#REF!),"",Data!#REF!)</f>
        <v>#REF!</v>
      </c>
      <c r="C202" s="45" t="e">
        <f>IF(ISBLANK(Data!#REF!),"",Data!#REF!)</f>
        <v>#REF!</v>
      </c>
      <c r="D202" s="21" t="e">
        <f>IF(ISBLANK(Data!#REF!),"",Data!#REF!)</f>
        <v>#REF!</v>
      </c>
      <c r="E202" s="21" t="e">
        <f>IF(ISBLANK(Data!#REF!),"",Data!#REF!)</f>
        <v>#REF!</v>
      </c>
      <c r="F202" s="33" t="e">
        <f>IF(ISBLANK(Data!#REF!),"",Data!#REF!)</f>
        <v>#REF!</v>
      </c>
      <c r="G202" s="21" t="e">
        <f>IF(ISBLANK(Data!#REF!),"",Data!#REF!)</f>
        <v>#REF!</v>
      </c>
      <c r="H202" s="33" t="e">
        <f>IF(ISBLANK(Data!#REF!),"",Data!#REF!)</f>
        <v>#REF!</v>
      </c>
      <c r="I202" s="33" t="e">
        <f>IF(ISBLANK(Data!#REF!),"",Data!#REF!)</f>
        <v>#REF!</v>
      </c>
      <c r="J202" s="33" t="e">
        <f>IF(ISBLANK(Data!#REF!),"",Data!#REF!)</f>
        <v>#REF!</v>
      </c>
      <c r="K202" s="21" t="e">
        <f>IF(ISBLANK(Data!#REF!),"",Data!#REF!)</f>
        <v>#REF!</v>
      </c>
      <c r="L202" s="21" t="e">
        <f>IF(ISBLANK(Data!#REF!),"",Data!#REF!)</f>
        <v>#REF!</v>
      </c>
      <c r="N202" s="46" t="e">
        <f>IF(ISBLANK(Data!#REF!),"",Data!#REF!)</f>
        <v>#REF!</v>
      </c>
      <c r="O202" s="46" t="e">
        <f>IF(ISBLANK(Data!#REF!),"",Data!#REF!)</f>
        <v>#REF!</v>
      </c>
      <c r="P202" s="46" t="e">
        <f>IF(ISBLANK(Data!#REF!),"",Data!#REF!)</f>
        <v>#REF!</v>
      </c>
      <c r="Q202" s="46" t="e">
        <f t="shared" si="3"/>
        <v>#REF!</v>
      </c>
      <c r="R202" s="47" t="e">
        <f>IF(ISBLANK(Data!#REF!),"",Data!#REF!)</f>
        <v>#REF!</v>
      </c>
      <c r="S202" s="33" t="e">
        <f>IF(ISBLANK(Data!#REF!),"",Data!#REF!)</f>
        <v>#REF!</v>
      </c>
      <c r="T202" s="33" t="e">
        <f>IF(ISBLANK(Data!#REF!),"",Data!#REF!)</f>
        <v>#REF!</v>
      </c>
      <c r="U202" s="21" t="e">
        <f>IF(ISBLANK(Data!#REF!),"",Data!#REF!)</f>
        <v>#REF!</v>
      </c>
    </row>
    <row r="203" spans="1:21" x14ac:dyDescent="0.25">
      <c r="A203" s="33" t="e">
        <f>IF(ISBLANK(Data!#REF!),"",YEAR(Data!#REF!))</f>
        <v>#REF!</v>
      </c>
      <c r="B203" s="44" t="e">
        <f>IF(ISBLANK(Data!#REF!),"",Data!#REF!)</f>
        <v>#REF!</v>
      </c>
      <c r="C203" s="45" t="e">
        <f>IF(ISBLANK(Data!#REF!),"",Data!#REF!)</f>
        <v>#REF!</v>
      </c>
      <c r="D203" s="21" t="e">
        <f>IF(ISBLANK(Data!#REF!),"",Data!#REF!)</f>
        <v>#REF!</v>
      </c>
      <c r="E203" s="21" t="e">
        <f>IF(ISBLANK(Data!#REF!),"",Data!#REF!)</f>
        <v>#REF!</v>
      </c>
      <c r="F203" s="33" t="e">
        <f>IF(ISBLANK(Data!#REF!),"",Data!#REF!)</f>
        <v>#REF!</v>
      </c>
      <c r="G203" s="21" t="e">
        <f>IF(ISBLANK(Data!#REF!),"",Data!#REF!)</f>
        <v>#REF!</v>
      </c>
      <c r="H203" s="33" t="e">
        <f>IF(ISBLANK(Data!#REF!),"",Data!#REF!)</f>
        <v>#REF!</v>
      </c>
      <c r="I203" s="33" t="e">
        <f>IF(ISBLANK(Data!#REF!),"",Data!#REF!)</f>
        <v>#REF!</v>
      </c>
      <c r="J203" s="33" t="e">
        <f>IF(ISBLANK(Data!#REF!),"",Data!#REF!)</f>
        <v>#REF!</v>
      </c>
      <c r="K203" s="21" t="e">
        <f>IF(ISBLANK(Data!#REF!),"",Data!#REF!)</f>
        <v>#REF!</v>
      </c>
      <c r="L203" s="21" t="e">
        <f>IF(ISBLANK(Data!#REF!),"",Data!#REF!)</f>
        <v>#REF!</v>
      </c>
      <c r="N203" s="46" t="e">
        <f>IF(ISBLANK(Data!#REF!),"",Data!#REF!)</f>
        <v>#REF!</v>
      </c>
      <c r="O203" s="46" t="e">
        <f>IF(ISBLANK(Data!#REF!),"",Data!#REF!)</f>
        <v>#REF!</v>
      </c>
      <c r="P203" s="46" t="e">
        <f>IF(ISBLANK(Data!#REF!),"",Data!#REF!)</f>
        <v>#REF!</v>
      </c>
      <c r="Q203" s="46" t="e">
        <f t="shared" si="3"/>
        <v>#REF!</v>
      </c>
      <c r="R203" s="47" t="e">
        <f>IF(ISBLANK(Data!#REF!),"",Data!#REF!)</f>
        <v>#REF!</v>
      </c>
      <c r="S203" s="33" t="e">
        <f>IF(ISBLANK(Data!#REF!),"",Data!#REF!)</f>
        <v>#REF!</v>
      </c>
      <c r="T203" s="33" t="e">
        <f>IF(ISBLANK(Data!#REF!),"",Data!#REF!)</f>
        <v>#REF!</v>
      </c>
      <c r="U203" s="21" t="e">
        <f>IF(ISBLANK(Data!#REF!),"",Data!#REF!)</f>
        <v>#REF!</v>
      </c>
    </row>
    <row r="204" spans="1:21" x14ac:dyDescent="0.25">
      <c r="A204" s="33" t="e">
        <f>IF(ISBLANK(Data!#REF!),"",YEAR(Data!#REF!))</f>
        <v>#REF!</v>
      </c>
      <c r="B204" s="44" t="e">
        <f>IF(ISBLANK(Data!#REF!),"",Data!#REF!)</f>
        <v>#REF!</v>
      </c>
      <c r="C204" s="45" t="e">
        <f>IF(ISBLANK(Data!#REF!),"",Data!#REF!)</f>
        <v>#REF!</v>
      </c>
      <c r="D204" s="21" t="e">
        <f>IF(ISBLANK(Data!#REF!),"",Data!#REF!)</f>
        <v>#REF!</v>
      </c>
      <c r="E204" s="21" t="e">
        <f>IF(ISBLANK(Data!#REF!),"",Data!#REF!)</f>
        <v>#REF!</v>
      </c>
      <c r="F204" s="33" t="e">
        <f>IF(ISBLANK(Data!#REF!),"",Data!#REF!)</f>
        <v>#REF!</v>
      </c>
      <c r="G204" s="21" t="e">
        <f>IF(ISBLANK(Data!#REF!),"",Data!#REF!)</f>
        <v>#REF!</v>
      </c>
      <c r="H204" s="33" t="e">
        <f>IF(ISBLANK(Data!#REF!),"",Data!#REF!)</f>
        <v>#REF!</v>
      </c>
      <c r="I204" s="33" t="e">
        <f>IF(ISBLANK(Data!#REF!),"",Data!#REF!)</f>
        <v>#REF!</v>
      </c>
      <c r="J204" s="33" t="e">
        <f>IF(ISBLANK(Data!#REF!),"",Data!#REF!)</f>
        <v>#REF!</v>
      </c>
      <c r="K204" s="21" t="e">
        <f>IF(ISBLANK(Data!#REF!),"",Data!#REF!)</f>
        <v>#REF!</v>
      </c>
      <c r="L204" s="21" t="e">
        <f>IF(ISBLANK(Data!#REF!),"",Data!#REF!)</f>
        <v>#REF!</v>
      </c>
      <c r="N204" s="46" t="e">
        <f>IF(ISBLANK(Data!#REF!),"",Data!#REF!)</f>
        <v>#REF!</v>
      </c>
      <c r="O204" s="46" t="e">
        <f>IF(ISBLANK(Data!#REF!),"",Data!#REF!)</f>
        <v>#REF!</v>
      </c>
      <c r="P204" s="46" t="e">
        <f>IF(ISBLANK(Data!#REF!),"",Data!#REF!)</f>
        <v>#REF!</v>
      </c>
      <c r="Q204" s="46" t="e">
        <f t="shared" si="3"/>
        <v>#REF!</v>
      </c>
      <c r="R204" s="47" t="e">
        <f>IF(ISBLANK(Data!#REF!),"",Data!#REF!)</f>
        <v>#REF!</v>
      </c>
      <c r="S204" s="33" t="e">
        <f>IF(ISBLANK(Data!#REF!),"",Data!#REF!)</f>
        <v>#REF!</v>
      </c>
      <c r="T204" s="33" t="e">
        <f>IF(ISBLANK(Data!#REF!),"",Data!#REF!)</f>
        <v>#REF!</v>
      </c>
      <c r="U204" s="21" t="e">
        <f>IF(ISBLANK(Data!#REF!),"",Data!#REF!)</f>
        <v>#REF!</v>
      </c>
    </row>
    <row r="205" spans="1:21" x14ac:dyDescent="0.25">
      <c r="A205" s="33" t="e">
        <f>IF(ISBLANK(Data!#REF!),"",YEAR(Data!#REF!))</f>
        <v>#REF!</v>
      </c>
      <c r="B205" s="44" t="e">
        <f>IF(ISBLANK(Data!#REF!),"",Data!#REF!)</f>
        <v>#REF!</v>
      </c>
      <c r="C205" s="45" t="e">
        <f>IF(ISBLANK(Data!#REF!),"",Data!#REF!)</f>
        <v>#REF!</v>
      </c>
      <c r="D205" s="21" t="e">
        <f>IF(ISBLANK(Data!#REF!),"",Data!#REF!)</f>
        <v>#REF!</v>
      </c>
      <c r="E205" s="21" t="e">
        <f>IF(ISBLANK(Data!#REF!),"",Data!#REF!)</f>
        <v>#REF!</v>
      </c>
      <c r="F205" s="33" t="e">
        <f>IF(ISBLANK(Data!#REF!),"",Data!#REF!)</f>
        <v>#REF!</v>
      </c>
      <c r="G205" s="21" t="e">
        <f>IF(ISBLANK(Data!#REF!),"",Data!#REF!)</f>
        <v>#REF!</v>
      </c>
      <c r="H205" s="33" t="e">
        <f>IF(ISBLANK(Data!#REF!),"",Data!#REF!)</f>
        <v>#REF!</v>
      </c>
      <c r="I205" s="33" t="e">
        <f>IF(ISBLANK(Data!#REF!),"",Data!#REF!)</f>
        <v>#REF!</v>
      </c>
      <c r="J205" s="33" t="e">
        <f>IF(ISBLANK(Data!#REF!),"",Data!#REF!)</f>
        <v>#REF!</v>
      </c>
      <c r="K205" s="21" t="e">
        <f>IF(ISBLANK(Data!#REF!),"",Data!#REF!)</f>
        <v>#REF!</v>
      </c>
      <c r="L205" s="21" t="e">
        <f>IF(ISBLANK(Data!#REF!),"",Data!#REF!)</f>
        <v>#REF!</v>
      </c>
      <c r="N205" s="46" t="e">
        <f>IF(ISBLANK(Data!#REF!),"",Data!#REF!)</f>
        <v>#REF!</v>
      </c>
      <c r="O205" s="46" t="e">
        <f>IF(ISBLANK(Data!#REF!),"",Data!#REF!)</f>
        <v>#REF!</v>
      </c>
      <c r="P205" s="46" t="e">
        <f>IF(ISBLANK(Data!#REF!),"",Data!#REF!)</f>
        <v>#REF!</v>
      </c>
      <c r="Q205" s="46" t="e">
        <f t="shared" si="3"/>
        <v>#REF!</v>
      </c>
      <c r="R205" s="47" t="e">
        <f>IF(ISBLANK(Data!#REF!),"",Data!#REF!)</f>
        <v>#REF!</v>
      </c>
      <c r="S205" s="33" t="e">
        <f>IF(ISBLANK(Data!#REF!),"",Data!#REF!)</f>
        <v>#REF!</v>
      </c>
      <c r="T205" s="33" t="e">
        <f>IF(ISBLANK(Data!#REF!),"",Data!#REF!)</f>
        <v>#REF!</v>
      </c>
      <c r="U205" s="21" t="e">
        <f>IF(ISBLANK(Data!#REF!),"",Data!#REF!)</f>
        <v>#REF!</v>
      </c>
    </row>
    <row r="206" spans="1:21" x14ac:dyDescent="0.25">
      <c r="A206" s="33" t="e">
        <f>IF(ISBLANK(Data!#REF!),"",YEAR(Data!#REF!))</f>
        <v>#REF!</v>
      </c>
      <c r="B206" s="44" t="e">
        <f>IF(ISBLANK(Data!#REF!),"",Data!#REF!)</f>
        <v>#REF!</v>
      </c>
      <c r="C206" s="45" t="e">
        <f>IF(ISBLANK(Data!#REF!),"",Data!#REF!)</f>
        <v>#REF!</v>
      </c>
      <c r="D206" s="21" t="e">
        <f>IF(ISBLANK(Data!#REF!),"",Data!#REF!)</f>
        <v>#REF!</v>
      </c>
      <c r="E206" s="21" t="e">
        <f>IF(ISBLANK(Data!#REF!),"",Data!#REF!)</f>
        <v>#REF!</v>
      </c>
      <c r="F206" s="33" t="e">
        <f>IF(ISBLANK(Data!#REF!),"",Data!#REF!)</f>
        <v>#REF!</v>
      </c>
      <c r="G206" s="21" t="e">
        <f>IF(ISBLANK(Data!#REF!),"",Data!#REF!)</f>
        <v>#REF!</v>
      </c>
      <c r="H206" s="33" t="e">
        <f>IF(ISBLANK(Data!#REF!),"",Data!#REF!)</f>
        <v>#REF!</v>
      </c>
      <c r="I206" s="33" t="e">
        <f>IF(ISBLANK(Data!#REF!),"",Data!#REF!)</f>
        <v>#REF!</v>
      </c>
      <c r="J206" s="33" t="e">
        <f>IF(ISBLANK(Data!#REF!),"",Data!#REF!)</f>
        <v>#REF!</v>
      </c>
      <c r="K206" s="21" t="e">
        <f>IF(ISBLANK(Data!#REF!),"",Data!#REF!)</f>
        <v>#REF!</v>
      </c>
      <c r="L206" s="21" t="e">
        <f>IF(ISBLANK(Data!#REF!),"",Data!#REF!)</f>
        <v>#REF!</v>
      </c>
      <c r="N206" s="46" t="e">
        <f>IF(ISBLANK(Data!#REF!),"",Data!#REF!)</f>
        <v>#REF!</v>
      </c>
      <c r="O206" s="46" t="e">
        <f>IF(ISBLANK(Data!#REF!),"",Data!#REF!)</f>
        <v>#REF!</v>
      </c>
      <c r="P206" s="46" t="e">
        <f>IF(ISBLANK(Data!#REF!),"",Data!#REF!)</f>
        <v>#REF!</v>
      </c>
      <c r="Q206" s="46" t="e">
        <f t="shared" si="3"/>
        <v>#REF!</v>
      </c>
      <c r="R206" s="47" t="e">
        <f>IF(ISBLANK(Data!#REF!),"",Data!#REF!)</f>
        <v>#REF!</v>
      </c>
      <c r="S206" s="33" t="e">
        <f>IF(ISBLANK(Data!#REF!),"",Data!#REF!)</f>
        <v>#REF!</v>
      </c>
      <c r="T206" s="33" t="e">
        <f>IF(ISBLANK(Data!#REF!),"",Data!#REF!)</f>
        <v>#REF!</v>
      </c>
      <c r="U206" s="21" t="e">
        <f>IF(ISBLANK(Data!#REF!),"",Data!#REF!)</f>
        <v>#REF!</v>
      </c>
    </row>
    <row r="207" spans="1:21" x14ac:dyDescent="0.25">
      <c r="A207" s="33" t="e">
        <f>IF(ISBLANK(Data!#REF!),"",YEAR(Data!#REF!))</f>
        <v>#REF!</v>
      </c>
      <c r="B207" s="44" t="e">
        <f>IF(ISBLANK(Data!#REF!),"",Data!#REF!)</f>
        <v>#REF!</v>
      </c>
      <c r="C207" s="45" t="e">
        <f>IF(ISBLANK(Data!#REF!),"",Data!#REF!)</f>
        <v>#REF!</v>
      </c>
      <c r="D207" s="21" t="e">
        <f>IF(ISBLANK(Data!#REF!),"",Data!#REF!)</f>
        <v>#REF!</v>
      </c>
      <c r="E207" s="21" t="e">
        <f>IF(ISBLANK(Data!#REF!),"",Data!#REF!)</f>
        <v>#REF!</v>
      </c>
      <c r="F207" s="33" t="e">
        <f>IF(ISBLANK(Data!#REF!),"",Data!#REF!)</f>
        <v>#REF!</v>
      </c>
      <c r="G207" s="21" t="e">
        <f>IF(ISBLANK(Data!#REF!),"",Data!#REF!)</f>
        <v>#REF!</v>
      </c>
      <c r="H207" s="33" t="e">
        <f>IF(ISBLANK(Data!#REF!),"",Data!#REF!)</f>
        <v>#REF!</v>
      </c>
      <c r="I207" s="33" t="e">
        <f>IF(ISBLANK(Data!#REF!),"",Data!#REF!)</f>
        <v>#REF!</v>
      </c>
      <c r="J207" s="33" t="e">
        <f>IF(ISBLANK(Data!#REF!),"",Data!#REF!)</f>
        <v>#REF!</v>
      </c>
      <c r="K207" s="21" t="e">
        <f>IF(ISBLANK(Data!#REF!),"",Data!#REF!)</f>
        <v>#REF!</v>
      </c>
      <c r="L207" s="21" t="e">
        <f>IF(ISBLANK(Data!#REF!),"",Data!#REF!)</f>
        <v>#REF!</v>
      </c>
      <c r="N207" s="46" t="e">
        <f>IF(ISBLANK(Data!#REF!),"",Data!#REF!)</f>
        <v>#REF!</v>
      </c>
      <c r="O207" s="46" t="e">
        <f>IF(ISBLANK(Data!#REF!),"",Data!#REF!)</f>
        <v>#REF!</v>
      </c>
      <c r="P207" s="46" t="e">
        <f>IF(ISBLANK(Data!#REF!),"",Data!#REF!)</f>
        <v>#REF!</v>
      </c>
      <c r="Q207" s="46" t="e">
        <f t="shared" si="3"/>
        <v>#REF!</v>
      </c>
      <c r="R207" s="47" t="e">
        <f>IF(ISBLANK(Data!#REF!),"",Data!#REF!)</f>
        <v>#REF!</v>
      </c>
      <c r="S207" s="33" t="e">
        <f>IF(ISBLANK(Data!#REF!),"",Data!#REF!)</f>
        <v>#REF!</v>
      </c>
      <c r="T207" s="33" t="e">
        <f>IF(ISBLANK(Data!#REF!),"",Data!#REF!)</f>
        <v>#REF!</v>
      </c>
      <c r="U207" s="21" t="e">
        <f>IF(ISBLANK(Data!#REF!),"",Data!#REF!)</f>
        <v>#REF!</v>
      </c>
    </row>
    <row r="208" spans="1:21" x14ac:dyDescent="0.25">
      <c r="A208" s="33" t="e">
        <f>IF(ISBLANK(Data!#REF!),"",YEAR(Data!#REF!))</f>
        <v>#REF!</v>
      </c>
      <c r="B208" s="44" t="e">
        <f>IF(ISBLANK(Data!#REF!),"",Data!#REF!)</f>
        <v>#REF!</v>
      </c>
      <c r="C208" s="45" t="e">
        <f>IF(ISBLANK(Data!#REF!),"",Data!#REF!)</f>
        <v>#REF!</v>
      </c>
      <c r="D208" s="21" t="e">
        <f>IF(ISBLANK(Data!#REF!),"",Data!#REF!)</f>
        <v>#REF!</v>
      </c>
      <c r="E208" s="21" t="e">
        <f>IF(ISBLANK(Data!#REF!),"",Data!#REF!)</f>
        <v>#REF!</v>
      </c>
      <c r="F208" s="33" t="e">
        <f>IF(ISBLANK(Data!#REF!),"",Data!#REF!)</f>
        <v>#REF!</v>
      </c>
      <c r="G208" s="21" t="e">
        <f>IF(ISBLANK(Data!#REF!),"",Data!#REF!)</f>
        <v>#REF!</v>
      </c>
      <c r="H208" s="33" t="e">
        <f>IF(ISBLANK(Data!#REF!),"",Data!#REF!)</f>
        <v>#REF!</v>
      </c>
      <c r="I208" s="33" t="e">
        <f>IF(ISBLANK(Data!#REF!),"",Data!#REF!)</f>
        <v>#REF!</v>
      </c>
      <c r="J208" s="33" t="e">
        <f>IF(ISBLANK(Data!#REF!),"",Data!#REF!)</f>
        <v>#REF!</v>
      </c>
      <c r="K208" s="21" t="e">
        <f>IF(ISBLANK(Data!#REF!),"",Data!#REF!)</f>
        <v>#REF!</v>
      </c>
      <c r="L208" s="21" t="e">
        <f>IF(ISBLANK(Data!#REF!),"",Data!#REF!)</f>
        <v>#REF!</v>
      </c>
      <c r="N208" s="46" t="e">
        <f>IF(ISBLANK(Data!#REF!),"",Data!#REF!)</f>
        <v>#REF!</v>
      </c>
      <c r="O208" s="46" t="e">
        <f>IF(ISBLANK(Data!#REF!),"",Data!#REF!)</f>
        <v>#REF!</v>
      </c>
      <c r="P208" s="46" t="e">
        <f>IF(ISBLANK(Data!#REF!),"",Data!#REF!)</f>
        <v>#REF!</v>
      </c>
      <c r="Q208" s="46" t="e">
        <f t="shared" si="3"/>
        <v>#REF!</v>
      </c>
      <c r="R208" s="47" t="e">
        <f>IF(ISBLANK(Data!#REF!),"",Data!#REF!)</f>
        <v>#REF!</v>
      </c>
      <c r="S208" s="33" t="e">
        <f>IF(ISBLANK(Data!#REF!),"",Data!#REF!)</f>
        <v>#REF!</v>
      </c>
      <c r="T208" s="33" t="e">
        <f>IF(ISBLANK(Data!#REF!),"",Data!#REF!)</f>
        <v>#REF!</v>
      </c>
      <c r="U208" s="21" t="e">
        <f>IF(ISBLANK(Data!#REF!),"",Data!#REF!)</f>
        <v>#REF!</v>
      </c>
    </row>
    <row r="209" spans="1:21" x14ac:dyDescent="0.25">
      <c r="A209" s="33" t="e">
        <f>IF(ISBLANK(Data!#REF!),"",YEAR(Data!#REF!))</f>
        <v>#REF!</v>
      </c>
      <c r="B209" s="44" t="e">
        <f>IF(ISBLANK(Data!#REF!),"",Data!#REF!)</f>
        <v>#REF!</v>
      </c>
      <c r="C209" s="45" t="e">
        <f>IF(ISBLANK(Data!#REF!),"",Data!#REF!)</f>
        <v>#REF!</v>
      </c>
      <c r="D209" s="21" t="e">
        <f>IF(ISBLANK(Data!#REF!),"",Data!#REF!)</f>
        <v>#REF!</v>
      </c>
      <c r="E209" s="21" t="e">
        <f>IF(ISBLANK(Data!#REF!),"",Data!#REF!)</f>
        <v>#REF!</v>
      </c>
      <c r="F209" s="33" t="e">
        <f>IF(ISBLANK(Data!#REF!),"",Data!#REF!)</f>
        <v>#REF!</v>
      </c>
      <c r="G209" s="21" t="e">
        <f>IF(ISBLANK(Data!#REF!),"",Data!#REF!)</f>
        <v>#REF!</v>
      </c>
      <c r="H209" s="33" t="e">
        <f>IF(ISBLANK(Data!#REF!),"",Data!#REF!)</f>
        <v>#REF!</v>
      </c>
      <c r="I209" s="33" t="e">
        <f>IF(ISBLANK(Data!#REF!),"",Data!#REF!)</f>
        <v>#REF!</v>
      </c>
      <c r="J209" s="33" t="e">
        <f>IF(ISBLANK(Data!#REF!),"",Data!#REF!)</f>
        <v>#REF!</v>
      </c>
      <c r="K209" s="21" t="e">
        <f>IF(ISBLANK(Data!#REF!),"",Data!#REF!)</f>
        <v>#REF!</v>
      </c>
      <c r="L209" s="21" t="e">
        <f>IF(ISBLANK(Data!#REF!),"",Data!#REF!)</f>
        <v>#REF!</v>
      </c>
      <c r="N209" s="46" t="e">
        <f>IF(ISBLANK(Data!#REF!),"",Data!#REF!)</f>
        <v>#REF!</v>
      </c>
      <c r="O209" s="46" t="e">
        <f>IF(ISBLANK(Data!#REF!),"",Data!#REF!)</f>
        <v>#REF!</v>
      </c>
      <c r="P209" s="46" t="e">
        <f>IF(ISBLANK(Data!#REF!),"",Data!#REF!)</f>
        <v>#REF!</v>
      </c>
      <c r="Q209" s="46" t="e">
        <f t="shared" si="3"/>
        <v>#REF!</v>
      </c>
      <c r="R209" s="47" t="e">
        <f>IF(ISBLANK(Data!#REF!),"",Data!#REF!)</f>
        <v>#REF!</v>
      </c>
      <c r="S209" s="33" t="e">
        <f>IF(ISBLANK(Data!#REF!),"",Data!#REF!)</f>
        <v>#REF!</v>
      </c>
      <c r="T209" s="33" t="e">
        <f>IF(ISBLANK(Data!#REF!),"",Data!#REF!)</f>
        <v>#REF!</v>
      </c>
      <c r="U209" s="21" t="e">
        <f>IF(ISBLANK(Data!#REF!),"",Data!#REF!)</f>
        <v>#REF!</v>
      </c>
    </row>
    <row r="210" spans="1:21" x14ac:dyDescent="0.25">
      <c r="A210" s="33" t="e">
        <f>IF(ISBLANK(Data!#REF!),"",YEAR(Data!#REF!))</f>
        <v>#REF!</v>
      </c>
      <c r="B210" s="44" t="e">
        <f>IF(ISBLANK(Data!#REF!),"",Data!#REF!)</f>
        <v>#REF!</v>
      </c>
      <c r="C210" s="45" t="e">
        <f>IF(ISBLANK(Data!#REF!),"",Data!#REF!)</f>
        <v>#REF!</v>
      </c>
      <c r="D210" s="21" t="e">
        <f>IF(ISBLANK(Data!#REF!),"",Data!#REF!)</f>
        <v>#REF!</v>
      </c>
      <c r="E210" s="21" t="e">
        <f>IF(ISBLANK(Data!#REF!),"",Data!#REF!)</f>
        <v>#REF!</v>
      </c>
      <c r="F210" s="33" t="e">
        <f>IF(ISBLANK(Data!#REF!),"",Data!#REF!)</f>
        <v>#REF!</v>
      </c>
      <c r="G210" s="21" t="e">
        <f>IF(ISBLANK(Data!#REF!),"",Data!#REF!)</f>
        <v>#REF!</v>
      </c>
      <c r="H210" s="33" t="e">
        <f>IF(ISBLANK(Data!#REF!),"",Data!#REF!)</f>
        <v>#REF!</v>
      </c>
      <c r="I210" s="33" t="e">
        <f>IF(ISBLANK(Data!#REF!),"",Data!#REF!)</f>
        <v>#REF!</v>
      </c>
      <c r="J210" s="33" t="e">
        <f>IF(ISBLANK(Data!#REF!),"",Data!#REF!)</f>
        <v>#REF!</v>
      </c>
      <c r="K210" s="21" t="e">
        <f>IF(ISBLANK(Data!#REF!),"",Data!#REF!)</f>
        <v>#REF!</v>
      </c>
      <c r="L210" s="21" t="e">
        <f>IF(ISBLANK(Data!#REF!),"",Data!#REF!)</f>
        <v>#REF!</v>
      </c>
      <c r="N210" s="46" t="e">
        <f>IF(ISBLANK(Data!#REF!),"",Data!#REF!)</f>
        <v>#REF!</v>
      </c>
      <c r="O210" s="46" t="e">
        <f>IF(ISBLANK(Data!#REF!),"",Data!#REF!)</f>
        <v>#REF!</v>
      </c>
      <c r="P210" s="46" t="e">
        <f>IF(ISBLANK(Data!#REF!),"",Data!#REF!)</f>
        <v>#REF!</v>
      </c>
      <c r="Q210" s="46" t="e">
        <f t="shared" si="3"/>
        <v>#REF!</v>
      </c>
      <c r="R210" s="47" t="e">
        <f>IF(ISBLANK(Data!#REF!),"",Data!#REF!)</f>
        <v>#REF!</v>
      </c>
      <c r="S210" s="33" t="e">
        <f>IF(ISBLANK(Data!#REF!),"",Data!#REF!)</f>
        <v>#REF!</v>
      </c>
      <c r="T210" s="33" t="e">
        <f>IF(ISBLANK(Data!#REF!),"",Data!#REF!)</f>
        <v>#REF!</v>
      </c>
      <c r="U210" s="21" t="e">
        <f>IF(ISBLANK(Data!#REF!),"",Data!#REF!)</f>
        <v>#REF!</v>
      </c>
    </row>
    <row r="211" spans="1:21" x14ac:dyDescent="0.25">
      <c r="A211" s="33" t="e">
        <f>IF(ISBLANK(Data!#REF!),"",YEAR(Data!#REF!))</f>
        <v>#REF!</v>
      </c>
      <c r="B211" s="44" t="e">
        <f>IF(ISBLANK(Data!#REF!),"",Data!#REF!)</f>
        <v>#REF!</v>
      </c>
      <c r="C211" s="45" t="e">
        <f>IF(ISBLANK(Data!#REF!),"",Data!#REF!)</f>
        <v>#REF!</v>
      </c>
      <c r="D211" s="21" t="e">
        <f>IF(ISBLANK(Data!#REF!),"",Data!#REF!)</f>
        <v>#REF!</v>
      </c>
      <c r="E211" s="21" t="e">
        <f>IF(ISBLANK(Data!#REF!),"",Data!#REF!)</f>
        <v>#REF!</v>
      </c>
      <c r="F211" s="33" t="e">
        <f>IF(ISBLANK(Data!#REF!),"",Data!#REF!)</f>
        <v>#REF!</v>
      </c>
      <c r="G211" s="21" t="e">
        <f>IF(ISBLANK(Data!#REF!),"",Data!#REF!)</f>
        <v>#REF!</v>
      </c>
      <c r="H211" s="33" t="e">
        <f>IF(ISBLANK(Data!#REF!),"",Data!#REF!)</f>
        <v>#REF!</v>
      </c>
      <c r="I211" s="33" t="e">
        <f>IF(ISBLANK(Data!#REF!),"",Data!#REF!)</f>
        <v>#REF!</v>
      </c>
      <c r="J211" s="33" t="e">
        <f>IF(ISBLANK(Data!#REF!),"",Data!#REF!)</f>
        <v>#REF!</v>
      </c>
      <c r="K211" s="21" t="e">
        <f>IF(ISBLANK(Data!#REF!),"",Data!#REF!)</f>
        <v>#REF!</v>
      </c>
      <c r="L211" s="21" t="e">
        <f>IF(ISBLANK(Data!#REF!),"",Data!#REF!)</f>
        <v>#REF!</v>
      </c>
      <c r="N211" s="46" t="e">
        <f>IF(ISBLANK(Data!#REF!),"",Data!#REF!)</f>
        <v>#REF!</v>
      </c>
      <c r="O211" s="46" t="e">
        <f>IF(ISBLANK(Data!#REF!),"",Data!#REF!)</f>
        <v>#REF!</v>
      </c>
      <c r="P211" s="46" t="e">
        <f>IF(ISBLANK(Data!#REF!),"",Data!#REF!)</f>
        <v>#REF!</v>
      </c>
      <c r="Q211" s="46" t="e">
        <f t="shared" si="3"/>
        <v>#REF!</v>
      </c>
      <c r="R211" s="47" t="e">
        <f>IF(ISBLANK(Data!#REF!),"",Data!#REF!)</f>
        <v>#REF!</v>
      </c>
      <c r="S211" s="33" t="e">
        <f>IF(ISBLANK(Data!#REF!),"",Data!#REF!)</f>
        <v>#REF!</v>
      </c>
      <c r="T211" s="33" t="e">
        <f>IF(ISBLANK(Data!#REF!),"",Data!#REF!)</f>
        <v>#REF!</v>
      </c>
      <c r="U211" s="21" t="e">
        <f>IF(ISBLANK(Data!#REF!),"",Data!#REF!)</f>
        <v>#REF!</v>
      </c>
    </row>
    <row r="212" spans="1:21" x14ac:dyDescent="0.25">
      <c r="A212" s="33" t="e">
        <f>IF(ISBLANK(Data!#REF!),"",YEAR(Data!#REF!))</f>
        <v>#REF!</v>
      </c>
      <c r="B212" s="44" t="e">
        <f>IF(ISBLANK(Data!#REF!),"",Data!#REF!)</f>
        <v>#REF!</v>
      </c>
      <c r="C212" s="45" t="e">
        <f>IF(ISBLANK(Data!#REF!),"",Data!#REF!)</f>
        <v>#REF!</v>
      </c>
      <c r="D212" s="21" t="e">
        <f>IF(ISBLANK(Data!#REF!),"",Data!#REF!)</f>
        <v>#REF!</v>
      </c>
      <c r="E212" s="21" t="e">
        <f>IF(ISBLANK(Data!#REF!),"",Data!#REF!)</f>
        <v>#REF!</v>
      </c>
      <c r="F212" s="33" t="e">
        <f>IF(ISBLANK(Data!#REF!),"",Data!#REF!)</f>
        <v>#REF!</v>
      </c>
      <c r="G212" s="21" t="e">
        <f>IF(ISBLANK(Data!#REF!),"",Data!#REF!)</f>
        <v>#REF!</v>
      </c>
      <c r="H212" s="33" t="e">
        <f>IF(ISBLANK(Data!#REF!),"",Data!#REF!)</f>
        <v>#REF!</v>
      </c>
      <c r="I212" s="33" t="e">
        <f>IF(ISBLANK(Data!#REF!),"",Data!#REF!)</f>
        <v>#REF!</v>
      </c>
      <c r="J212" s="33" t="e">
        <f>IF(ISBLANK(Data!#REF!),"",Data!#REF!)</f>
        <v>#REF!</v>
      </c>
      <c r="K212" s="21" t="e">
        <f>IF(ISBLANK(Data!#REF!),"",Data!#REF!)</f>
        <v>#REF!</v>
      </c>
      <c r="L212" s="21" t="e">
        <f>IF(ISBLANK(Data!#REF!),"",Data!#REF!)</f>
        <v>#REF!</v>
      </c>
      <c r="N212" s="46" t="e">
        <f>IF(ISBLANK(Data!#REF!),"",Data!#REF!)</f>
        <v>#REF!</v>
      </c>
      <c r="O212" s="46" t="e">
        <f>IF(ISBLANK(Data!#REF!),"",Data!#REF!)</f>
        <v>#REF!</v>
      </c>
      <c r="P212" s="46" t="e">
        <f>IF(ISBLANK(Data!#REF!),"",Data!#REF!)</f>
        <v>#REF!</v>
      </c>
      <c r="Q212" s="46" t="e">
        <f t="shared" si="3"/>
        <v>#REF!</v>
      </c>
      <c r="R212" s="47" t="e">
        <f>IF(ISBLANK(Data!#REF!),"",Data!#REF!)</f>
        <v>#REF!</v>
      </c>
      <c r="S212" s="33" t="e">
        <f>IF(ISBLANK(Data!#REF!),"",Data!#REF!)</f>
        <v>#REF!</v>
      </c>
      <c r="T212" s="33" t="e">
        <f>IF(ISBLANK(Data!#REF!),"",Data!#REF!)</f>
        <v>#REF!</v>
      </c>
      <c r="U212" s="21" t="e">
        <f>IF(ISBLANK(Data!#REF!),"",Data!#REF!)</f>
        <v>#REF!</v>
      </c>
    </row>
    <row r="213" spans="1:21" x14ac:dyDescent="0.25">
      <c r="A213" s="33" t="e">
        <f>IF(ISBLANK(Data!#REF!),"",YEAR(Data!#REF!))</f>
        <v>#REF!</v>
      </c>
      <c r="B213" s="44" t="e">
        <f>IF(ISBLANK(Data!#REF!),"",Data!#REF!)</f>
        <v>#REF!</v>
      </c>
      <c r="C213" s="45" t="e">
        <f>IF(ISBLANK(Data!#REF!),"",Data!#REF!)</f>
        <v>#REF!</v>
      </c>
      <c r="D213" s="21" t="e">
        <f>IF(ISBLANK(Data!#REF!),"",Data!#REF!)</f>
        <v>#REF!</v>
      </c>
      <c r="E213" s="21" t="e">
        <f>IF(ISBLANK(Data!#REF!),"",Data!#REF!)</f>
        <v>#REF!</v>
      </c>
      <c r="F213" s="33" t="e">
        <f>IF(ISBLANK(Data!#REF!),"",Data!#REF!)</f>
        <v>#REF!</v>
      </c>
      <c r="G213" s="21" t="e">
        <f>IF(ISBLANK(Data!#REF!),"",Data!#REF!)</f>
        <v>#REF!</v>
      </c>
      <c r="H213" s="33" t="e">
        <f>IF(ISBLANK(Data!#REF!),"",Data!#REF!)</f>
        <v>#REF!</v>
      </c>
      <c r="I213" s="33" t="e">
        <f>IF(ISBLANK(Data!#REF!),"",Data!#REF!)</f>
        <v>#REF!</v>
      </c>
      <c r="J213" s="33" t="e">
        <f>IF(ISBLANK(Data!#REF!),"",Data!#REF!)</f>
        <v>#REF!</v>
      </c>
      <c r="K213" s="21" t="e">
        <f>IF(ISBLANK(Data!#REF!),"",Data!#REF!)</f>
        <v>#REF!</v>
      </c>
      <c r="L213" s="21" t="e">
        <f>IF(ISBLANK(Data!#REF!),"",Data!#REF!)</f>
        <v>#REF!</v>
      </c>
      <c r="N213" s="46" t="e">
        <f>IF(ISBLANK(Data!#REF!),"",Data!#REF!)</f>
        <v>#REF!</v>
      </c>
      <c r="O213" s="46" t="e">
        <f>IF(ISBLANK(Data!#REF!),"",Data!#REF!)</f>
        <v>#REF!</v>
      </c>
      <c r="P213" s="46" t="e">
        <f>IF(ISBLANK(Data!#REF!),"",Data!#REF!)</f>
        <v>#REF!</v>
      </c>
      <c r="Q213" s="46" t="e">
        <f t="shared" si="3"/>
        <v>#REF!</v>
      </c>
      <c r="R213" s="47" t="e">
        <f>IF(ISBLANK(Data!#REF!),"",Data!#REF!)</f>
        <v>#REF!</v>
      </c>
      <c r="S213" s="33" t="e">
        <f>IF(ISBLANK(Data!#REF!),"",Data!#REF!)</f>
        <v>#REF!</v>
      </c>
      <c r="T213" s="33" t="e">
        <f>IF(ISBLANK(Data!#REF!),"",Data!#REF!)</f>
        <v>#REF!</v>
      </c>
      <c r="U213" s="21" t="e">
        <f>IF(ISBLANK(Data!#REF!),"",Data!#REF!)</f>
        <v>#REF!</v>
      </c>
    </row>
    <row r="214" spans="1:21" x14ac:dyDescent="0.25">
      <c r="A214" s="33" t="e">
        <f>IF(ISBLANK(Data!#REF!),"",YEAR(Data!#REF!))</f>
        <v>#REF!</v>
      </c>
      <c r="B214" s="44" t="e">
        <f>IF(ISBLANK(Data!#REF!),"",Data!#REF!)</f>
        <v>#REF!</v>
      </c>
      <c r="C214" s="45" t="e">
        <f>IF(ISBLANK(Data!#REF!),"",Data!#REF!)</f>
        <v>#REF!</v>
      </c>
      <c r="D214" s="21" t="e">
        <f>IF(ISBLANK(Data!#REF!),"",Data!#REF!)</f>
        <v>#REF!</v>
      </c>
      <c r="E214" s="21" t="e">
        <f>IF(ISBLANK(Data!#REF!),"",Data!#REF!)</f>
        <v>#REF!</v>
      </c>
      <c r="F214" s="33" t="e">
        <f>IF(ISBLANK(Data!#REF!),"",Data!#REF!)</f>
        <v>#REF!</v>
      </c>
      <c r="G214" s="21" t="e">
        <f>IF(ISBLANK(Data!#REF!),"",Data!#REF!)</f>
        <v>#REF!</v>
      </c>
      <c r="H214" s="33" t="e">
        <f>IF(ISBLANK(Data!#REF!),"",Data!#REF!)</f>
        <v>#REF!</v>
      </c>
      <c r="I214" s="33" t="e">
        <f>IF(ISBLANK(Data!#REF!),"",Data!#REF!)</f>
        <v>#REF!</v>
      </c>
      <c r="J214" s="33" t="e">
        <f>IF(ISBLANK(Data!#REF!),"",Data!#REF!)</f>
        <v>#REF!</v>
      </c>
      <c r="K214" s="21" t="e">
        <f>IF(ISBLANK(Data!#REF!),"",Data!#REF!)</f>
        <v>#REF!</v>
      </c>
      <c r="L214" s="21" t="e">
        <f>IF(ISBLANK(Data!#REF!),"",Data!#REF!)</f>
        <v>#REF!</v>
      </c>
      <c r="N214" s="46" t="e">
        <f>IF(ISBLANK(Data!#REF!),"",Data!#REF!)</f>
        <v>#REF!</v>
      </c>
      <c r="O214" s="46" t="e">
        <f>IF(ISBLANK(Data!#REF!),"",Data!#REF!)</f>
        <v>#REF!</v>
      </c>
      <c r="P214" s="46" t="e">
        <f>IF(ISBLANK(Data!#REF!),"",Data!#REF!)</f>
        <v>#REF!</v>
      </c>
      <c r="Q214" s="46" t="e">
        <f t="shared" si="3"/>
        <v>#REF!</v>
      </c>
      <c r="R214" s="47" t="e">
        <f>IF(ISBLANK(Data!#REF!),"",Data!#REF!)</f>
        <v>#REF!</v>
      </c>
      <c r="S214" s="33" t="e">
        <f>IF(ISBLANK(Data!#REF!),"",Data!#REF!)</f>
        <v>#REF!</v>
      </c>
      <c r="T214" s="33" t="e">
        <f>IF(ISBLANK(Data!#REF!),"",Data!#REF!)</f>
        <v>#REF!</v>
      </c>
      <c r="U214" s="21" t="e">
        <f>IF(ISBLANK(Data!#REF!),"",Data!#REF!)</f>
        <v>#REF!</v>
      </c>
    </row>
    <row r="215" spans="1:21" x14ac:dyDescent="0.25">
      <c r="A215" s="33" t="e">
        <f>IF(ISBLANK(Data!#REF!),"",YEAR(Data!#REF!))</f>
        <v>#REF!</v>
      </c>
      <c r="B215" s="44" t="e">
        <f>IF(ISBLANK(Data!#REF!),"",Data!#REF!)</f>
        <v>#REF!</v>
      </c>
      <c r="C215" s="45" t="e">
        <f>IF(ISBLANK(Data!#REF!),"",Data!#REF!)</f>
        <v>#REF!</v>
      </c>
      <c r="D215" s="21" t="e">
        <f>IF(ISBLANK(Data!#REF!),"",Data!#REF!)</f>
        <v>#REF!</v>
      </c>
      <c r="E215" s="21" t="e">
        <f>IF(ISBLANK(Data!#REF!),"",Data!#REF!)</f>
        <v>#REF!</v>
      </c>
      <c r="F215" s="33" t="e">
        <f>IF(ISBLANK(Data!#REF!),"",Data!#REF!)</f>
        <v>#REF!</v>
      </c>
      <c r="G215" s="21" t="e">
        <f>IF(ISBLANK(Data!#REF!),"",Data!#REF!)</f>
        <v>#REF!</v>
      </c>
      <c r="H215" s="33" t="e">
        <f>IF(ISBLANK(Data!#REF!),"",Data!#REF!)</f>
        <v>#REF!</v>
      </c>
      <c r="I215" s="33" t="e">
        <f>IF(ISBLANK(Data!#REF!),"",Data!#REF!)</f>
        <v>#REF!</v>
      </c>
      <c r="J215" s="33" t="e">
        <f>IF(ISBLANK(Data!#REF!),"",Data!#REF!)</f>
        <v>#REF!</v>
      </c>
      <c r="K215" s="21" t="e">
        <f>IF(ISBLANK(Data!#REF!),"",Data!#REF!)</f>
        <v>#REF!</v>
      </c>
      <c r="L215" s="21" t="e">
        <f>IF(ISBLANK(Data!#REF!),"",Data!#REF!)</f>
        <v>#REF!</v>
      </c>
      <c r="N215" s="46" t="e">
        <f>IF(ISBLANK(Data!#REF!),"",Data!#REF!)</f>
        <v>#REF!</v>
      </c>
      <c r="O215" s="46" t="e">
        <f>IF(ISBLANK(Data!#REF!),"",Data!#REF!)</f>
        <v>#REF!</v>
      </c>
      <c r="P215" s="46" t="e">
        <f>IF(ISBLANK(Data!#REF!),"",Data!#REF!)</f>
        <v>#REF!</v>
      </c>
      <c r="Q215" s="46" t="e">
        <f t="shared" si="3"/>
        <v>#REF!</v>
      </c>
      <c r="R215" s="47" t="e">
        <f>IF(ISBLANK(Data!#REF!),"",Data!#REF!)</f>
        <v>#REF!</v>
      </c>
      <c r="S215" s="33" t="e">
        <f>IF(ISBLANK(Data!#REF!),"",Data!#REF!)</f>
        <v>#REF!</v>
      </c>
      <c r="T215" s="33" t="e">
        <f>IF(ISBLANK(Data!#REF!),"",Data!#REF!)</f>
        <v>#REF!</v>
      </c>
      <c r="U215" s="21" t="e">
        <f>IF(ISBLANK(Data!#REF!),"",Data!#REF!)</f>
        <v>#REF!</v>
      </c>
    </row>
    <row r="216" spans="1:21" x14ac:dyDescent="0.25">
      <c r="A216" s="33" t="e">
        <f>IF(ISBLANK(Data!#REF!),"",YEAR(Data!#REF!))</f>
        <v>#REF!</v>
      </c>
      <c r="B216" s="44" t="e">
        <f>IF(ISBLANK(Data!#REF!),"",Data!#REF!)</f>
        <v>#REF!</v>
      </c>
      <c r="C216" s="45" t="e">
        <f>IF(ISBLANK(Data!#REF!),"",Data!#REF!)</f>
        <v>#REF!</v>
      </c>
      <c r="D216" s="21" t="e">
        <f>IF(ISBLANK(Data!#REF!),"",Data!#REF!)</f>
        <v>#REF!</v>
      </c>
      <c r="E216" s="21" t="e">
        <f>IF(ISBLANK(Data!#REF!),"",Data!#REF!)</f>
        <v>#REF!</v>
      </c>
      <c r="F216" s="33" t="e">
        <f>IF(ISBLANK(Data!#REF!),"",Data!#REF!)</f>
        <v>#REF!</v>
      </c>
      <c r="G216" s="21" t="e">
        <f>IF(ISBLANK(Data!#REF!),"",Data!#REF!)</f>
        <v>#REF!</v>
      </c>
      <c r="H216" s="33" t="e">
        <f>IF(ISBLANK(Data!#REF!),"",Data!#REF!)</f>
        <v>#REF!</v>
      </c>
      <c r="I216" s="33" t="e">
        <f>IF(ISBLANK(Data!#REF!),"",Data!#REF!)</f>
        <v>#REF!</v>
      </c>
      <c r="J216" s="33" t="e">
        <f>IF(ISBLANK(Data!#REF!),"",Data!#REF!)</f>
        <v>#REF!</v>
      </c>
      <c r="K216" s="21" t="e">
        <f>IF(ISBLANK(Data!#REF!),"",Data!#REF!)</f>
        <v>#REF!</v>
      </c>
      <c r="L216" s="21" t="e">
        <f>IF(ISBLANK(Data!#REF!),"",Data!#REF!)</f>
        <v>#REF!</v>
      </c>
      <c r="N216" s="46" t="e">
        <f>IF(ISBLANK(Data!#REF!),"",Data!#REF!)</f>
        <v>#REF!</v>
      </c>
      <c r="O216" s="46" t="e">
        <f>IF(ISBLANK(Data!#REF!),"",Data!#REF!)</f>
        <v>#REF!</v>
      </c>
      <c r="P216" s="46" t="e">
        <f>IF(ISBLANK(Data!#REF!),"",Data!#REF!)</f>
        <v>#REF!</v>
      </c>
      <c r="Q216" s="46" t="e">
        <f t="shared" si="3"/>
        <v>#REF!</v>
      </c>
      <c r="R216" s="47" t="e">
        <f>IF(ISBLANK(Data!#REF!),"",Data!#REF!)</f>
        <v>#REF!</v>
      </c>
      <c r="S216" s="33" t="e">
        <f>IF(ISBLANK(Data!#REF!),"",Data!#REF!)</f>
        <v>#REF!</v>
      </c>
      <c r="T216" s="33" t="e">
        <f>IF(ISBLANK(Data!#REF!),"",Data!#REF!)</f>
        <v>#REF!</v>
      </c>
      <c r="U216" s="21" t="e">
        <f>IF(ISBLANK(Data!#REF!),"",Data!#REF!)</f>
        <v>#REF!</v>
      </c>
    </row>
    <row r="217" spans="1:21" x14ac:dyDescent="0.25">
      <c r="A217" s="33" t="e">
        <f>IF(ISBLANK(Data!#REF!),"",YEAR(Data!#REF!))</f>
        <v>#REF!</v>
      </c>
      <c r="B217" s="44" t="e">
        <f>IF(ISBLANK(Data!#REF!),"",Data!#REF!)</f>
        <v>#REF!</v>
      </c>
      <c r="C217" s="45" t="e">
        <f>IF(ISBLANK(Data!#REF!),"",Data!#REF!)</f>
        <v>#REF!</v>
      </c>
      <c r="D217" s="21" t="e">
        <f>IF(ISBLANK(Data!#REF!),"",Data!#REF!)</f>
        <v>#REF!</v>
      </c>
      <c r="E217" s="21" t="e">
        <f>IF(ISBLANK(Data!#REF!),"",Data!#REF!)</f>
        <v>#REF!</v>
      </c>
      <c r="F217" s="33" t="e">
        <f>IF(ISBLANK(Data!#REF!),"",Data!#REF!)</f>
        <v>#REF!</v>
      </c>
      <c r="G217" s="21" t="e">
        <f>IF(ISBLANK(Data!#REF!),"",Data!#REF!)</f>
        <v>#REF!</v>
      </c>
      <c r="H217" s="33" t="e">
        <f>IF(ISBLANK(Data!#REF!),"",Data!#REF!)</f>
        <v>#REF!</v>
      </c>
      <c r="I217" s="33" t="e">
        <f>IF(ISBLANK(Data!#REF!),"",Data!#REF!)</f>
        <v>#REF!</v>
      </c>
      <c r="J217" s="33" t="e">
        <f>IF(ISBLANK(Data!#REF!),"",Data!#REF!)</f>
        <v>#REF!</v>
      </c>
      <c r="K217" s="21" t="e">
        <f>IF(ISBLANK(Data!#REF!),"",Data!#REF!)</f>
        <v>#REF!</v>
      </c>
      <c r="L217" s="21" t="e">
        <f>IF(ISBLANK(Data!#REF!),"",Data!#REF!)</f>
        <v>#REF!</v>
      </c>
      <c r="N217" s="46" t="e">
        <f>IF(ISBLANK(Data!#REF!),"",Data!#REF!)</f>
        <v>#REF!</v>
      </c>
      <c r="O217" s="46" t="e">
        <f>IF(ISBLANK(Data!#REF!),"",Data!#REF!)</f>
        <v>#REF!</v>
      </c>
      <c r="P217" s="46" t="e">
        <f>IF(ISBLANK(Data!#REF!),"",Data!#REF!)</f>
        <v>#REF!</v>
      </c>
      <c r="Q217" s="46" t="e">
        <f t="shared" si="3"/>
        <v>#REF!</v>
      </c>
      <c r="R217" s="47" t="e">
        <f>IF(ISBLANK(Data!#REF!),"",Data!#REF!)</f>
        <v>#REF!</v>
      </c>
      <c r="S217" s="33" t="e">
        <f>IF(ISBLANK(Data!#REF!),"",Data!#REF!)</f>
        <v>#REF!</v>
      </c>
      <c r="T217" s="33" t="e">
        <f>IF(ISBLANK(Data!#REF!),"",Data!#REF!)</f>
        <v>#REF!</v>
      </c>
      <c r="U217" s="21" t="e">
        <f>IF(ISBLANK(Data!#REF!),"",Data!#REF!)</f>
        <v>#REF!</v>
      </c>
    </row>
    <row r="218" spans="1:21" x14ac:dyDescent="0.25">
      <c r="A218" s="33" t="e">
        <f>IF(ISBLANK(Data!#REF!),"",YEAR(Data!#REF!))</f>
        <v>#REF!</v>
      </c>
      <c r="B218" s="44" t="e">
        <f>IF(ISBLANK(Data!#REF!),"",Data!#REF!)</f>
        <v>#REF!</v>
      </c>
      <c r="C218" s="45" t="e">
        <f>IF(ISBLANK(Data!#REF!),"",Data!#REF!)</f>
        <v>#REF!</v>
      </c>
      <c r="D218" s="21" t="e">
        <f>IF(ISBLANK(Data!#REF!),"",Data!#REF!)</f>
        <v>#REF!</v>
      </c>
      <c r="E218" s="21" t="e">
        <f>IF(ISBLANK(Data!#REF!),"",Data!#REF!)</f>
        <v>#REF!</v>
      </c>
      <c r="F218" s="33" t="e">
        <f>IF(ISBLANK(Data!#REF!),"",Data!#REF!)</f>
        <v>#REF!</v>
      </c>
      <c r="G218" s="21" t="e">
        <f>IF(ISBLANK(Data!#REF!),"",Data!#REF!)</f>
        <v>#REF!</v>
      </c>
      <c r="H218" s="33" t="e">
        <f>IF(ISBLANK(Data!#REF!),"",Data!#REF!)</f>
        <v>#REF!</v>
      </c>
      <c r="I218" s="33" t="e">
        <f>IF(ISBLANK(Data!#REF!),"",Data!#REF!)</f>
        <v>#REF!</v>
      </c>
      <c r="J218" s="33" t="e">
        <f>IF(ISBLANK(Data!#REF!),"",Data!#REF!)</f>
        <v>#REF!</v>
      </c>
      <c r="K218" s="21" t="e">
        <f>IF(ISBLANK(Data!#REF!),"",Data!#REF!)</f>
        <v>#REF!</v>
      </c>
      <c r="L218" s="21" t="e">
        <f>IF(ISBLANK(Data!#REF!),"",Data!#REF!)</f>
        <v>#REF!</v>
      </c>
      <c r="N218" s="46" t="e">
        <f>IF(ISBLANK(Data!#REF!),"",Data!#REF!)</f>
        <v>#REF!</v>
      </c>
      <c r="O218" s="46" t="e">
        <f>IF(ISBLANK(Data!#REF!),"",Data!#REF!)</f>
        <v>#REF!</v>
      </c>
      <c r="P218" s="46" t="e">
        <f>IF(ISBLANK(Data!#REF!),"",Data!#REF!)</f>
        <v>#REF!</v>
      </c>
      <c r="Q218" s="46" t="e">
        <f t="shared" si="3"/>
        <v>#REF!</v>
      </c>
      <c r="R218" s="47" t="e">
        <f>IF(ISBLANK(Data!#REF!),"",Data!#REF!)</f>
        <v>#REF!</v>
      </c>
      <c r="S218" s="33" t="e">
        <f>IF(ISBLANK(Data!#REF!),"",Data!#REF!)</f>
        <v>#REF!</v>
      </c>
      <c r="T218" s="33" t="e">
        <f>IF(ISBLANK(Data!#REF!),"",Data!#REF!)</f>
        <v>#REF!</v>
      </c>
      <c r="U218" s="21" t="e">
        <f>IF(ISBLANK(Data!#REF!),"",Data!#REF!)</f>
        <v>#REF!</v>
      </c>
    </row>
    <row r="219" spans="1:21" x14ac:dyDescent="0.25">
      <c r="A219" s="33" t="e">
        <f>IF(ISBLANK(Data!#REF!),"",YEAR(Data!#REF!))</f>
        <v>#REF!</v>
      </c>
      <c r="B219" s="44" t="e">
        <f>IF(ISBLANK(Data!#REF!),"",Data!#REF!)</f>
        <v>#REF!</v>
      </c>
      <c r="C219" s="45" t="e">
        <f>IF(ISBLANK(Data!#REF!),"",Data!#REF!)</f>
        <v>#REF!</v>
      </c>
      <c r="D219" s="21" t="e">
        <f>IF(ISBLANK(Data!#REF!),"",Data!#REF!)</f>
        <v>#REF!</v>
      </c>
      <c r="E219" s="21" t="e">
        <f>IF(ISBLANK(Data!#REF!),"",Data!#REF!)</f>
        <v>#REF!</v>
      </c>
      <c r="F219" s="33" t="e">
        <f>IF(ISBLANK(Data!#REF!),"",Data!#REF!)</f>
        <v>#REF!</v>
      </c>
      <c r="G219" s="21" t="e">
        <f>IF(ISBLANK(Data!#REF!),"",Data!#REF!)</f>
        <v>#REF!</v>
      </c>
      <c r="H219" s="33" t="e">
        <f>IF(ISBLANK(Data!#REF!),"",Data!#REF!)</f>
        <v>#REF!</v>
      </c>
      <c r="I219" s="33" t="e">
        <f>IF(ISBLANK(Data!#REF!),"",Data!#REF!)</f>
        <v>#REF!</v>
      </c>
      <c r="J219" s="33" t="e">
        <f>IF(ISBLANK(Data!#REF!),"",Data!#REF!)</f>
        <v>#REF!</v>
      </c>
      <c r="K219" s="21" t="e">
        <f>IF(ISBLANK(Data!#REF!),"",Data!#REF!)</f>
        <v>#REF!</v>
      </c>
      <c r="L219" s="21" t="e">
        <f>IF(ISBLANK(Data!#REF!),"",Data!#REF!)</f>
        <v>#REF!</v>
      </c>
      <c r="N219" s="46" t="e">
        <f>IF(ISBLANK(Data!#REF!),"",Data!#REF!)</f>
        <v>#REF!</v>
      </c>
      <c r="O219" s="46" t="e">
        <f>IF(ISBLANK(Data!#REF!),"",Data!#REF!)</f>
        <v>#REF!</v>
      </c>
      <c r="P219" s="46" t="e">
        <f>IF(ISBLANK(Data!#REF!),"",Data!#REF!)</f>
        <v>#REF!</v>
      </c>
      <c r="Q219" s="46" t="e">
        <f t="shared" si="3"/>
        <v>#REF!</v>
      </c>
      <c r="R219" s="47" t="e">
        <f>IF(ISBLANK(Data!#REF!),"",Data!#REF!)</f>
        <v>#REF!</v>
      </c>
      <c r="S219" s="33" t="e">
        <f>IF(ISBLANK(Data!#REF!),"",Data!#REF!)</f>
        <v>#REF!</v>
      </c>
      <c r="T219" s="33" t="e">
        <f>IF(ISBLANK(Data!#REF!),"",Data!#REF!)</f>
        <v>#REF!</v>
      </c>
      <c r="U219" s="21" t="e">
        <f>IF(ISBLANK(Data!#REF!),"",Data!#REF!)</f>
        <v>#REF!</v>
      </c>
    </row>
    <row r="220" spans="1:21" x14ac:dyDescent="0.25">
      <c r="A220" s="33" t="e">
        <f>IF(ISBLANK(Data!#REF!),"",YEAR(Data!#REF!))</f>
        <v>#REF!</v>
      </c>
      <c r="B220" s="44" t="e">
        <f>IF(ISBLANK(Data!#REF!),"",Data!#REF!)</f>
        <v>#REF!</v>
      </c>
      <c r="C220" s="45" t="e">
        <f>IF(ISBLANK(Data!#REF!),"",Data!#REF!)</f>
        <v>#REF!</v>
      </c>
      <c r="D220" s="21" t="e">
        <f>IF(ISBLANK(Data!#REF!),"",Data!#REF!)</f>
        <v>#REF!</v>
      </c>
      <c r="E220" s="21" t="e">
        <f>IF(ISBLANK(Data!#REF!),"",Data!#REF!)</f>
        <v>#REF!</v>
      </c>
      <c r="F220" s="33" t="e">
        <f>IF(ISBLANK(Data!#REF!),"",Data!#REF!)</f>
        <v>#REF!</v>
      </c>
      <c r="G220" s="21" t="e">
        <f>IF(ISBLANK(Data!#REF!),"",Data!#REF!)</f>
        <v>#REF!</v>
      </c>
      <c r="H220" s="33" t="e">
        <f>IF(ISBLANK(Data!#REF!),"",Data!#REF!)</f>
        <v>#REF!</v>
      </c>
      <c r="I220" s="33" t="e">
        <f>IF(ISBLANK(Data!#REF!),"",Data!#REF!)</f>
        <v>#REF!</v>
      </c>
      <c r="J220" s="33" t="e">
        <f>IF(ISBLANK(Data!#REF!),"",Data!#REF!)</f>
        <v>#REF!</v>
      </c>
      <c r="K220" s="21" t="e">
        <f>IF(ISBLANK(Data!#REF!),"",Data!#REF!)</f>
        <v>#REF!</v>
      </c>
      <c r="L220" s="21" t="e">
        <f>IF(ISBLANK(Data!#REF!),"",Data!#REF!)</f>
        <v>#REF!</v>
      </c>
      <c r="N220" s="46" t="e">
        <f>IF(ISBLANK(Data!#REF!),"",Data!#REF!)</f>
        <v>#REF!</v>
      </c>
      <c r="O220" s="46" t="e">
        <f>IF(ISBLANK(Data!#REF!),"",Data!#REF!)</f>
        <v>#REF!</v>
      </c>
      <c r="P220" s="46" t="e">
        <f>IF(ISBLANK(Data!#REF!),"",Data!#REF!)</f>
        <v>#REF!</v>
      </c>
      <c r="Q220" s="46" t="e">
        <f t="shared" si="3"/>
        <v>#REF!</v>
      </c>
      <c r="R220" s="47" t="e">
        <f>IF(ISBLANK(Data!#REF!),"",Data!#REF!)</f>
        <v>#REF!</v>
      </c>
      <c r="S220" s="33" t="e">
        <f>IF(ISBLANK(Data!#REF!),"",Data!#REF!)</f>
        <v>#REF!</v>
      </c>
      <c r="T220" s="33" t="e">
        <f>IF(ISBLANK(Data!#REF!),"",Data!#REF!)</f>
        <v>#REF!</v>
      </c>
      <c r="U220" s="21" t="e">
        <f>IF(ISBLANK(Data!#REF!),"",Data!#REF!)</f>
        <v>#REF!</v>
      </c>
    </row>
    <row r="221" spans="1:21" x14ac:dyDescent="0.25">
      <c r="A221" s="33" t="e">
        <f>IF(ISBLANK(Data!#REF!),"",YEAR(Data!#REF!))</f>
        <v>#REF!</v>
      </c>
      <c r="B221" s="44" t="e">
        <f>IF(ISBLANK(Data!#REF!),"",Data!#REF!)</f>
        <v>#REF!</v>
      </c>
      <c r="C221" s="45" t="e">
        <f>IF(ISBLANK(Data!#REF!),"",Data!#REF!)</f>
        <v>#REF!</v>
      </c>
      <c r="D221" s="21" t="e">
        <f>IF(ISBLANK(Data!#REF!),"",Data!#REF!)</f>
        <v>#REF!</v>
      </c>
      <c r="E221" s="21" t="e">
        <f>IF(ISBLANK(Data!#REF!),"",Data!#REF!)</f>
        <v>#REF!</v>
      </c>
      <c r="F221" s="33" t="e">
        <f>IF(ISBLANK(Data!#REF!),"",Data!#REF!)</f>
        <v>#REF!</v>
      </c>
      <c r="G221" s="21" t="e">
        <f>IF(ISBLANK(Data!#REF!),"",Data!#REF!)</f>
        <v>#REF!</v>
      </c>
      <c r="H221" s="33" t="e">
        <f>IF(ISBLANK(Data!#REF!),"",Data!#REF!)</f>
        <v>#REF!</v>
      </c>
      <c r="I221" s="33" t="e">
        <f>IF(ISBLANK(Data!#REF!),"",Data!#REF!)</f>
        <v>#REF!</v>
      </c>
      <c r="J221" s="33" t="e">
        <f>IF(ISBLANK(Data!#REF!),"",Data!#REF!)</f>
        <v>#REF!</v>
      </c>
      <c r="K221" s="21" t="e">
        <f>IF(ISBLANK(Data!#REF!),"",Data!#REF!)</f>
        <v>#REF!</v>
      </c>
      <c r="L221" s="21" t="e">
        <f>IF(ISBLANK(Data!#REF!),"",Data!#REF!)</f>
        <v>#REF!</v>
      </c>
      <c r="N221" s="46" t="e">
        <f>IF(ISBLANK(Data!#REF!),"",Data!#REF!)</f>
        <v>#REF!</v>
      </c>
      <c r="O221" s="46" t="e">
        <f>IF(ISBLANK(Data!#REF!),"",Data!#REF!)</f>
        <v>#REF!</v>
      </c>
      <c r="P221" s="46" t="e">
        <f>IF(ISBLANK(Data!#REF!),"",Data!#REF!)</f>
        <v>#REF!</v>
      </c>
      <c r="Q221" s="46" t="e">
        <f t="shared" si="3"/>
        <v>#REF!</v>
      </c>
      <c r="R221" s="47" t="e">
        <f>IF(ISBLANK(Data!#REF!),"",Data!#REF!)</f>
        <v>#REF!</v>
      </c>
      <c r="S221" s="33" t="e">
        <f>IF(ISBLANK(Data!#REF!),"",Data!#REF!)</f>
        <v>#REF!</v>
      </c>
      <c r="T221" s="33" t="e">
        <f>IF(ISBLANK(Data!#REF!),"",Data!#REF!)</f>
        <v>#REF!</v>
      </c>
      <c r="U221" s="21" t="e">
        <f>IF(ISBLANK(Data!#REF!),"",Data!#REF!)</f>
        <v>#REF!</v>
      </c>
    </row>
    <row r="222" spans="1:21" x14ac:dyDescent="0.25">
      <c r="A222" s="33" t="e">
        <f>IF(ISBLANK(Data!#REF!),"",YEAR(Data!#REF!))</f>
        <v>#REF!</v>
      </c>
      <c r="B222" s="44" t="e">
        <f>IF(ISBLANK(Data!#REF!),"",Data!#REF!)</f>
        <v>#REF!</v>
      </c>
      <c r="C222" s="45" t="e">
        <f>IF(ISBLANK(Data!#REF!),"",Data!#REF!)</f>
        <v>#REF!</v>
      </c>
      <c r="D222" s="21" t="e">
        <f>IF(ISBLANK(Data!#REF!),"",Data!#REF!)</f>
        <v>#REF!</v>
      </c>
      <c r="E222" s="21" t="e">
        <f>IF(ISBLANK(Data!#REF!),"",Data!#REF!)</f>
        <v>#REF!</v>
      </c>
      <c r="F222" s="33" t="e">
        <f>IF(ISBLANK(Data!#REF!),"",Data!#REF!)</f>
        <v>#REF!</v>
      </c>
      <c r="G222" s="21" t="e">
        <f>IF(ISBLANK(Data!#REF!),"",Data!#REF!)</f>
        <v>#REF!</v>
      </c>
      <c r="H222" s="33" t="e">
        <f>IF(ISBLANK(Data!#REF!),"",Data!#REF!)</f>
        <v>#REF!</v>
      </c>
      <c r="I222" s="33" t="e">
        <f>IF(ISBLANK(Data!#REF!),"",Data!#REF!)</f>
        <v>#REF!</v>
      </c>
      <c r="J222" s="33" t="e">
        <f>IF(ISBLANK(Data!#REF!),"",Data!#REF!)</f>
        <v>#REF!</v>
      </c>
      <c r="K222" s="21" t="e">
        <f>IF(ISBLANK(Data!#REF!),"",Data!#REF!)</f>
        <v>#REF!</v>
      </c>
      <c r="L222" s="21" t="e">
        <f>IF(ISBLANK(Data!#REF!),"",Data!#REF!)</f>
        <v>#REF!</v>
      </c>
      <c r="N222" s="46" t="e">
        <f>IF(ISBLANK(Data!#REF!),"",Data!#REF!)</f>
        <v>#REF!</v>
      </c>
      <c r="O222" s="46" t="e">
        <f>IF(ISBLANK(Data!#REF!),"",Data!#REF!)</f>
        <v>#REF!</v>
      </c>
      <c r="P222" s="46" t="e">
        <f>IF(ISBLANK(Data!#REF!),"",Data!#REF!)</f>
        <v>#REF!</v>
      </c>
      <c r="Q222" s="46" t="e">
        <f t="shared" si="3"/>
        <v>#REF!</v>
      </c>
      <c r="R222" s="47" t="e">
        <f>IF(ISBLANK(Data!#REF!),"",Data!#REF!)</f>
        <v>#REF!</v>
      </c>
      <c r="S222" s="33" t="e">
        <f>IF(ISBLANK(Data!#REF!),"",Data!#REF!)</f>
        <v>#REF!</v>
      </c>
      <c r="T222" s="33" t="e">
        <f>IF(ISBLANK(Data!#REF!),"",Data!#REF!)</f>
        <v>#REF!</v>
      </c>
      <c r="U222" s="21" t="e">
        <f>IF(ISBLANK(Data!#REF!),"",Data!#REF!)</f>
        <v>#REF!</v>
      </c>
    </row>
    <row r="223" spans="1:21" x14ac:dyDescent="0.25">
      <c r="A223" s="33" t="e">
        <f>IF(ISBLANK(Data!#REF!),"",YEAR(Data!#REF!))</f>
        <v>#REF!</v>
      </c>
      <c r="B223" s="44" t="e">
        <f>IF(ISBLANK(Data!#REF!),"",Data!#REF!)</f>
        <v>#REF!</v>
      </c>
      <c r="C223" s="45" t="e">
        <f>IF(ISBLANK(Data!#REF!),"",Data!#REF!)</f>
        <v>#REF!</v>
      </c>
      <c r="D223" s="21" t="e">
        <f>IF(ISBLANK(Data!#REF!),"",Data!#REF!)</f>
        <v>#REF!</v>
      </c>
      <c r="E223" s="21" t="e">
        <f>IF(ISBLANK(Data!#REF!),"",Data!#REF!)</f>
        <v>#REF!</v>
      </c>
      <c r="F223" s="33" t="e">
        <f>IF(ISBLANK(Data!#REF!),"",Data!#REF!)</f>
        <v>#REF!</v>
      </c>
      <c r="G223" s="21" t="e">
        <f>IF(ISBLANK(Data!#REF!),"",Data!#REF!)</f>
        <v>#REF!</v>
      </c>
      <c r="H223" s="33" t="e">
        <f>IF(ISBLANK(Data!#REF!),"",Data!#REF!)</f>
        <v>#REF!</v>
      </c>
      <c r="I223" s="33" t="e">
        <f>IF(ISBLANK(Data!#REF!),"",Data!#REF!)</f>
        <v>#REF!</v>
      </c>
      <c r="J223" s="33" t="e">
        <f>IF(ISBLANK(Data!#REF!),"",Data!#REF!)</f>
        <v>#REF!</v>
      </c>
      <c r="K223" s="21" t="e">
        <f>IF(ISBLANK(Data!#REF!),"",Data!#REF!)</f>
        <v>#REF!</v>
      </c>
      <c r="L223" s="21" t="e">
        <f>IF(ISBLANK(Data!#REF!),"",Data!#REF!)</f>
        <v>#REF!</v>
      </c>
      <c r="N223" s="46" t="e">
        <f>IF(ISBLANK(Data!#REF!),"",Data!#REF!)</f>
        <v>#REF!</v>
      </c>
      <c r="O223" s="46" t="e">
        <f>IF(ISBLANK(Data!#REF!),"",Data!#REF!)</f>
        <v>#REF!</v>
      </c>
      <c r="P223" s="46" t="e">
        <f>IF(ISBLANK(Data!#REF!),"",Data!#REF!)</f>
        <v>#REF!</v>
      </c>
      <c r="Q223" s="46" t="e">
        <f t="shared" si="3"/>
        <v>#REF!</v>
      </c>
      <c r="R223" s="47" t="e">
        <f>IF(ISBLANK(Data!#REF!),"",Data!#REF!)</f>
        <v>#REF!</v>
      </c>
      <c r="S223" s="33" t="e">
        <f>IF(ISBLANK(Data!#REF!),"",Data!#REF!)</f>
        <v>#REF!</v>
      </c>
      <c r="T223" s="33" t="e">
        <f>IF(ISBLANK(Data!#REF!),"",Data!#REF!)</f>
        <v>#REF!</v>
      </c>
      <c r="U223" s="21" t="e">
        <f>IF(ISBLANK(Data!#REF!),"",Data!#REF!)</f>
        <v>#REF!</v>
      </c>
    </row>
    <row r="224" spans="1:21" x14ac:dyDescent="0.25">
      <c r="A224" s="33" t="e">
        <f>IF(ISBLANK(Data!#REF!),"",YEAR(Data!#REF!))</f>
        <v>#REF!</v>
      </c>
      <c r="B224" s="44" t="e">
        <f>IF(ISBLANK(Data!#REF!),"",Data!#REF!)</f>
        <v>#REF!</v>
      </c>
      <c r="C224" s="45" t="e">
        <f>IF(ISBLANK(Data!#REF!),"",Data!#REF!)</f>
        <v>#REF!</v>
      </c>
      <c r="D224" s="21" t="e">
        <f>IF(ISBLANK(Data!#REF!),"",Data!#REF!)</f>
        <v>#REF!</v>
      </c>
      <c r="E224" s="21" t="e">
        <f>IF(ISBLANK(Data!#REF!),"",Data!#REF!)</f>
        <v>#REF!</v>
      </c>
      <c r="F224" s="33" t="e">
        <f>IF(ISBLANK(Data!#REF!),"",Data!#REF!)</f>
        <v>#REF!</v>
      </c>
      <c r="G224" s="21" t="e">
        <f>IF(ISBLANK(Data!#REF!),"",Data!#REF!)</f>
        <v>#REF!</v>
      </c>
      <c r="H224" s="33" t="e">
        <f>IF(ISBLANK(Data!#REF!),"",Data!#REF!)</f>
        <v>#REF!</v>
      </c>
      <c r="I224" s="33" t="e">
        <f>IF(ISBLANK(Data!#REF!),"",Data!#REF!)</f>
        <v>#REF!</v>
      </c>
      <c r="J224" s="33" t="e">
        <f>IF(ISBLANK(Data!#REF!),"",Data!#REF!)</f>
        <v>#REF!</v>
      </c>
      <c r="K224" s="21" t="e">
        <f>IF(ISBLANK(Data!#REF!),"",Data!#REF!)</f>
        <v>#REF!</v>
      </c>
      <c r="L224" s="21" t="e">
        <f>IF(ISBLANK(Data!#REF!),"",Data!#REF!)</f>
        <v>#REF!</v>
      </c>
      <c r="N224" s="46" t="e">
        <f>IF(ISBLANK(Data!#REF!),"",Data!#REF!)</f>
        <v>#REF!</v>
      </c>
      <c r="O224" s="46" t="e">
        <f>IF(ISBLANK(Data!#REF!),"",Data!#REF!)</f>
        <v>#REF!</v>
      </c>
      <c r="P224" s="46" t="e">
        <f>IF(ISBLANK(Data!#REF!),"",Data!#REF!)</f>
        <v>#REF!</v>
      </c>
      <c r="Q224" s="46" t="e">
        <f t="shared" si="3"/>
        <v>#REF!</v>
      </c>
      <c r="R224" s="47" t="e">
        <f>IF(ISBLANK(Data!#REF!),"",Data!#REF!)</f>
        <v>#REF!</v>
      </c>
      <c r="S224" s="33" t="e">
        <f>IF(ISBLANK(Data!#REF!),"",Data!#REF!)</f>
        <v>#REF!</v>
      </c>
      <c r="T224" s="33" t="e">
        <f>IF(ISBLANK(Data!#REF!),"",Data!#REF!)</f>
        <v>#REF!</v>
      </c>
      <c r="U224" s="21" t="e">
        <f>IF(ISBLANK(Data!#REF!),"",Data!#REF!)</f>
        <v>#REF!</v>
      </c>
    </row>
    <row r="225" spans="1:21" x14ac:dyDescent="0.25">
      <c r="A225" s="33" t="e">
        <f>IF(ISBLANK(Data!#REF!),"",YEAR(Data!#REF!))</f>
        <v>#REF!</v>
      </c>
      <c r="B225" s="44" t="e">
        <f>IF(ISBLANK(Data!#REF!),"",Data!#REF!)</f>
        <v>#REF!</v>
      </c>
      <c r="C225" s="45" t="e">
        <f>IF(ISBLANK(Data!#REF!),"",Data!#REF!)</f>
        <v>#REF!</v>
      </c>
      <c r="D225" s="21" t="e">
        <f>IF(ISBLANK(Data!#REF!),"",Data!#REF!)</f>
        <v>#REF!</v>
      </c>
      <c r="E225" s="21" t="e">
        <f>IF(ISBLANK(Data!#REF!),"",Data!#REF!)</f>
        <v>#REF!</v>
      </c>
      <c r="F225" s="33" t="e">
        <f>IF(ISBLANK(Data!#REF!),"",Data!#REF!)</f>
        <v>#REF!</v>
      </c>
      <c r="G225" s="21" t="e">
        <f>IF(ISBLANK(Data!#REF!),"",Data!#REF!)</f>
        <v>#REF!</v>
      </c>
      <c r="H225" s="33" t="e">
        <f>IF(ISBLANK(Data!#REF!),"",Data!#REF!)</f>
        <v>#REF!</v>
      </c>
      <c r="I225" s="33" t="e">
        <f>IF(ISBLANK(Data!#REF!),"",Data!#REF!)</f>
        <v>#REF!</v>
      </c>
      <c r="J225" s="33" t="e">
        <f>IF(ISBLANK(Data!#REF!),"",Data!#REF!)</f>
        <v>#REF!</v>
      </c>
      <c r="K225" s="21" t="e">
        <f>IF(ISBLANK(Data!#REF!),"",Data!#REF!)</f>
        <v>#REF!</v>
      </c>
      <c r="L225" s="21" t="e">
        <f>IF(ISBLANK(Data!#REF!),"",Data!#REF!)</f>
        <v>#REF!</v>
      </c>
      <c r="N225" s="46" t="e">
        <f>IF(ISBLANK(Data!#REF!),"",Data!#REF!)</f>
        <v>#REF!</v>
      </c>
      <c r="O225" s="46" t="e">
        <f>IF(ISBLANK(Data!#REF!),"",Data!#REF!)</f>
        <v>#REF!</v>
      </c>
      <c r="P225" s="46" t="e">
        <f>IF(ISBLANK(Data!#REF!),"",Data!#REF!)</f>
        <v>#REF!</v>
      </c>
      <c r="Q225" s="46" t="e">
        <f t="shared" si="3"/>
        <v>#REF!</v>
      </c>
      <c r="R225" s="47" t="e">
        <f>IF(ISBLANK(Data!#REF!),"",Data!#REF!)</f>
        <v>#REF!</v>
      </c>
      <c r="S225" s="33" t="e">
        <f>IF(ISBLANK(Data!#REF!),"",Data!#REF!)</f>
        <v>#REF!</v>
      </c>
      <c r="T225" s="33" t="e">
        <f>IF(ISBLANK(Data!#REF!),"",Data!#REF!)</f>
        <v>#REF!</v>
      </c>
      <c r="U225" s="21" t="e">
        <f>IF(ISBLANK(Data!#REF!),"",Data!#REF!)</f>
        <v>#REF!</v>
      </c>
    </row>
    <row r="226" spans="1:21" x14ac:dyDescent="0.25">
      <c r="A226" s="33" t="e">
        <f>IF(ISBLANK(Data!#REF!),"",YEAR(Data!#REF!))</f>
        <v>#REF!</v>
      </c>
      <c r="B226" s="44" t="e">
        <f>IF(ISBLANK(Data!#REF!),"",Data!#REF!)</f>
        <v>#REF!</v>
      </c>
      <c r="C226" s="45" t="e">
        <f>IF(ISBLANK(Data!#REF!),"",Data!#REF!)</f>
        <v>#REF!</v>
      </c>
      <c r="D226" s="21" t="e">
        <f>IF(ISBLANK(Data!#REF!),"",Data!#REF!)</f>
        <v>#REF!</v>
      </c>
      <c r="E226" s="21" t="e">
        <f>IF(ISBLANK(Data!#REF!),"",Data!#REF!)</f>
        <v>#REF!</v>
      </c>
      <c r="F226" s="33" t="e">
        <f>IF(ISBLANK(Data!#REF!),"",Data!#REF!)</f>
        <v>#REF!</v>
      </c>
      <c r="G226" s="21" t="e">
        <f>IF(ISBLANK(Data!#REF!),"",Data!#REF!)</f>
        <v>#REF!</v>
      </c>
      <c r="H226" s="33" t="e">
        <f>IF(ISBLANK(Data!#REF!),"",Data!#REF!)</f>
        <v>#REF!</v>
      </c>
      <c r="I226" s="33" t="e">
        <f>IF(ISBLANK(Data!#REF!),"",Data!#REF!)</f>
        <v>#REF!</v>
      </c>
      <c r="J226" s="33" t="e">
        <f>IF(ISBLANK(Data!#REF!),"",Data!#REF!)</f>
        <v>#REF!</v>
      </c>
      <c r="K226" s="21" t="e">
        <f>IF(ISBLANK(Data!#REF!),"",Data!#REF!)</f>
        <v>#REF!</v>
      </c>
      <c r="L226" s="21" t="e">
        <f>IF(ISBLANK(Data!#REF!),"",Data!#REF!)</f>
        <v>#REF!</v>
      </c>
      <c r="N226" s="46" t="e">
        <f>IF(ISBLANK(Data!#REF!),"",Data!#REF!)</f>
        <v>#REF!</v>
      </c>
      <c r="O226" s="46" t="e">
        <f>IF(ISBLANK(Data!#REF!),"",Data!#REF!)</f>
        <v>#REF!</v>
      </c>
      <c r="P226" s="46" t="e">
        <f>IF(ISBLANK(Data!#REF!),"",Data!#REF!)</f>
        <v>#REF!</v>
      </c>
      <c r="Q226" s="46" t="e">
        <f t="shared" si="3"/>
        <v>#REF!</v>
      </c>
      <c r="R226" s="47" t="e">
        <f>IF(ISBLANK(Data!#REF!),"",Data!#REF!)</f>
        <v>#REF!</v>
      </c>
      <c r="S226" s="33" t="e">
        <f>IF(ISBLANK(Data!#REF!),"",Data!#REF!)</f>
        <v>#REF!</v>
      </c>
      <c r="T226" s="33" t="e">
        <f>IF(ISBLANK(Data!#REF!),"",Data!#REF!)</f>
        <v>#REF!</v>
      </c>
      <c r="U226" s="21" t="e">
        <f>IF(ISBLANK(Data!#REF!),"",Data!#REF!)</f>
        <v>#REF!</v>
      </c>
    </row>
    <row r="227" spans="1:21" x14ac:dyDescent="0.25">
      <c r="A227" s="33" t="e">
        <f>IF(ISBLANK(Data!#REF!),"",YEAR(Data!#REF!))</f>
        <v>#REF!</v>
      </c>
      <c r="B227" s="44" t="e">
        <f>IF(ISBLANK(Data!#REF!),"",Data!#REF!)</f>
        <v>#REF!</v>
      </c>
      <c r="C227" s="45" t="e">
        <f>IF(ISBLANK(Data!#REF!),"",Data!#REF!)</f>
        <v>#REF!</v>
      </c>
      <c r="D227" s="21" t="e">
        <f>IF(ISBLANK(Data!#REF!),"",Data!#REF!)</f>
        <v>#REF!</v>
      </c>
      <c r="E227" s="21" t="e">
        <f>IF(ISBLANK(Data!#REF!),"",Data!#REF!)</f>
        <v>#REF!</v>
      </c>
      <c r="F227" s="33" t="e">
        <f>IF(ISBLANK(Data!#REF!),"",Data!#REF!)</f>
        <v>#REF!</v>
      </c>
      <c r="G227" s="21" t="e">
        <f>IF(ISBLANK(Data!#REF!),"",Data!#REF!)</f>
        <v>#REF!</v>
      </c>
      <c r="H227" s="33" t="e">
        <f>IF(ISBLANK(Data!#REF!),"",Data!#REF!)</f>
        <v>#REF!</v>
      </c>
      <c r="I227" s="33" t="e">
        <f>IF(ISBLANK(Data!#REF!),"",Data!#REF!)</f>
        <v>#REF!</v>
      </c>
      <c r="J227" s="33" t="e">
        <f>IF(ISBLANK(Data!#REF!),"",Data!#REF!)</f>
        <v>#REF!</v>
      </c>
      <c r="K227" s="21" t="e">
        <f>IF(ISBLANK(Data!#REF!),"",Data!#REF!)</f>
        <v>#REF!</v>
      </c>
      <c r="L227" s="21" t="e">
        <f>IF(ISBLANK(Data!#REF!),"",Data!#REF!)</f>
        <v>#REF!</v>
      </c>
      <c r="N227" s="46" t="e">
        <f>IF(ISBLANK(Data!#REF!),"",Data!#REF!)</f>
        <v>#REF!</v>
      </c>
      <c r="O227" s="46" t="e">
        <f>IF(ISBLANK(Data!#REF!),"",Data!#REF!)</f>
        <v>#REF!</v>
      </c>
      <c r="P227" s="46" t="e">
        <f>IF(ISBLANK(Data!#REF!),"",Data!#REF!)</f>
        <v>#REF!</v>
      </c>
      <c r="Q227" s="46" t="e">
        <f t="shared" si="3"/>
        <v>#REF!</v>
      </c>
      <c r="R227" s="47" t="e">
        <f>IF(ISBLANK(Data!#REF!),"",Data!#REF!)</f>
        <v>#REF!</v>
      </c>
      <c r="S227" s="33" t="e">
        <f>IF(ISBLANK(Data!#REF!),"",Data!#REF!)</f>
        <v>#REF!</v>
      </c>
      <c r="T227" s="33" t="e">
        <f>IF(ISBLANK(Data!#REF!),"",Data!#REF!)</f>
        <v>#REF!</v>
      </c>
      <c r="U227" s="21" t="e">
        <f>IF(ISBLANK(Data!#REF!),"",Data!#REF!)</f>
        <v>#REF!</v>
      </c>
    </row>
    <row r="228" spans="1:21" x14ac:dyDescent="0.25">
      <c r="A228" s="33" t="e">
        <f>IF(ISBLANK(Data!#REF!),"",YEAR(Data!#REF!))</f>
        <v>#REF!</v>
      </c>
      <c r="B228" s="44" t="e">
        <f>IF(ISBLANK(Data!#REF!),"",Data!#REF!)</f>
        <v>#REF!</v>
      </c>
      <c r="C228" s="45" t="e">
        <f>IF(ISBLANK(Data!#REF!),"",Data!#REF!)</f>
        <v>#REF!</v>
      </c>
      <c r="D228" s="21" t="e">
        <f>IF(ISBLANK(Data!#REF!),"",Data!#REF!)</f>
        <v>#REF!</v>
      </c>
      <c r="E228" s="21" t="e">
        <f>IF(ISBLANK(Data!#REF!),"",Data!#REF!)</f>
        <v>#REF!</v>
      </c>
      <c r="F228" s="33" t="e">
        <f>IF(ISBLANK(Data!#REF!),"",Data!#REF!)</f>
        <v>#REF!</v>
      </c>
      <c r="G228" s="21" t="e">
        <f>IF(ISBLANK(Data!#REF!),"",Data!#REF!)</f>
        <v>#REF!</v>
      </c>
      <c r="H228" s="33" t="e">
        <f>IF(ISBLANK(Data!#REF!),"",Data!#REF!)</f>
        <v>#REF!</v>
      </c>
      <c r="I228" s="33" t="e">
        <f>IF(ISBLANK(Data!#REF!),"",Data!#REF!)</f>
        <v>#REF!</v>
      </c>
      <c r="J228" s="33" t="e">
        <f>IF(ISBLANK(Data!#REF!),"",Data!#REF!)</f>
        <v>#REF!</v>
      </c>
      <c r="K228" s="21" t="e">
        <f>IF(ISBLANK(Data!#REF!),"",Data!#REF!)</f>
        <v>#REF!</v>
      </c>
      <c r="L228" s="21" t="e">
        <f>IF(ISBLANK(Data!#REF!),"",Data!#REF!)</f>
        <v>#REF!</v>
      </c>
      <c r="N228" s="46" t="e">
        <f>IF(ISBLANK(Data!#REF!),"",Data!#REF!)</f>
        <v>#REF!</v>
      </c>
      <c r="O228" s="46" t="e">
        <f>IF(ISBLANK(Data!#REF!),"",Data!#REF!)</f>
        <v>#REF!</v>
      </c>
      <c r="P228" s="46" t="e">
        <f>IF(ISBLANK(Data!#REF!),"",Data!#REF!)</f>
        <v>#REF!</v>
      </c>
      <c r="Q228" s="46" t="e">
        <f t="shared" si="3"/>
        <v>#REF!</v>
      </c>
      <c r="R228" s="47" t="e">
        <f>IF(ISBLANK(Data!#REF!),"",Data!#REF!)</f>
        <v>#REF!</v>
      </c>
      <c r="S228" s="33" t="e">
        <f>IF(ISBLANK(Data!#REF!),"",Data!#REF!)</f>
        <v>#REF!</v>
      </c>
      <c r="T228" s="33" t="e">
        <f>IF(ISBLANK(Data!#REF!),"",Data!#REF!)</f>
        <v>#REF!</v>
      </c>
      <c r="U228" s="21" t="e">
        <f>IF(ISBLANK(Data!#REF!),"",Data!#REF!)</f>
        <v>#REF!</v>
      </c>
    </row>
    <row r="229" spans="1:21" x14ac:dyDescent="0.25">
      <c r="A229" s="33" t="e">
        <f>IF(ISBLANK(Data!#REF!),"",YEAR(Data!#REF!))</f>
        <v>#REF!</v>
      </c>
      <c r="B229" s="44" t="e">
        <f>IF(ISBLANK(Data!#REF!),"",Data!#REF!)</f>
        <v>#REF!</v>
      </c>
      <c r="C229" s="45" t="e">
        <f>IF(ISBLANK(Data!#REF!),"",Data!#REF!)</f>
        <v>#REF!</v>
      </c>
      <c r="D229" s="21" t="e">
        <f>IF(ISBLANK(Data!#REF!),"",Data!#REF!)</f>
        <v>#REF!</v>
      </c>
      <c r="E229" s="21" t="e">
        <f>IF(ISBLANK(Data!#REF!),"",Data!#REF!)</f>
        <v>#REF!</v>
      </c>
      <c r="F229" s="33" t="e">
        <f>IF(ISBLANK(Data!#REF!),"",Data!#REF!)</f>
        <v>#REF!</v>
      </c>
      <c r="G229" s="21" t="e">
        <f>IF(ISBLANK(Data!#REF!),"",Data!#REF!)</f>
        <v>#REF!</v>
      </c>
      <c r="H229" s="33" t="e">
        <f>IF(ISBLANK(Data!#REF!),"",Data!#REF!)</f>
        <v>#REF!</v>
      </c>
      <c r="I229" s="33" t="e">
        <f>IF(ISBLANK(Data!#REF!),"",Data!#REF!)</f>
        <v>#REF!</v>
      </c>
      <c r="J229" s="33" t="e">
        <f>IF(ISBLANK(Data!#REF!),"",Data!#REF!)</f>
        <v>#REF!</v>
      </c>
      <c r="K229" s="21" t="e">
        <f>IF(ISBLANK(Data!#REF!),"",Data!#REF!)</f>
        <v>#REF!</v>
      </c>
      <c r="L229" s="21" t="e">
        <f>IF(ISBLANK(Data!#REF!),"",Data!#REF!)</f>
        <v>#REF!</v>
      </c>
      <c r="N229" s="46" t="e">
        <f>IF(ISBLANK(Data!#REF!),"",Data!#REF!)</f>
        <v>#REF!</v>
      </c>
      <c r="O229" s="46" t="e">
        <f>IF(ISBLANK(Data!#REF!),"",Data!#REF!)</f>
        <v>#REF!</v>
      </c>
      <c r="P229" s="46" t="e">
        <f>IF(ISBLANK(Data!#REF!),"",Data!#REF!)</f>
        <v>#REF!</v>
      </c>
      <c r="Q229" s="46" t="e">
        <f t="shared" si="3"/>
        <v>#REF!</v>
      </c>
      <c r="R229" s="47" t="e">
        <f>IF(ISBLANK(Data!#REF!),"",Data!#REF!)</f>
        <v>#REF!</v>
      </c>
      <c r="S229" s="33" t="e">
        <f>IF(ISBLANK(Data!#REF!),"",Data!#REF!)</f>
        <v>#REF!</v>
      </c>
      <c r="T229" s="33" t="e">
        <f>IF(ISBLANK(Data!#REF!),"",Data!#REF!)</f>
        <v>#REF!</v>
      </c>
      <c r="U229" s="21" t="e">
        <f>IF(ISBLANK(Data!#REF!),"",Data!#REF!)</f>
        <v>#REF!</v>
      </c>
    </row>
    <row r="230" spans="1:21" x14ac:dyDescent="0.25">
      <c r="A230" s="33" t="e">
        <f>IF(ISBLANK(Data!#REF!),"",YEAR(Data!#REF!))</f>
        <v>#REF!</v>
      </c>
      <c r="B230" s="44" t="e">
        <f>IF(ISBLANK(Data!#REF!),"",Data!#REF!)</f>
        <v>#REF!</v>
      </c>
      <c r="C230" s="45" t="e">
        <f>IF(ISBLANK(Data!#REF!),"",Data!#REF!)</f>
        <v>#REF!</v>
      </c>
      <c r="D230" s="21" t="e">
        <f>IF(ISBLANK(Data!#REF!),"",Data!#REF!)</f>
        <v>#REF!</v>
      </c>
      <c r="E230" s="21" t="e">
        <f>IF(ISBLANK(Data!#REF!),"",Data!#REF!)</f>
        <v>#REF!</v>
      </c>
      <c r="F230" s="33" t="e">
        <f>IF(ISBLANK(Data!#REF!),"",Data!#REF!)</f>
        <v>#REF!</v>
      </c>
      <c r="G230" s="21" t="e">
        <f>IF(ISBLANK(Data!#REF!),"",Data!#REF!)</f>
        <v>#REF!</v>
      </c>
      <c r="H230" s="33" t="e">
        <f>IF(ISBLANK(Data!#REF!),"",Data!#REF!)</f>
        <v>#REF!</v>
      </c>
      <c r="I230" s="33" t="e">
        <f>IF(ISBLANK(Data!#REF!),"",Data!#REF!)</f>
        <v>#REF!</v>
      </c>
      <c r="J230" s="33" t="e">
        <f>IF(ISBLANK(Data!#REF!),"",Data!#REF!)</f>
        <v>#REF!</v>
      </c>
      <c r="K230" s="21" t="e">
        <f>IF(ISBLANK(Data!#REF!),"",Data!#REF!)</f>
        <v>#REF!</v>
      </c>
      <c r="L230" s="21" t="e">
        <f>IF(ISBLANK(Data!#REF!),"",Data!#REF!)</f>
        <v>#REF!</v>
      </c>
      <c r="N230" s="46" t="e">
        <f>IF(ISBLANK(Data!#REF!),"",Data!#REF!)</f>
        <v>#REF!</v>
      </c>
      <c r="O230" s="46" t="e">
        <f>IF(ISBLANK(Data!#REF!),"",Data!#REF!)</f>
        <v>#REF!</v>
      </c>
      <c r="P230" s="46" t="e">
        <f>IF(ISBLANK(Data!#REF!),"",Data!#REF!)</f>
        <v>#REF!</v>
      </c>
      <c r="Q230" s="46" t="e">
        <f t="shared" si="3"/>
        <v>#REF!</v>
      </c>
      <c r="R230" s="47" t="e">
        <f>IF(ISBLANK(Data!#REF!),"",Data!#REF!)</f>
        <v>#REF!</v>
      </c>
      <c r="S230" s="33" t="e">
        <f>IF(ISBLANK(Data!#REF!),"",Data!#REF!)</f>
        <v>#REF!</v>
      </c>
      <c r="T230" s="33" t="e">
        <f>IF(ISBLANK(Data!#REF!),"",Data!#REF!)</f>
        <v>#REF!</v>
      </c>
      <c r="U230" s="21" t="e">
        <f>IF(ISBLANK(Data!#REF!),"",Data!#REF!)</f>
        <v>#REF!</v>
      </c>
    </row>
    <row r="231" spans="1:21" x14ac:dyDescent="0.25">
      <c r="A231" s="33" t="e">
        <f>IF(ISBLANK(Data!#REF!),"",YEAR(Data!#REF!))</f>
        <v>#REF!</v>
      </c>
      <c r="B231" s="44" t="e">
        <f>IF(ISBLANK(Data!#REF!),"",Data!#REF!)</f>
        <v>#REF!</v>
      </c>
      <c r="C231" s="45" t="e">
        <f>IF(ISBLANK(Data!#REF!),"",Data!#REF!)</f>
        <v>#REF!</v>
      </c>
      <c r="D231" s="21" t="e">
        <f>IF(ISBLANK(Data!#REF!),"",Data!#REF!)</f>
        <v>#REF!</v>
      </c>
      <c r="E231" s="21" t="e">
        <f>IF(ISBLANK(Data!#REF!),"",Data!#REF!)</f>
        <v>#REF!</v>
      </c>
      <c r="F231" s="33" t="e">
        <f>IF(ISBLANK(Data!#REF!),"",Data!#REF!)</f>
        <v>#REF!</v>
      </c>
      <c r="G231" s="21" t="e">
        <f>IF(ISBLANK(Data!#REF!),"",Data!#REF!)</f>
        <v>#REF!</v>
      </c>
      <c r="H231" s="33" t="e">
        <f>IF(ISBLANK(Data!#REF!),"",Data!#REF!)</f>
        <v>#REF!</v>
      </c>
      <c r="I231" s="33" t="e">
        <f>IF(ISBLANK(Data!#REF!),"",Data!#REF!)</f>
        <v>#REF!</v>
      </c>
      <c r="J231" s="33" t="e">
        <f>IF(ISBLANK(Data!#REF!),"",Data!#REF!)</f>
        <v>#REF!</v>
      </c>
      <c r="K231" s="21" t="e">
        <f>IF(ISBLANK(Data!#REF!),"",Data!#REF!)</f>
        <v>#REF!</v>
      </c>
      <c r="L231" s="21" t="e">
        <f>IF(ISBLANK(Data!#REF!),"",Data!#REF!)</f>
        <v>#REF!</v>
      </c>
      <c r="N231" s="46" t="e">
        <f>IF(ISBLANK(Data!#REF!),"",Data!#REF!)</f>
        <v>#REF!</v>
      </c>
      <c r="O231" s="46" t="e">
        <f>IF(ISBLANK(Data!#REF!),"",Data!#REF!)</f>
        <v>#REF!</v>
      </c>
      <c r="P231" s="46" t="e">
        <f>IF(ISBLANK(Data!#REF!),"",Data!#REF!)</f>
        <v>#REF!</v>
      </c>
      <c r="Q231" s="46" t="e">
        <f t="shared" si="3"/>
        <v>#REF!</v>
      </c>
      <c r="R231" s="47" t="e">
        <f>IF(ISBLANK(Data!#REF!),"",Data!#REF!)</f>
        <v>#REF!</v>
      </c>
      <c r="S231" s="33" t="e">
        <f>IF(ISBLANK(Data!#REF!),"",Data!#REF!)</f>
        <v>#REF!</v>
      </c>
      <c r="T231" s="33" t="e">
        <f>IF(ISBLANK(Data!#REF!),"",Data!#REF!)</f>
        <v>#REF!</v>
      </c>
      <c r="U231" s="21" t="e">
        <f>IF(ISBLANK(Data!#REF!),"",Data!#REF!)</f>
        <v>#REF!</v>
      </c>
    </row>
    <row r="232" spans="1:21" x14ac:dyDescent="0.25">
      <c r="A232" s="33" t="e">
        <f>IF(ISBLANK(Data!#REF!),"",YEAR(Data!#REF!))</f>
        <v>#REF!</v>
      </c>
      <c r="B232" s="44" t="e">
        <f>IF(ISBLANK(Data!#REF!),"",Data!#REF!)</f>
        <v>#REF!</v>
      </c>
      <c r="C232" s="45" t="e">
        <f>IF(ISBLANK(Data!#REF!),"",Data!#REF!)</f>
        <v>#REF!</v>
      </c>
      <c r="D232" s="21" t="e">
        <f>IF(ISBLANK(Data!#REF!),"",Data!#REF!)</f>
        <v>#REF!</v>
      </c>
      <c r="E232" s="21" t="e">
        <f>IF(ISBLANK(Data!#REF!),"",Data!#REF!)</f>
        <v>#REF!</v>
      </c>
      <c r="F232" s="33" t="e">
        <f>IF(ISBLANK(Data!#REF!),"",Data!#REF!)</f>
        <v>#REF!</v>
      </c>
      <c r="G232" s="21" t="e">
        <f>IF(ISBLANK(Data!#REF!),"",Data!#REF!)</f>
        <v>#REF!</v>
      </c>
      <c r="H232" s="33" t="e">
        <f>IF(ISBLANK(Data!#REF!),"",Data!#REF!)</f>
        <v>#REF!</v>
      </c>
      <c r="I232" s="33" t="e">
        <f>IF(ISBLANK(Data!#REF!),"",Data!#REF!)</f>
        <v>#REF!</v>
      </c>
      <c r="J232" s="33" t="e">
        <f>IF(ISBLANK(Data!#REF!),"",Data!#REF!)</f>
        <v>#REF!</v>
      </c>
      <c r="K232" s="21" t="e">
        <f>IF(ISBLANK(Data!#REF!),"",Data!#REF!)</f>
        <v>#REF!</v>
      </c>
      <c r="L232" s="21" t="e">
        <f>IF(ISBLANK(Data!#REF!),"",Data!#REF!)</f>
        <v>#REF!</v>
      </c>
      <c r="N232" s="46" t="e">
        <f>IF(ISBLANK(Data!#REF!),"",Data!#REF!)</f>
        <v>#REF!</v>
      </c>
      <c r="O232" s="46" t="e">
        <f>IF(ISBLANK(Data!#REF!),"",Data!#REF!)</f>
        <v>#REF!</v>
      </c>
      <c r="P232" s="46" t="e">
        <f>IF(ISBLANK(Data!#REF!),"",Data!#REF!)</f>
        <v>#REF!</v>
      </c>
      <c r="Q232" s="46" t="e">
        <f t="shared" si="3"/>
        <v>#REF!</v>
      </c>
      <c r="R232" s="47" t="e">
        <f>IF(ISBLANK(Data!#REF!),"",Data!#REF!)</f>
        <v>#REF!</v>
      </c>
      <c r="S232" s="33" t="e">
        <f>IF(ISBLANK(Data!#REF!),"",Data!#REF!)</f>
        <v>#REF!</v>
      </c>
      <c r="T232" s="33" t="e">
        <f>IF(ISBLANK(Data!#REF!),"",Data!#REF!)</f>
        <v>#REF!</v>
      </c>
      <c r="U232" s="21" t="e">
        <f>IF(ISBLANK(Data!#REF!),"",Data!#REF!)</f>
        <v>#REF!</v>
      </c>
    </row>
    <row r="233" spans="1:21" x14ac:dyDescent="0.25">
      <c r="A233" s="33" t="e">
        <f>IF(ISBLANK(Data!#REF!),"",YEAR(Data!#REF!))</f>
        <v>#REF!</v>
      </c>
      <c r="B233" s="44" t="e">
        <f>IF(ISBLANK(Data!#REF!),"",Data!#REF!)</f>
        <v>#REF!</v>
      </c>
      <c r="C233" s="45" t="e">
        <f>IF(ISBLANK(Data!#REF!),"",Data!#REF!)</f>
        <v>#REF!</v>
      </c>
      <c r="D233" s="21" t="e">
        <f>IF(ISBLANK(Data!#REF!),"",Data!#REF!)</f>
        <v>#REF!</v>
      </c>
      <c r="E233" s="21" t="e">
        <f>IF(ISBLANK(Data!#REF!),"",Data!#REF!)</f>
        <v>#REF!</v>
      </c>
      <c r="F233" s="33" t="e">
        <f>IF(ISBLANK(Data!#REF!),"",Data!#REF!)</f>
        <v>#REF!</v>
      </c>
      <c r="G233" s="21" t="e">
        <f>IF(ISBLANK(Data!#REF!),"",Data!#REF!)</f>
        <v>#REF!</v>
      </c>
      <c r="H233" s="33" t="e">
        <f>IF(ISBLANK(Data!#REF!),"",Data!#REF!)</f>
        <v>#REF!</v>
      </c>
      <c r="I233" s="33" t="e">
        <f>IF(ISBLANK(Data!#REF!),"",Data!#REF!)</f>
        <v>#REF!</v>
      </c>
      <c r="J233" s="33" t="e">
        <f>IF(ISBLANK(Data!#REF!),"",Data!#REF!)</f>
        <v>#REF!</v>
      </c>
      <c r="K233" s="21" t="e">
        <f>IF(ISBLANK(Data!#REF!),"",Data!#REF!)</f>
        <v>#REF!</v>
      </c>
      <c r="L233" s="21" t="e">
        <f>IF(ISBLANK(Data!#REF!),"",Data!#REF!)</f>
        <v>#REF!</v>
      </c>
      <c r="N233" s="46" t="e">
        <f>IF(ISBLANK(Data!#REF!),"",Data!#REF!)</f>
        <v>#REF!</v>
      </c>
      <c r="O233" s="46" t="e">
        <f>IF(ISBLANK(Data!#REF!),"",Data!#REF!)</f>
        <v>#REF!</v>
      </c>
      <c r="P233" s="46" t="e">
        <f>IF(ISBLANK(Data!#REF!),"",Data!#REF!)</f>
        <v>#REF!</v>
      </c>
      <c r="Q233" s="46" t="e">
        <f t="shared" si="3"/>
        <v>#REF!</v>
      </c>
      <c r="R233" s="47" t="e">
        <f>IF(ISBLANK(Data!#REF!),"",Data!#REF!)</f>
        <v>#REF!</v>
      </c>
      <c r="S233" s="33" t="e">
        <f>IF(ISBLANK(Data!#REF!),"",Data!#REF!)</f>
        <v>#REF!</v>
      </c>
      <c r="T233" s="33" t="e">
        <f>IF(ISBLANK(Data!#REF!),"",Data!#REF!)</f>
        <v>#REF!</v>
      </c>
      <c r="U233" s="21" t="e">
        <f>IF(ISBLANK(Data!#REF!),"",Data!#REF!)</f>
        <v>#REF!</v>
      </c>
    </row>
    <row r="234" spans="1:21" x14ac:dyDescent="0.25">
      <c r="A234" s="33" t="e">
        <f>IF(ISBLANK(Data!#REF!),"",YEAR(Data!#REF!))</f>
        <v>#REF!</v>
      </c>
      <c r="B234" s="44" t="e">
        <f>IF(ISBLANK(Data!#REF!),"",Data!#REF!)</f>
        <v>#REF!</v>
      </c>
      <c r="C234" s="45" t="e">
        <f>IF(ISBLANK(Data!#REF!),"",Data!#REF!)</f>
        <v>#REF!</v>
      </c>
      <c r="D234" s="21" t="e">
        <f>IF(ISBLANK(Data!#REF!),"",Data!#REF!)</f>
        <v>#REF!</v>
      </c>
      <c r="E234" s="21" t="e">
        <f>IF(ISBLANK(Data!#REF!),"",Data!#REF!)</f>
        <v>#REF!</v>
      </c>
      <c r="F234" s="33" t="e">
        <f>IF(ISBLANK(Data!#REF!),"",Data!#REF!)</f>
        <v>#REF!</v>
      </c>
      <c r="G234" s="21" t="e">
        <f>IF(ISBLANK(Data!#REF!),"",Data!#REF!)</f>
        <v>#REF!</v>
      </c>
      <c r="H234" s="33" t="e">
        <f>IF(ISBLANK(Data!#REF!),"",Data!#REF!)</f>
        <v>#REF!</v>
      </c>
      <c r="I234" s="33" t="e">
        <f>IF(ISBLANK(Data!#REF!),"",Data!#REF!)</f>
        <v>#REF!</v>
      </c>
      <c r="J234" s="33" t="e">
        <f>IF(ISBLANK(Data!#REF!),"",Data!#REF!)</f>
        <v>#REF!</v>
      </c>
      <c r="K234" s="21" t="e">
        <f>IF(ISBLANK(Data!#REF!),"",Data!#REF!)</f>
        <v>#REF!</v>
      </c>
      <c r="L234" s="21" t="e">
        <f>IF(ISBLANK(Data!#REF!),"",Data!#REF!)</f>
        <v>#REF!</v>
      </c>
      <c r="N234" s="46" t="e">
        <f>IF(ISBLANK(Data!#REF!),"",Data!#REF!)</f>
        <v>#REF!</v>
      </c>
      <c r="O234" s="46" t="e">
        <f>IF(ISBLANK(Data!#REF!),"",Data!#REF!)</f>
        <v>#REF!</v>
      </c>
      <c r="P234" s="46" t="e">
        <f>IF(ISBLANK(Data!#REF!),"",Data!#REF!)</f>
        <v>#REF!</v>
      </c>
      <c r="Q234" s="46" t="e">
        <f t="shared" si="3"/>
        <v>#REF!</v>
      </c>
      <c r="R234" s="47" t="e">
        <f>IF(ISBLANK(Data!#REF!),"",Data!#REF!)</f>
        <v>#REF!</v>
      </c>
      <c r="S234" s="33" t="e">
        <f>IF(ISBLANK(Data!#REF!),"",Data!#REF!)</f>
        <v>#REF!</v>
      </c>
      <c r="T234" s="33" t="e">
        <f>IF(ISBLANK(Data!#REF!),"",Data!#REF!)</f>
        <v>#REF!</v>
      </c>
      <c r="U234" s="21" t="e">
        <f>IF(ISBLANK(Data!#REF!),"",Data!#REF!)</f>
        <v>#REF!</v>
      </c>
    </row>
    <row r="235" spans="1:21" x14ac:dyDescent="0.25">
      <c r="A235" s="33" t="e">
        <f>IF(ISBLANK(Data!#REF!),"",YEAR(Data!#REF!))</f>
        <v>#REF!</v>
      </c>
      <c r="B235" s="44" t="e">
        <f>IF(ISBLANK(Data!#REF!),"",Data!#REF!)</f>
        <v>#REF!</v>
      </c>
      <c r="C235" s="45" t="e">
        <f>IF(ISBLANK(Data!#REF!),"",Data!#REF!)</f>
        <v>#REF!</v>
      </c>
      <c r="D235" s="21" t="e">
        <f>IF(ISBLANK(Data!#REF!),"",Data!#REF!)</f>
        <v>#REF!</v>
      </c>
      <c r="E235" s="21" t="e">
        <f>IF(ISBLANK(Data!#REF!),"",Data!#REF!)</f>
        <v>#REF!</v>
      </c>
      <c r="F235" s="33" t="e">
        <f>IF(ISBLANK(Data!#REF!),"",Data!#REF!)</f>
        <v>#REF!</v>
      </c>
      <c r="G235" s="21" t="e">
        <f>IF(ISBLANK(Data!#REF!),"",Data!#REF!)</f>
        <v>#REF!</v>
      </c>
      <c r="H235" s="33" t="e">
        <f>IF(ISBLANK(Data!#REF!),"",Data!#REF!)</f>
        <v>#REF!</v>
      </c>
      <c r="I235" s="33" t="e">
        <f>IF(ISBLANK(Data!#REF!),"",Data!#REF!)</f>
        <v>#REF!</v>
      </c>
      <c r="J235" s="33" t="e">
        <f>IF(ISBLANK(Data!#REF!),"",Data!#REF!)</f>
        <v>#REF!</v>
      </c>
      <c r="K235" s="21" t="e">
        <f>IF(ISBLANK(Data!#REF!),"",Data!#REF!)</f>
        <v>#REF!</v>
      </c>
      <c r="L235" s="21" t="e">
        <f>IF(ISBLANK(Data!#REF!),"",Data!#REF!)</f>
        <v>#REF!</v>
      </c>
      <c r="N235" s="46" t="e">
        <f>IF(ISBLANK(Data!#REF!),"",Data!#REF!)</f>
        <v>#REF!</v>
      </c>
      <c r="O235" s="46" t="e">
        <f>IF(ISBLANK(Data!#REF!),"",Data!#REF!)</f>
        <v>#REF!</v>
      </c>
      <c r="P235" s="46" t="e">
        <f>IF(ISBLANK(Data!#REF!),"",Data!#REF!)</f>
        <v>#REF!</v>
      </c>
      <c r="Q235" s="46" t="e">
        <f t="shared" si="3"/>
        <v>#REF!</v>
      </c>
      <c r="R235" s="47" t="e">
        <f>IF(ISBLANK(Data!#REF!),"",Data!#REF!)</f>
        <v>#REF!</v>
      </c>
      <c r="S235" s="33" t="e">
        <f>IF(ISBLANK(Data!#REF!),"",Data!#REF!)</f>
        <v>#REF!</v>
      </c>
      <c r="T235" s="33" t="e">
        <f>IF(ISBLANK(Data!#REF!),"",Data!#REF!)</f>
        <v>#REF!</v>
      </c>
      <c r="U235" s="21" t="e">
        <f>IF(ISBLANK(Data!#REF!),"",Data!#REF!)</f>
        <v>#REF!</v>
      </c>
    </row>
    <row r="236" spans="1:21" x14ac:dyDescent="0.25">
      <c r="A236" s="33" t="e">
        <f>IF(ISBLANK(Data!#REF!),"",YEAR(Data!#REF!))</f>
        <v>#REF!</v>
      </c>
      <c r="B236" s="44" t="e">
        <f>IF(ISBLANK(Data!#REF!),"",Data!#REF!)</f>
        <v>#REF!</v>
      </c>
      <c r="C236" s="45" t="e">
        <f>IF(ISBLANK(Data!#REF!),"",Data!#REF!)</f>
        <v>#REF!</v>
      </c>
      <c r="D236" s="21" t="e">
        <f>IF(ISBLANK(Data!#REF!),"",Data!#REF!)</f>
        <v>#REF!</v>
      </c>
      <c r="E236" s="21" t="e">
        <f>IF(ISBLANK(Data!#REF!),"",Data!#REF!)</f>
        <v>#REF!</v>
      </c>
      <c r="F236" s="33" t="e">
        <f>IF(ISBLANK(Data!#REF!),"",Data!#REF!)</f>
        <v>#REF!</v>
      </c>
      <c r="G236" s="21" t="e">
        <f>IF(ISBLANK(Data!#REF!),"",Data!#REF!)</f>
        <v>#REF!</v>
      </c>
      <c r="H236" s="33" t="e">
        <f>IF(ISBLANK(Data!#REF!),"",Data!#REF!)</f>
        <v>#REF!</v>
      </c>
      <c r="I236" s="33" t="e">
        <f>IF(ISBLANK(Data!#REF!),"",Data!#REF!)</f>
        <v>#REF!</v>
      </c>
      <c r="J236" s="33" t="e">
        <f>IF(ISBLANK(Data!#REF!),"",Data!#REF!)</f>
        <v>#REF!</v>
      </c>
      <c r="K236" s="21" t="e">
        <f>IF(ISBLANK(Data!#REF!),"",Data!#REF!)</f>
        <v>#REF!</v>
      </c>
      <c r="L236" s="21" t="e">
        <f>IF(ISBLANK(Data!#REF!),"",Data!#REF!)</f>
        <v>#REF!</v>
      </c>
      <c r="N236" s="46" t="e">
        <f>IF(ISBLANK(Data!#REF!),"",Data!#REF!)</f>
        <v>#REF!</v>
      </c>
      <c r="O236" s="46" t="e">
        <f>IF(ISBLANK(Data!#REF!),"",Data!#REF!)</f>
        <v>#REF!</v>
      </c>
      <c r="P236" s="46" t="e">
        <f>IF(ISBLANK(Data!#REF!),"",Data!#REF!)</f>
        <v>#REF!</v>
      </c>
      <c r="Q236" s="46" t="e">
        <f t="shared" si="3"/>
        <v>#REF!</v>
      </c>
      <c r="R236" s="47" t="e">
        <f>IF(ISBLANK(Data!#REF!),"",Data!#REF!)</f>
        <v>#REF!</v>
      </c>
      <c r="S236" s="33" t="e">
        <f>IF(ISBLANK(Data!#REF!),"",Data!#REF!)</f>
        <v>#REF!</v>
      </c>
      <c r="T236" s="33" t="e">
        <f>IF(ISBLANK(Data!#REF!),"",Data!#REF!)</f>
        <v>#REF!</v>
      </c>
      <c r="U236" s="21" t="e">
        <f>IF(ISBLANK(Data!#REF!),"",Data!#REF!)</f>
        <v>#REF!</v>
      </c>
    </row>
    <row r="237" spans="1:21" x14ac:dyDescent="0.25">
      <c r="A237" s="33" t="e">
        <f>IF(ISBLANK(Data!#REF!),"",YEAR(Data!#REF!))</f>
        <v>#REF!</v>
      </c>
      <c r="B237" s="44" t="e">
        <f>IF(ISBLANK(Data!#REF!),"",Data!#REF!)</f>
        <v>#REF!</v>
      </c>
      <c r="C237" s="45" t="e">
        <f>IF(ISBLANK(Data!#REF!),"",Data!#REF!)</f>
        <v>#REF!</v>
      </c>
      <c r="D237" s="21" t="e">
        <f>IF(ISBLANK(Data!#REF!),"",Data!#REF!)</f>
        <v>#REF!</v>
      </c>
      <c r="E237" s="21" t="e">
        <f>IF(ISBLANK(Data!#REF!),"",Data!#REF!)</f>
        <v>#REF!</v>
      </c>
      <c r="F237" s="33" t="e">
        <f>IF(ISBLANK(Data!#REF!),"",Data!#REF!)</f>
        <v>#REF!</v>
      </c>
      <c r="G237" s="21" t="e">
        <f>IF(ISBLANK(Data!#REF!),"",Data!#REF!)</f>
        <v>#REF!</v>
      </c>
      <c r="H237" s="33" t="e">
        <f>IF(ISBLANK(Data!#REF!),"",Data!#REF!)</f>
        <v>#REF!</v>
      </c>
      <c r="I237" s="33" t="e">
        <f>IF(ISBLANK(Data!#REF!),"",Data!#REF!)</f>
        <v>#REF!</v>
      </c>
      <c r="J237" s="33" t="e">
        <f>IF(ISBLANK(Data!#REF!),"",Data!#REF!)</f>
        <v>#REF!</v>
      </c>
      <c r="K237" s="21" t="e">
        <f>IF(ISBLANK(Data!#REF!),"",Data!#REF!)</f>
        <v>#REF!</v>
      </c>
      <c r="L237" s="21" t="e">
        <f>IF(ISBLANK(Data!#REF!),"",Data!#REF!)</f>
        <v>#REF!</v>
      </c>
      <c r="N237" s="46" t="e">
        <f>IF(ISBLANK(Data!#REF!),"",Data!#REF!)</f>
        <v>#REF!</v>
      </c>
      <c r="O237" s="46" t="e">
        <f>IF(ISBLANK(Data!#REF!),"",Data!#REF!)</f>
        <v>#REF!</v>
      </c>
      <c r="P237" s="46" t="e">
        <f>IF(ISBLANK(Data!#REF!),"",Data!#REF!)</f>
        <v>#REF!</v>
      </c>
      <c r="Q237" s="46" t="e">
        <f t="shared" si="3"/>
        <v>#REF!</v>
      </c>
      <c r="R237" s="47" t="e">
        <f>IF(ISBLANK(Data!#REF!),"",Data!#REF!)</f>
        <v>#REF!</v>
      </c>
      <c r="S237" s="33" t="e">
        <f>IF(ISBLANK(Data!#REF!),"",Data!#REF!)</f>
        <v>#REF!</v>
      </c>
      <c r="T237" s="33" t="e">
        <f>IF(ISBLANK(Data!#REF!),"",Data!#REF!)</f>
        <v>#REF!</v>
      </c>
      <c r="U237" s="21" t="e">
        <f>IF(ISBLANK(Data!#REF!),"",Data!#REF!)</f>
        <v>#REF!</v>
      </c>
    </row>
    <row r="238" spans="1:21" x14ac:dyDescent="0.25">
      <c r="A238" s="33" t="e">
        <f>IF(ISBLANK(Data!#REF!),"",YEAR(Data!#REF!))</f>
        <v>#REF!</v>
      </c>
      <c r="B238" s="44" t="e">
        <f>IF(ISBLANK(Data!#REF!),"",Data!#REF!)</f>
        <v>#REF!</v>
      </c>
      <c r="C238" s="45" t="e">
        <f>IF(ISBLANK(Data!#REF!),"",Data!#REF!)</f>
        <v>#REF!</v>
      </c>
      <c r="D238" s="21" t="e">
        <f>IF(ISBLANK(Data!#REF!),"",Data!#REF!)</f>
        <v>#REF!</v>
      </c>
      <c r="E238" s="21" t="e">
        <f>IF(ISBLANK(Data!#REF!),"",Data!#REF!)</f>
        <v>#REF!</v>
      </c>
      <c r="F238" s="33" t="e">
        <f>IF(ISBLANK(Data!#REF!),"",Data!#REF!)</f>
        <v>#REF!</v>
      </c>
      <c r="G238" s="21" t="e">
        <f>IF(ISBLANK(Data!#REF!),"",Data!#REF!)</f>
        <v>#REF!</v>
      </c>
      <c r="H238" s="33" t="e">
        <f>IF(ISBLANK(Data!#REF!),"",Data!#REF!)</f>
        <v>#REF!</v>
      </c>
      <c r="I238" s="33" t="e">
        <f>IF(ISBLANK(Data!#REF!),"",Data!#REF!)</f>
        <v>#REF!</v>
      </c>
      <c r="J238" s="33" t="e">
        <f>IF(ISBLANK(Data!#REF!),"",Data!#REF!)</f>
        <v>#REF!</v>
      </c>
      <c r="K238" s="21" t="e">
        <f>IF(ISBLANK(Data!#REF!),"",Data!#REF!)</f>
        <v>#REF!</v>
      </c>
      <c r="L238" s="21" t="e">
        <f>IF(ISBLANK(Data!#REF!),"",Data!#REF!)</f>
        <v>#REF!</v>
      </c>
      <c r="N238" s="46" t="e">
        <f>IF(ISBLANK(Data!#REF!),"",Data!#REF!)</f>
        <v>#REF!</v>
      </c>
      <c r="O238" s="46" t="e">
        <f>IF(ISBLANK(Data!#REF!),"",Data!#REF!)</f>
        <v>#REF!</v>
      </c>
      <c r="P238" s="46" t="e">
        <f>IF(ISBLANK(Data!#REF!),"",Data!#REF!)</f>
        <v>#REF!</v>
      </c>
      <c r="Q238" s="46" t="e">
        <f t="shared" si="3"/>
        <v>#REF!</v>
      </c>
      <c r="R238" s="47" t="e">
        <f>IF(ISBLANK(Data!#REF!),"",Data!#REF!)</f>
        <v>#REF!</v>
      </c>
      <c r="S238" s="33" t="e">
        <f>IF(ISBLANK(Data!#REF!),"",Data!#REF!)</f>
        <v>#REF!</v>
      </c>
      <c r="T238" s="33" t="e">
        <f>IF(ISBLANK(Data!#REF!),"",Data!#REF!)</f>
        <v>#REF!</v>
      </c>
      <c r="U238" s="21" t="e">
        <f>IF(ISBLANK(Data!#REF!),"",Data!#REF!)</f>
        <v>#REF!</v>
      </c>
    </row>
    <row r="239" spans="1:21" x14ac:dyDescent="0.25">
      <c r="A239" s="33" t="e">
        <f>IF(ISBLANK(Data!#REF!),"",YEAR(Data!#REF!))</f>
        <v>#REF!</v>
      </c>
      <c r="B239" s="44" t="e">
        <f>IF(ISBLANK(Data!#REF!),"",Data!#REF!)</f>
        <v>#REF!</v>
      </c>
      <c r="C239" s="45" t="e">
        <f>IF(ISBLANK(Data!#REF!),"",Data!#REF!)</f>
        <v>#REF!</v>
      </c>
      <c r="D239" s="21" t="e">
        <f>IF(ISBLANK(Data!#REF!),"",Data!#REF!)</f>
        <v>#REF!</v>
      </c>
      <c r="E239" s="21" t="e">
        <f>IF(ISBLANK(Data!#REF!),"",Data!#REF!)</f>
        <v>#REF!</v>
      </c>
      <c r="F239" s="33" t="e">
        <f>IF(ISBLANK(Data!#REF!),"",Data!#REF!)</f>
        <v>#REF!</v>
      </c>
      <c r="G239" s="21" t="e">
        <f>IF(ISBLANK(Data!#REF!),"",Data!#REF!)</f>
        <v>#REF!</v>
      </c>
      <c r="H239" s="33" t="e">
        <f>IF(ISBLANK(Data!#REF!),"",Data!#REF!)</f>
        <v>#REF!</v>
      </c>
      <c r="I239" s="33" t="e">
        <f>IF(ISBLANK(Data!#REF!),"",Data!#REF!)</f>
        <v>#REF!</v>
      </c>
      <c r="J239" s="33" t="e">
        <f>IF(ISBLANK(Data!#REF!),"",Data!#REF!)</f>
        <v>#REF!</v>
      </c>
      <c r="K239" s="21" t="e">
        <f>IF(ISBLANK(Data!#REF!),"",Data!#REF!)</f>
        <v>#REF!</v>
      </c>
      <c r="L239" s="21" t="e">
        <f>IF(ISBLANK(Data!#REF!),"",Data!#REF!)</f>
        <v>#REF!</v>
      </c>
      <c r="N239" s="46" t="e">
        <f>IF(ISBLANK(Data!#REF!),"",Data!#REF!)</f>
        <v>#REF!</v>
      </c>
      <c r="O239" s="46" t="e">
        <f>IF(ISBLANK(Data!#REF!),"",Data!#REF!)</f>
        <v>#REF!</v>
      </c>
      <c r="P239" s="46" t="e">
        <f>IF(ISBLANK(Data!#REF!),"",Data!#REF!)</f>
        <v>#REF!</v>
      </c>
      <c r="Q239" s="46" t="e">
        <f t="shared" si="3"/>
        <v>#REF!</v>
      </c>
      <c r="R239" s="47" t="e">
        <f>IF(ISBLANK(Data!#REF!),"",Data!#REF!)</f>
        <v>#REF!</v>
      </c>
      <c r="S239" s="33" t="e">
        <f>IF(ISBLANK(Data!#REF!),"",Data!#REF!)</f>
        <v>#REF!</v>
      </c>
      <c r="T239" s="33" t="e">
        <f>IF(ISBLANK(Data!#REF!),"",Data!#REF!)</f>
        <v>#REF!</v>
      </c>
      <c r="U239" s="21" t="e">
        <f>IF(ISBLANK(Data!#REF!),"",Data!#REF!)</f>
        <v>#REF!</v>
      </c>
    </row>
    <row r="240" spans="1:21" x14ac:dyDescent="0.25">
      <c r="A240" s="33" t="e">
        <f>IF(ISBLANK(Data!#REF!),"",YEAR(Data!#REF!))</f>
        <v>#REF!</v>
      </c>
      <c r="B240" s="44" t="e">
        <f>IF(ISBLANK(Data!#REF!),"",Data!#REF!)</f>
        <v>#REF!</v>
      </c>
      <c r="C240" s="45" t="e">
        <f>IF(ISBLANK(Data!#REF!),"",Data!#REF!)</f>
        <v>#REF!</v>
      </c>
      <c r="D240" s="21" t="e">
        <f>IF(ISBLANK(Data!#REF!),"",Data!#REF!)</f>
        <v>#REF!</v>
      </c>
      <c r="E240" s="21" t="e">
        <f>IF(ISBLANK(Data!#REF!),"",Data!#REF!)</f>
        <v>#REF!</v>
      </c>
      <c r="F240" s="33" t="e">
        <f>IF(ISBLANK(Data!#REF!),"",Data!#REF!)</f>
        <v>#REF!</v>
      </c>
      <c r="G240" s="21" t="e">
        <f>IF(ISBLANK(Data!#REF!),"",Data!#REF!)</f>
        <v>#REF!</v>
      </c>
      <c r="H240" s="33" t="e">
        <f>IF(ISBLANK(Data!#REF!),"",Data!#REF!)</f>
        <v>#REF!</v>
      </c>
      <c r="I240" s="33" t="e">
        <f>IF(ISBLANK(Data!#REF!),"",Data!#REF!)</f>
        <v>#REF!</v>
      </c>
      <c r="J240" s="33" t="e">
        <f>IF(ISBLANK(Data!#REF!),"",Data!#REF!)</f>
        <v>#REF!</v>
      </c>
      <c r="K240" s="21" t="e">
        <f>IF(ISBLANK(Data!#REF!),"",Data!#REF!)</f>
        <v>#REF!</v>
      </c>
      <c r="L240" s="21" t="e">
        <f>IF(ISBLANK(Data!#REF!),"",Data!#REF!)</f>
        <v>#REF!</v>
      </c>
      <c r="N240" s="46" t="e">
        <f>IF(ISBLANK(Data!#REF!),"",Data!#REF!)</f>
        <v>#REF!</v>
      </c>
      <c r="O240" s="46" t="e">
        <f>IF(ISBLANK(Data!#REF!),"",Data!#REF!)</f>
        <v>#REF!</v>
      </c>
      <c r="P240" s="46" t="e">
        <f>IF(ISBLANK(Data!#REF!),"",Data!#REF!)</f>
        <v>#REF!</v>
      </c>
      <c r="Q240" s="46" t="e">
        <f t="shared" si="3"/>
        <v>#REF!</v>
      </c>
      <c r="R240" s="47" t="e">
        <f>IF(ISBLANK(Data!#REF!),"",Data!#REF!)</f>
        <v>#REF!</v>
      </c>
      <c r="S240" s="33" t="e">
        <f>IF(ISBLANK(Data!#REF!),"",Data!#REF!)</f>
        <v>#REF!</v>
      </c>
      <c r="T240" s="33" t="e">
        <f>IF(ISBLANK(Data!#REF!),"",Data!#REF!)</f>
        <v>#REF!</v>
      </c>
      <c r="U240" s="21" t="e">
        <f>IF(ISBLANK(Data!#REF!),"",Data!#REF!)</f>
        <v>#REF!</v>
      </c>
    </row>
    <row r="241" spans="1:21" x14ac:dyDescent="0.25">
      <c r="A241" s="33" t="e">
        <f>IF(ISBLANK(Data!#REF!),"",YEAR(Data!#REF!))</f>
        <v>#REF!</v>
      </c>
      <c r="B241" s="44" t="e">
        <f>IF(ISBLANK(Data!#REF!),"",Data!#REF!)</f>
        <v>#REF!</v>
      </c>
      <c r="C241" s="45" t="e">
        <f>IF(ISBLANK(Data!#REF!),"",Data!#REF!)</f>
        <v>#REF!</v>
      </c>
      <c r="D241" s="21" t="e">
        <f>IF(ISBLANK(Data!#REF!),"",Data!#REF!)</f>
        <v>#REF!</v>
      </c>
      <c r="E241" s="21" t="e">
        <f>IF(ISBLANK(Data!#REF!),"",Data!#REF!)</f>
        <v>#REF!</v>
      </c>
      <c r="F241" s="33" t="e">
        <f>IF(ISBLANK(Data!#REF!),"",Data!#REF!)</f>
        <v>#REF!</v>
      </c>
      <c r="G241" s="21" t="e">
        <f>IF(ISBLANK(Data!#REF!),"",Data!#REF!)</f>
        <v>#REF!</v>
      </c>
      <c r="H241" s="33" t="e">
        <f>IF(ISBLANK(Data!#REF!),"",Data!#REF!)</f>
        <v>#REF!</v>
      </c>
      <c r="I241" s="33" t="e">
        <f>IF(ISBLANK(Data!#REF!),"",Data!#REF!)</f>
        <v>#REF!</v>
      </c>
      <c r="J241" s="33" t="e">
        <f>IF(ISBLANK(Data!#REF!),"",Data!#REF!)</f>
        <v>#REF!</v>
      </c>
      <c r="K241" s="21" t="e">
        <f>IF(ISBLANK(Data!#REF!),"",Data!#REF!)</f>
        <v>#REF!</v>
      </c>
      <c r="L241" s="21" t="e">
        <f>IF(ISBLANK(Data!#REF!),"",Data!#REF!)</f>
        <v>#REF!</v>
      </c>
      <c r="N241" s="46" t="e">
        <f>IF(ISBLANK(Data!#REF!),"",Data!#REF!)</f>
        <v>#REF!</v>
      </c>
      <c r="O241" s="46" t="e">
        <f>IF(ISBLANK(Data!#REF!),"",Data!#REF!)</f>
        <v>#REF!</v>
      </c>
      <c r="P241" s="46" t="e">
        <f>IF(ISBLANK(Data!#REF!),"",Data!#REF!)</f>
        <v>#REF!</v>
      </c>
      <c r="Q241" s="46" t="e">
        <f t="shared" si="3"/>
        <v>#REF!</v>
      </c>
      <c r="R241" s="47" t="e">
        <f>IF(ISBLANK(Data!#REF!),"",Data!#REF!)</f>
        <v>#REF!</v>
      </c>
      <c r="S241" s="33" t="e">
        <f>IF(ISBLANK(Data!#REF!),"",Data!#REF!)</f>
        <v>#REF!</v>
      </c>
      <c r="T241" s="33" t="e">
        <f>IF(ISBLANK(Data!#REF!),"",Data!#REF!)</f>
        <v>#REF!</v>
      </c>
      <c r="U241" s="21" t="e">
        <f>IF(ISBLANK(Data!#REF!),"",Data!#REF!)</f>
        <v>#REF!</v>
      </c>
    </row>
    <row r="242" spans="1:21" x14ac:dyDescent="0.25">
      <c r="A242" s="33" t="e">
        <f>IF(ISBLANK(Data!#REF!),"",YEAR(Data!#REF!))</f>
        <v>#REF!</v>
      </c>
      <c r="B242" s="44" t="e">
        <f>IF(ISBLANK(Data!#REF!),"",Data!#REF!)</f>
        <v>#REF!</v>
      </c>
      <c r="C242" s="45" t="e">
        <f>IF(ISBLANK(Data!#REF!),"",Data!#REF!)</f>
        <v>#REF!</v>
      </c>
      <c r="D242" s="21" t="e">
        <f>IF(ISBLANK(Data!#REF!),"",Data!#REF!)</f>
        <v>#REF!</v>
      </c>
      <c r="E242" s="21" t="e">
        <f>IF(ISBLANK(Data!#REF!),"",Data!#REF!)</f>
        <v>#REF!</v>
      </c>
      <c r="F242" s="33" t="e">
        <f>IF(ISBLANK(Data!#REF!),"",Data!#REF!)</f>
        <v>#REF!</v>
      </c>
      <c r="G242" s="21" t="e">
        <f>IF(ISBLANK(Data!#REF!),"",Data!#REF!)</f>
        <v>#REF!</v>
      </c>
      <c r="H242" s="33" t="e">
        <f>IF(ISBLANK(Data!#REF!),"",Data!#REF!)</f>
        <v>#REF!</v>
      </c>
      <c r="I242" s="33" t="e">
        <f>IF(ISBLANK(Data!#REF!),"",Data!#REF!)</f>
        <v>#REF!</v>
      </c>
      <c r="J242" s="33" t="e">
        <f>IF(ISBLANK(Data!#REF!),"",Data!#REF!)</f>
        <v>#REF!</v>
      </c>
      <c r="K242" s="21" t="e">
        <f>IF(ISBLANK(Data!#REF!),"",Data!#REF!)</f>
        <v>#REF!</v>
      </c>
      <c r="L242" s="21" t="e">
        <f>IF(ISBLANK(Data!#REF!),"",Data!#REF!)</f>
        <v>#REF!</v>
      </c>
      <c r="N242" s="46" t="e">
        <f>IF(ISBLANK(Data!#REF!),"",Data!#REF!)</f>
        <v>#REF!</v>
      </c>
      <c r="O242" s="46" t="e">
        <f>IF(ISBLANK(Data!#REF!),"",Data!#REF!)</f>
        <v>#REF!</v>
      </c>
      <c r="P242" s="46" t="e">
        <f>IF(ISBLANK(Data!#REF!),"",Data!#REF!)</f>
        <v>#REF!</v>
      </c>
      <c r="Q242" s="46" t="e">
        <f t="shared" si="3"/>
        <v>#REF!</v>
      </c>
      <c r="R242" s="47" t="e">
        <f>IF(ISBLANK(Data!#REF!),"",Data!#REF!)</f>
        <v>#REF!</v>
      </c>
      <c r="S242" s="33" t="e">
        <f>IF(ISBLANK(Data!#REF!),"",Data!#REF!)</f>
        <v>#REF!</v>
      </c>
      <c r="T242" s="33" t="e">
        <f>IF(ISBLANK(Data!#REF!),"",Data!#REF!)</f>
        <v>#REF!</v>
      </c>
      <c r="U242" s="21" t="e">
        <f>IF(ISBLANK(Data!#REF!),"",Data!#REF!)</f>
        <v>#REF!</v>
      </c>
    </row>
    <row r="243" spans="1:21" x14ac:dyDescent="0.25">
      <c r="A243" s="33" t="e">
        <f>IF(ISBLANK(Data!#REF!),"",YEAR(Data!#REF!))</f>
        <v>#REF!</v>
      </c>
      <c r="B243" s="44" t="e">
        <f>IF(ISBLANK(Data!#REF!),"",Data!#REF!)</f>
        <v>#REF!</v>
      </c>
      <c r="C243" s="45" t="e">
        <f>IF(ISBLANK(Data!#REF!),"",Data!#REF!)</f>
        <v>#REF!</v>
      </c>
      <c r="D243" s="21" t="e">
        <f>IF(ISBLANK(Data!#REF!),"",Data!#REF!)</f>
        <v>#REF!</v>
      </c>
      <c r="E243" s="21" t="e">
        <f>IF(ISBLANK(Data!#REF!),"",Data!#REF!)</f>
        <v>#REF!</v>
      </c>
      <c r="F243" s="33" t="e">
        <f>IF(ISBLANK(Data!#REF!),"",Data!#REF!)</f>
        <v>#REF!</v>
      </c>
      <c r="G243" s="21" t="e">
        <f>IF(ISBLANK(Data!#REF!),"",Data!#REF!)</f>
        <v>#REF!</v>
      </c>
      <c r="H243" s="33" t="e">
        <f>IF(ISBLANK(Data!#REF!),"",Data!#REF!)</f>
        <v>#REF!</v>
      </c>
      <c r="I243" s="33" t="e">
        <f>IF(ISBLANK(Data!#REF!),"",Data!#REF!)</f>
        <v>#REF!</v>
      </c>
      <c r="J243" s="33" t="e">
        <f>IF(ISBLANK(Data!#REF!),"",Data!#REF!)</f>
        <v>#REF!</v>
      </c>
      <c r="K243" s="21" t="e">
        <f>IF(ISBLANK(Data!#REF!),"",Data!#REF!)</f>
        <v>#REF!</v>
      </c>
      <c r="L243" s="21" t="e">
        <f>IF(ISBLANK(Data!#REF!),"",Data!#REF!)</f>
        <v>#REF!</v>
      </c>
      <c r="N243" s="46" t="e">
        <f>IF(ISBLANK(Data!#REF!),"",Data!#REF!)</f>
        <v>#REF!</v>
      </c>
      <c r="O243" s="46" t="e">
        <f>IF(ISBLANK(Data!#REF!),"",Data!#REF!)</f>
        <v>#REF!</v>
      </c>
      <c r="P243" s="46" t="e">
        <f>IF(ISBLANK(Data!#REF!),"",Data!#REF!)</f>
        <v>#REF!</v>
      </c>
      <c r="Q243" s="46" t="e">
        <f t="shared" si="3"/>
        <v>#REF!</v>
      </c>
      <c r="R243" s="47" t="e">
        <f>IF(ISBLANK(Data!#REF!),"",Data!#REF!)</f>
        <v>#REF!</v>
      </c>
      <c r="S243" s="33" t="e">
        <f>IF(ISBLANK(Data!#REF!),"",Data!#REF!)</f>
        <v>#REF!</v>
      </c>
      <c r="T243" s="33" t="e">
        <f>IF(ISBLANK(Data!#REF!),"",Data!#REF!)</f>
        <v>#REF!</v>
      </c>
      <c r="U243" s="21" t="e">
        <f>IF(ISBLANK(Data!#REF!),"",Data!#REF!)</f>
        <v>#REF!</v>
      </c>
    </row>
    <row r="244" spans="1:21" x14ac:dyDescent="0.25">
      <c r="A244" s="33" t="e">
        <f>IF(ISBLANK(Data!#REF!),"",YEAR(Data!#REF!))</f>
        <v>#REF!</v>
      </c>
      <c r="B244" s="44" t="e">
        <f>IF(ISBLANK(Data!#REF!),"",Data!#REF!)</f>
        <v>#REF!</v>
      </c>
      <c r="C244" s="45" t="e">
        <f>IF(ISBLANK(Data!#REF!),"",Data!#REF!)</f>
        <v>#REF!</v>
      </c>
      <c r="D244" s="21" t="e">
        <f>IF(ISBLANK(Data!#REF!),"",Data!#REF!)</f>
        <v>#REF!</v>
      </c>
      <c r="E244" s="21" t="e">
        <f>IF(ISBLANK(Data!#REF!),"",Data!#REF!)</f>
        <v>#REF!</v>
      </c>
      <c r="F244" s="33" t="e">
        <f>IF(ISBLANK(Data!#REF!),"",Data!#REF!)</f>
        <v>#REF!</v>
      </c>
      <c r="G244" s="21" t="e">
        <f>IF(ISBLANK(Data!#REF!),"",Data!#REF!)</f>
        <v>#REF!</v>
      </c>
      <c r="H244" s="33" t="e">
        <f>IF(ISBLANK(Data!#REF!),"",Data!#REF!)</f>
        <v>#REF!</v>
      </c>
      <c r="I244" s="33" t="e">
        <f>IF(ISBLANK(Data!#REF!),"",Data!#REF!)</f>
        <v>#REF!</v>
      </c>
      <c r="J244" s="33" t="e">
        <f>IF(ISBLANK(Data!#REF!),"",Data!#REF!)</f>
        <v>#REF!</v>
      </c>
      <c r="K244" s="21" t="e">
        <f>IF(ISBLANK(Data!#REF!),"",Data!#REF!)</f>
        <v>#REF!</v>
      </c>
      <c r="L244" s="21" t="e">
        <f>IF(ISBLANK(Data!#REF!),"",Data!#REF!)</f>
        <v>#REF!</v>
      </c>
      <c r="N244" s="46" t="e">
        <f>IF(ISBLANK(Data!#REF!),"",Data!#REF!)</f>
        <v>#REF!</v>
      </c>
      <c r="O244" s="46" t="e">
        <f>IF(ISBLANK(Data!#REF!),"",Data!#REF!)</f>
        <v>#REF!</v>
      </c>
      <c r="P244" s="46" t="e">
        <f>IF(ISBLANK(Data!#REF!),"",Data!#REF!)</f>
        <v>#REF!</v>
      </c>
      <c r="Q244" s="46" t="e">
        <f t="shared" si="3"/>
        <v>#REF!</v>
      </c>
      <c r="R244" s="47" t="e">
        <f>IF(ISBLANK(Data!#REF!),"",Data!#REF!)</f>
        <v>#REF!</v>
      </c>
      <c r="S244" s="33" t="e">
        <f>IF(ISBLANK(Data!#REF!),"",Data!#REF!)</f>
        <v>#REF!</v>
      </c>
      <c r="T244" s="33" t="e">
        <f>IF(ISBLANK(Data!#REF!),"",Data!#REF!)</f>
        <v>#REF!</v>
      </c>
      <c r="U244" s="21" t="e">
        <f>IF(ISBLANK(Data!#REF!),"",Data!#REF!)</f>
        <v>#REF!</v>
      </c>
    </row>
    <row r="245" spans="1:21" x14ac:dyDescent="0.25">
      <c r="A245" s="33" t="e">
        <f>IF(ISBLANK(Data!#REF!),"",YEAR(Data!#REF!))</f>
        <v>#REF!</v>
      </c>
      <c r="B245" s="44" t="e">
        <f>IF(ISBLANK(Data!#REF!),"",Data!#REF!)</f>
        <v>#REF!</v>
      </c>
      <c r="C245" s="45" t="e">
        <f>IF(ISBLANK(Data!#REF!),"",Data!#REF!)</f>
        <v>#REF!</v>
      </c>
      <c r="D245" s="21" t="e">
        <f>IF(ISBLANK(Data!#REF!),"",Data!#REF!)</f>
        <v>#REF!</v>
      </c>
      <c r="E245" s="21" t="e">
        <f>IF(ISBLANK(Data!#REF!),"",Data!#REF!)</f>
        <v>#REF!</v>
      </c>
      <c r="F245" s="33" t="e">
        <f>IF(ISBLANK(Data!#REF!),"",Data!#REF!)</f>
        <v>#REF!</v>
      </c>
      <c r="G245" s="21" t="e">
        <f>IF(ISBLANK(Data!#REF!),"",Data!#REF!)</f>
        <v>#REF!</v>
      </c>
      <c r="H245" s="33" t="e">
        <f>IF(ISBLANK(Data!#REF!),"",Data!#REF!)</f>
        <v>#REF!</v>
      </c>
      <c r="I245" s="33" t="e">
        <f>IF(ISBLANK(Data!#REF!),"",Data!#REF!)</f>
        <v>#REF!</v>
      </c>
      <c r="J245" s="33" t="e">
        <f>IF(ISBLANK(Data!#REF!),"",Data!#REF!)</f>
        <v>#REF!</v>
      </c>
      <c r="K245" s="21" t="e">
        <f>IF(ISBLANK(Data!#REF!),"",Data!#REF!)</f>
        <v>#REF!</v>
      </c>
      <c r="L245" s="21" t="e">
        <f>IF(ISBLANK(Data!#REF!),"",Data!#REF!)</f>
        <v>#REF!</v>
      </c>
      <c r="N245" s="46" t="e">
        <f>IF(ISBLANK(Data!#REF!),"",Data!#REF!)</f>
        <v>#REF!</v>
      </c>
      <c r="O245" s="46" t="e">
        <f>IF(ISBLANK(Data!#REF!),"",Data!#REF!)</f>
        <v>#REF!</v>
      </c>
      <c r="P245" s="46" t="e">
        <f>IF(ISBLANK(Data!#REF!),"",Data!#REF!)</f>
        <v>#REF!</v>
      </c>
      <c r="Q245" s="46" t="e">
        <f t="shared" si="3"/>
        <v>#REF!</v>
      </c>
      <c r="R245" s="47" t="e">
        <f>IF(ISBLANK(Data!#REF!),"",Data!#REF!)</f>
        <v>#REF!</v>
      </c>
      <c r="S245" s="33" t="e">
        <f>IF(ISBLANK(Data!#REF!),"",Data!#REF!)</f>
        <v>#REF!</v>
      </c>
      <c r="T245" s="33" t="e">
        <f>IF(ISBLANK(Data!#REF!),"",Data!#REF!)</f>
        <v>#REF!</v>
      </c>
      <c r="U245" s="21" t="e">
        <f>IF(ISBLANK(Data!#REF!),"",Data!#REF!)</f>
        <v>#REF!</v>
      </c>
    </row>
    <row r="246" spans="1:21" x14ac:dyDescent="0.25">
      <c r="A246" s="33" t="e">
        <f>IF(ISBLANK(Data!#REF!),"",YEAR(Data!#REF!))</f>
        <v>#REF!</v>
      </c>
      <c r="B246" s="44" t="e">
        <f>IF(ISBLANK(Data!#REF!),"",Data!#REF!)</f>
        <v>#REF!</v>
      </c>
      <c r="C246" s="45" t="e">
        <f>IF(ISBLANK(Data!#REF!),"",Data!#REF!)</f>
        <v>#REF!</v>
      </c>
      <c r="D246" s="21" t="e">
        <f>IF(ISBLANK(Data!#REF!),"",Data!#REF!)</f>
        <v>#REF!</v>
      </c>
      <c r="E246" s="21" t="e">
        <f>IF(ISBLANK(Data!#REF!),"",Data!#REF!)</f>
        <v>#REF!</v>
      </c>
      <c r="F246" s="33" t="e">
        <f>IF(ISBLANK(Data!#REF!),"",Data!#REF!)</f>
        <v>#REF!</v>
      </c>
      <c r="G246" s="21" t="e">
        <f>IF(ISBLANK(Data!#REF!),"",Data!#REF!)</f>
        <v>#REF!</v>
      </c>
      <c r="H246" s="33" t="e">
        <f>IF(ISBLANK(Data!#REF!),"",Data!#REF!)</f>
        <v>#REF!</v>
      </c>
      <c r="I246" s="33" t="e">
        <f>IF(ISBLANK(Data!#REF!),"",Data!#REF!)</f>
        <v>#REF!</v>
      </c>
      <c r="J246" s="33" t="e">
        <f>IF(ISBLANK(Data!#REF!),"",Data!#REF!)</f>
        <v>#REF!</v>
      </c>
      <c r="K246" s="21" t="e">
        <f>IF(ISBLANK(Data!#REF!),"",Data!#REF!)</f>
        <v>#REF!</v>
      </c>
      <c r="L246" s="21" t="e">
        <f>IF(ISBLANK(Data!#REF!),"",Data!#REF!)</f>
        <v>#REF!</v>
      </c>
      <c r="N246" s="46" t="e">
        <f>IF(ISBLANK(Data!#REF!),"",Data!#REF!)</f>
        <v>#REF!</v>
      </c>
      <c r="O246" s="46" t="e">
        <f>IF(ISBLANK(Data!#REF!),"",Data!#REF!)</f>
        <v>#REF!</v>
      </c>
      <c r="P246" s="46" t="e">
        <f>IF(ISBLANK(Data!#REF!),"",Data!#REF!)</f>
        <v>#REF!</v>
      </c>
      <c r="Q246" s="46" t="e">
        <f t="shared" si="3"/>
        <v>#REF!</v>
      </c>
      <c r="R246" s="47" t="e">
        <f>IF(ISBLANK(Data!#REF!),"",Data!#REF!)</f>
        <v>#REF!</v>
      </c>
      <c r="S246" s="33" t="e">
        <f>IF(ISBLANK(Data!#REF!),"",Data!#REF!)</f>
        <v>#REF!</v>
      </c>
      <c r="T246" s="33" t="e">
        <f>IF(ISBLANK(Data!#REF!),"",Data!#REF!)</f>
        <v>#REF!</v>
      </c>
      <c r="U246" s="21" t="e">
        <f>IF(ISBLANK(Data!#REF!),"",Data!#REF!)</f>
        <v>#REF!</v>
      </c>
    </row>
    <row r="247" spans="1:21" x14ac:dyDescent="0.25">
      <c r="A247" s="33" t="e">
        <f>IF(ISBLANK(Data!#REF!),"",YEAR(Data!#REF!))</f>
        <v>#REF!</v>
      </c>
      <c r="B247" s="44" t="e">
        <f>IF(ISBLANK(Data!#REF!),"",Data!#REF!)</f>
        <v>#REF!</v>
      </c>
      <c r="C247" s="45" t="e">
        <f>IF(ISBLANK(Data!#REF!),"",Data!#REF!)</f>
        <v>#REF!</v>
      </c>
      <c r="D247" s="21" t="e">
        <f>IF(ISBLANK(Data!#REF!),"",Data!#REF!)</f>
        <v>#REF!</v>
      </c>
      <c r="E247" s="21" t="e">
        <f>IF(ISBLANK(Data!#REF!),"",Data!#REF!)</f>
        <v>#REF!</v>
      </c>
      <c r="F247" s="33" t="e">
        <f>IF(ISBLANK(Data!#REF!),"",Data!#REF!)</f>
        <v>#REF!</v>
      </c>
      <c r="G247" s="21" t="e">
        <f>IF(ISBLANK(Data!#REF!),"",Data!#REF!)</f>
        <v>#REF!</v>
      </c>
      <c r="H247" s="33" t="e">
        <f>IF(ISBLANK(Data!#REF!),"",Data!#REF!)</f>
        <v>#REF!</v>
      </c>
      <c r="I247" s="33" t="e">
        <f>IF(ISBLANK(Data!#REF!),"",Data!#REF!)</f>
        <v>#REF!</v>
      </c>
      <c r="J247" s="33" t="e">
        <f>IF(ISBLANK(Data!#REF!),"",Data!#REF!)</f>
        <v>#REF!</v>
      </c>
      <c r="K247" s="21" t="e">
        <f>IF(ISBLANK(Data!#REF!),"",Data!#REF!)</f>
        <v>#REF!</v>
      </c>
      <c r="L247" s="21" t="e">
        <f>IF(ISBLANK(Data!#REF!),"",Data!#REF!)</f>
        <v>#REF!</v>
      </c>
      <c r="N247" s="46" t="e">
        <f>IF(ISBLANK(Data!#REF!),"",Data!#REF!)</f>
        <v>#REF!</v>
      </c>
      <c r="O247" s="46" t="e">
        <f>IF(ISBLANK(Data!#REF!),"",Data!#REF!)</f>
        <v>#REF!</v>
      </c>
      <c r="P247" s="46" t="e">
        <f>IF(ISBLANK(Data!#REF!),"",Data!#REF!)</f>
        <v>#REF!</v>
      </c>
      <c r="Q247" s="46" t="e">
        <f t="shared" si="3"/>
        <v>#REF!</v>
      </c>
      <c r="R247" s="47" t="e">
        <f>IF(ISBLANK(Data!#REF!),"",Data!#REF!)</f>
        <v>#REF!</v>
      </c>
      <c r="S247" s="33" t="e">
        <f>IF(ISBLANK(Data!#REF!),"",Data!#REF!)</f>
        <v>#REF!</v>
      </c>
      <c r="T247" s="33" t="e">
        <f>IF(ISBLANK(Data!#REF!),"",Data!#REF!)</f>
        <v>#REF!</v>
      </c>
      <c r="U247" s="21" t="e">
        <f>IF(ISBLANK(Data!#REF!),"",Data!#REF!)</f>
        <v>#REF!</v>
      </c>
    </row>
    <row r="248" spans="1:21" x14ac:dyDescent="0.25">
      <c r="A248" s="33" t="e">
        <f>IF(ISBLANK(Data!#REF!),"",YEAR(Data!#REF!))</f>
        <v>#REF!</v>
      </c>
      <c r="B248" s="44" t="e">
        <f>IF(ISBLANK(Data!#REF!),"",Data!#REF!)</f>
        <v>#REF!</v>
      </c>
      <c r="C248" s="45" t="e">
        <f>IF(ISBLANK(Data!#REF!),"",Data!#REF!)</f>
        <v>#REF!</v>
      </c>
      <c r="D248" s="21" t="e">
        <f>IF(ISBLANK(Data!#REF!),"",Data!#REF!)</f>
        <v>#REF!</v>
      </c>
      <c r="E248" s="21" t="e">
        <f>IF(ISBLANK(Data!#REF!),"",Data!#REF!)</f>
        <v>#REF!</v>
      </c>
      <c r="F248" s="33" t="e">
        <f>IF(ISBLANK(Data!#REF!),"",Data!#REF!)</f>
        <v>#REF!</v>
      </c>
      <c r="G248" s="21" t="e">
        <f>IF(ISBLANK(Data!#REF!),"",Data!#REF!)</f>
        <v>#REF!</v>
      </c>
      <c r="H248" s="33" t="e">
        <f>IF(ISBLANK(Data!#REF!),"",Data!#REF!)</f>
        <v>#REF!</v>
      </c>
      <c r="I248" s="33" t="e">
        <f>IF(ISBLANK(Data!#REF!),"",Data!#REF!)</f>
        <v>#REF!</v>
      </c>
      <c r="J248" s="33" t="e">
        <f>IF(ISBLANK(Data!#REF!),"",Data!#REF!)</f>
        <v>#REF!</v>
      </c>
      <c r="K248" s="21" t="e">
        <f>IF(ISBLANK(Data!#REF!),"",Data!#REF!)</f>
        <v>#REF!</v>
      </c>
      <c r="L248" s="21" t="e">
        <f>IF(ISBLANK(Data!#REF!),"",Data!#REF!)</f>
        <v>#REF!</v>
      </c>
      <c r="N248" s="46" t="e">
        <f>IF(ISBLANK(Data!#REF!),"",Data!#REF!)</f>
        <v>#REF!</v>
      </c>
      <c r="O248" s="46" t="e">
        <f>IF(ISBLANK(Data!#REF!),"",Data!#REF!)</f>
        <v>#REF!</v>
      </c>
      <c r="P248" s="46" t="e">
        <f>IF(ISBLANK(Data!#REF!),"",Data!#REF!)</f>
        <v>#REF!</v>
      </c>
      <c r="Q248" s="46" t="e">
        <f t="shared" si="3"/>
        <v>#REF!</v>
      </c>
      <c r="R248" s="47" t="e">
        <f>IF(ISBLANK(Data!#REF!),"",Data!#REF!)</f>
        <v>#REF!</v>
      </c>
      <c r="S248" s="33" t="e">
        <f>IF(ISBLANK(Data!#REF!),"",Data!#REF!)</f>
        <v>#REF!</v>
      </c>
      <c r="T248" s="33" t="e">
        <f>IF(ISBLANK(Data!#REF!),"",Data!#REF!)</f>
        <v>#REF!</v>
      </c>
      <c r="U248" s="21" t="e">
        <f>IF(ISBLANK(Data!#REF!),"",Data!#REF!)</f>
        <v>#REF!</v>
      </c>
    </row>
    <row r="249" spans="1:21" x14ac:dyDescent="0.25">
      <c r="A249" s="33" t="e">
        <f>IF(ISBLANK(Data!#REF!),"",YEAR(Data!#REF!))</f>
        <v>#REF!</v>
      </c>
      <c r="B249" s="44" t="e">
        <f>IF(ISBLANK(Data!#REF!),"",Data!#REF!)</f>
        <v>#REF!</v>
      </c>
      <c r="C249" s="45" t="e">
        <f>IF(ISBLANK(Data!#REF!),"",Data!#REF!)</f>
        <v>#REF!</v>
      </c>
      <c r="D249" s="21" t="e">
        <f>IF(ISBLANK(Data!#REF!),"",Data!#REF!)</f>
        <v>#REF!</v>
      </c>
      <c r="E249" s="21" t="e">
        <f>IF(ISBLANK(Data!#REF!),"",Data!#REF!)</f>
        <v>#REF!</v>
      </c>
      <c r="F249" s="33" t="e">
        <f>IF(ISBLANK(Data!#REF!),"",Data!#REF!)</f>
        <v>#REF!</v>
      </c>
      <c r="G249" s="21" t="e">
        <f>IF(ISBLANK(Data!#REF!),"",Data!#REF!)</f>
        <v>#REF!</v>
      </c>
      <c r="H249" s="33" t="e">
        <f>IF(ISBLANK(Data!#REF!),"",Data!#REF!)</f>
        <v>#REF!</v>
      </c>
      <c r="I249" s="33" t="e">
        <f>IF(ISBLANK(Data!#REF!),"",Data!#REF!)</f>
        <v>#REF!</v>
      </c>
      <c r="J249" s="33" t="e">
        <f>IF(ISBLANK(Data!#REF!),"",Data!#REF!)</f>
        <v>#REF!</v>
      </c>
      <c r="K249" s="21" t="e">
        <f>IF(ISBLANK(Data!#REF!),"",Data!#REF!)</f>
        <v>#REF!</v>
      </c>
      <c r="L249" s="21" t="e">
        <f>IF(ISBLANK(Data!#REF!),"",Data!#REF!)</f>
        <v>#REF!</v>
      </c>
      <c r="N249" s="46" t="e">
        <f>IF(ISBLANK(Data!#REF!),"",Data!#REF!)</f>
        <v>#REF!</v>
      </c>
      <c r="O249" s="46" t="e">
        <f>IF(ISBLANK(Data!#REF!),"",Data!#REF!)</f>
        <v>#REF!</v>
      </c>
      <c r="P249" s="46" t="e">
        <f>IF(ISBLANK(Data!#REF!),"",Data!#REF!)</f>
        <v>#REF!</v>
      </c>
      <c r="Q249" s="46" t="e">
        <f t="shared" si="3"/>
        <v>#REF!</v>
      </c>
      <c r="R249" s="47" t="e">
        <f>IF(ISBLANK(Data!#REF!),"",Data!#REF!)</f>
        <v>#REF!</v>
      </c>
      <c r="S249" s="33" t="e">
        <f>IF(ISBLANK(Data!#REF!),"",Data!#REF!)</f>
        <v>#REF!</v>
      </c>
      <c r="T249" s="33" t="e">
        <f>IF(ISBLANK(Data!#REF!),"",Data!#REF!)</f>
        <v>#REF!</v>
      </c>
      <c r="U249" s="21" t="e">
        <f>IF(ISBLANK(Data!#REF!),"",Data!#REF!)</f>
        <v>#REF!</v>
      </c>
    </row>
    <row r="250" spans="1:21" x14ac:dyDescent="0.25">
      <c r="A250" s="33" t="e">
        <f>IF(ISBLANK(Data!#REF!),"",YEAR(Data!#REF!))</f>
        <v>#REF!</v>
      </c>
      <c r="B250" s="44" t="e">
        <f>IF(ISBLANK(Data!#REF!),"",Data!#REF!)</f>
        <v>#REF!</v>
      </c>
      <c r="C250" s="45" t="e">
        <f>IF(ISBLANK(Data!#REF!),"",Data!#REF!)</f>
        <v>#REF!</v>
      </c>
      <c r="D250" s="21" t="e">
        <f>IF(ISBLANK(Data!#REF!),"",Data!#REF!)</f>
        <v>#REF!</v>
      </c>
      <c r="E250" s="21" t="e">
        <f>IF(ISBLANK(Data!#REF!),"",Data!#REF!)</f>
        <v>#REF!</v>
      </c>
      <c r="F250" s="33" t="e">
        <f>IF(ISBLANK(Data!#REF!),"",Data!#REF!)</f>
        <v>#REF!</v>
      </c>
      <c r="G250" s="21" t="e">
        <f>IF(ISBLANK(Data!#REF!),"",Data!#REF!)</f>
        <v>#REF!</v>
      </c>
      <c r="H250" s="33" t="e">
        <f>IF(ISBLANK(Data!#REF!),"",Data!#REF!)</f>
        <v>#REF!</v>
      </c>
      <c r="I250" s="33" t="e">
        <f>IF(ISBLANK(Data!#REF!),"",Data!#REF!)</f>
        <v>#REF!</v>
      </c>
      <c r="J250" s="33" t="e">
        <f>IF(ISBLANK(Data!#REF!),"",Data!#REF!)</f>
        <v>#REF!</v>
      </c>
      <c r="K250" s="21" t="e">
        <f>IF(ISBLANK(Data!#REF!),"",Data!#REF!)</f>
        <v>#REF!</v>
      </c>
      <c r="L250" s="21" t="e">
        <f>IF(ISBLANK(Data!#REF!),"",Data!#REF!)</f>
        <v>#REF!</v>
      </c>
      <c r="N250" s="46" t="e">
        <f>IF(ISBLANK(Data!#REF!),"",Data!#REF!)</f>
        <v>#REF!</v>
      </c>
      <c r="O250" s="46" t="e">
        <f>IF(ISBLANK(Data!#REF!),"",Data!#REF!)</f>
        <v>#REF!</v>
      </c>
      <c r="P250" s="46" t="e">
        <f>IF(ISBLANK(Data!#REF!),"",Data!#REF!)</f>
        <v>#REF!</v>
      </c>
      <c r="Q250" s="46" t="e">
        <f t="shared" si="3"/>
        <v>#REF!</v>
      </c>
      <c r="R250" s="47" t="e">
        <f>IF(ISBLANK(Data!#REF!),"",Data!#REF!)</f>
        <v>#REF!</v>
      </c>
      <c r="S250" s="33" t="e">
        <f>IF(ISBLANK(Data!#REF!),"",Data!#REF!)</f>
        <v>#REF!</v>
      </c>
      <c r="T250" s="33" t="e">
        <f>IF(ISBLANK(Data!#REF!),"",Data!#REF!)</f>
        <v>#REF!</v>
      </c>
      <c r="U250" s="21" t="e">
        <f>IF(ISBLANK(Data!#REF!),"",Data!#REF!)</f>
        <v>#REF!</v>
      </c>
    </row>
    <row r="251" spans="1:21" x14ac:dyDescent="0.25">
      <c r="A251" s="33" t="e">
        <f>IF(ISBLANK(Data!#REF!),"",YEAR(Data!#REF!))</f>
        <v>#REF!</v>
      </c>
      <c r="B251" s="44" t="e">
        <f>IF(ISBLANK(Data!#REF!),"",Data!#REF!)</f>
        <v>#REF!</v>
      </c>
      <c r="C251" s="45" t="e">
        <f>IF(ISBLANK(Data!#REF!),"",Data!#REF!)</f>
        <v>#REF!</v>
      </c>
      <c r="D251" s="21" t="e">
        <f>IF(ISBLANK(Data!#REF!),"",Data!#REF!)</f>
        <v>#REF!</v>
      </c>
      <c r="E251" s="21" t="e">
        <f>IF(ISBLANK(Data!#REF!),"",Data!#REF!)</f>
        <v>#REF!</v>
      </c>
      <c r="F251" s="33" t="e">
        <f>IF(ISBLANK(Data!#REF!),"",Data!#REF!)</f>
        <v>#REF!</v>
      </c>
      <c r="G251" s="21" t="e">
        <f>IF(ISBLANK(Data!#REF!),"",Data!#REF!)</f>
        <v>#REF!</v>
      </c>
      <c r="H251" s="33" t="e">
        <f>IF(ISBLANK(Data!#REF!),"",Data!#REF!)</f>
        <v>#REF!</v>
      </c>
      <c r="I251" s="33" t="e">
        <f>IF(ISBLANK(Data!#REF!),"",Data!#REF!)</f>
        <v>#REF!</v>
      </c>
      <c r="J251" s="33" t="e">
        <f>IF(ISBLANK(Data!#REF!),"",Data!#REF!)</f>
        <v>#REF!</v>
      </c>
      <c r="K251" s="21" t="e">
        <f>IF(ISBLANK(Data!#REF!),"",Data!#REF!)</f>
        <v>#REF!</v>
      </c>
      <c r="L251" s="21" t="e">
        <f>IF(ISBLANK(Data!#REF!),"",Data!#REF!)</f>
        <v>#REF!</v>
      </c>
      <c r="N251" s="46" t="e">
        <f>IF(ISBLANK(Data!#REF!),"",Data!#REF!)</f>
        <v>#REF!</v>
      </c>
      <c r="O251" s="46" t="e">
        <f>IF(ISBLANK(Data!#REF!),"",Data!#REF!)</f>
        <v>#REF!</v>
      </c>
      <c r="P251" s="46" t="e">
        <f>IF(ISBLANK(Data!#REF!),"",Data!#REF!)</f>
        <v>#REF!</v>
      </c>
      <c r="Q251" s="46" t="e">
        <f t="shared" si="3"/>
        <v>#REF!</v>
      </c>
      <c r="R251" s="47" t="e">
        <f>IF(ISBLANK(Data!#REF!),"",Data!#REF!)</f>
        <v>#REF!</v>
      </c>
      <c r="S251" s="33" t="e">
        <f>IF(ISBLANK(Data!#REF!),"",Data!#REF!)</f>
        <v>#REF!</v>
      </c>
      <c r="T251" s="33" t="e">
        <f>IF(ISBLANK(Data!#REF!),"",Data!#REF!)</f>
        <v>#REF!</v>
      </c>
      <c r="U251" s="21" t="e">
        <f>IF(ISBLANK(Data!#REF!),"",Data!#REF!)</f>
        <v>#REF!</v>
      </c>
    </row>
    <row r="252" spans="1:21" x14ac:dyDescent="0.25">
      <c r="A252" s="33" t="e">
        <f>IF(ISBLANK(Data!#REF!),"",YEAR(Data!#REF!))</f>
        <v>#REF!</v>
      </c>
      <c r="B252" s="44" t="e">
        <f>IF(ISBLANK(Data!#REF!),"",Data!#REF!)</f>
        <v>#REF!</v>
      </c>
      <c r="C252" s="45" t="e">
        <f>IF(ISBLANK(Data!#REF!),"",Data!#REF!)</f>
        <v>#REF!</v>
      </c>
      <c r="D252" s="21" t="e">
        <f>IF(ISBLANK(Data!#REF!),"",Data!#REF!)</f>
        <v>#REF!</v>
      </c>
      <c r="E252" s="21" t="e">
        <f>IF(ISBLANK(Data!#REF!),"",Data!#REF!)</f>
        <v>#REF!</v>
      </c>
      <c r="F252" s="33" t="e">
        <f>IF(ISBLANK(Data!#REF!),"",Data!#REF!)</f>
        <v>#REF!</v>
      </c>
      <c r="G252" s="21" t="e">
        <f>IF(ISBLANK(Data!#REF!),"",Data!#REF!)</f>
        <v>#REF!</v>
      </c>
      <c r="H252" s="33" t="e">
        <f>IF(ISBLANK(Data!#REF!),"",Data!#REF!)</f>
        <v>#REF!</v>
      </c>
      <c r="I252" s="33" t="e">
        <f>IF(ISBLANK(Data!#REF!),"",Data!#REF!)</f>
        <v>#REF!</v>
      </c>
      <c r="J252" s="33" t="e">
        <f>IF(ISBLANK(Data!#REF!),"",Data!#REF!)</f>
        <v>#REF!</v>
      </c>
      <c r="K252" s="21" t="e">
        <f>IF(ISBLANK(Data!#REF!),"",Data!#REF!)</f>
        <v>#REF!</v>
      </c>
      <c r="L252" s="21" t="e">
        <f>IF(ISBLANK(Data!#REF!),"",Data!#REF!)</f>
        <v>#REF!</v>
      </c>
      <c r="N252" s="46" t="e">
        <f>IF(ISBLANK(Data!#REF!),"",Data!#REF!)</f>
        <v>#REF!</v>
      </c>
      <c r="O252" s="46" t="e">
        <f>IF(ISBLANK(Data!#REF!),"",Data!#REF!)</f>
        <v>#REF!</v>
      </c>
      <c r="P252" s="46" t="e">
        <f>IF(ISBLANK(Data!#REF!),"",Data!#REF!)</f>
        <v>#REF!</v>
      </c>
      <c r="Q252" s="46" t="e">
        <f t="shared" si="3"/>
        <v>#REF!</v>
      </c>
      <c r="R252" s="47" t="e">
        <f>IF(ISBLANK(Data!#REF!),"",Data!#REF!)</f>
        <v>#REF!</v>
      </c>
      <c r="S252" s="33" t="e">
        <f>IF(ISBLANK(Data!#REF!),"",Data!#REF!)</f>
        <v>#REF!</v>
      </c>
      <c r="T252" s="33" t="e">
        <f>IF(ISBLANK(Data!#REF!),"",Data!#REF!)</f>
        <v>#REF!</v>
      </c>
      <c r="U252" s="21" t="e">
        <f>IF(ISBLANK(Data!#REF!),"",Data!#REF!)</f>
        <v>#REF!</v>
      </c>
    </row>
    <row r="253" spans="1:21" x14ac:dyDescent="0.25">
      <c r="A253" s="33" t="e">
        <f>IF(ISBLANK(Data!#REF!),"",YEAR(Data!#REF!))</f>
        <v>#REF!</v>
      </c>
      <c r="B253" s="44" t="e">
        <f>IF(ISBLANK(Data!#REF!),"",Data!#REF!)</f>
        <v>#REF!</v>
      </c>
      <c r="C253" s="45" t="e">
        <f>IF(ISBLANK(Data!#REF!),"",Data!#REF!)</f>
        <v>#REF!</v>
      </c>
      <c r="D253" s="21" t="e">
        <f>IF(ISBLANK(Data!#REF!),"",Data!#REF!)</f>
        <v>#REF!</v>
      </c>
      <c r="E253" s="21" t="e">
        <f>IF(ISBLANK(Data!#REF!),"",Data!#REF!)</f>
        <v>#REF!</v>
      </c>
      <c r="F253" s="33" t="e">
        <f>IF(ISBLANK(Data!#REF!),"",Data!#REF!)</f>
        <v>#REF!</v>
      </c>
      <c r="G253" s="21" t="e">
        <f>IF(ISBLANK(Data!#REF!),"",Data!#REF!)</f>
        <v>#REF!</v>
      </c>
      <c r="H253" s="33" t="e">
        <f>IF(ISBLANK(Data!#REF!),"",Data!#REF!)</f>
        <v>#REF!</v>
      </c>
      <c r="I253" s="33" t="e">
        <f>IF(ISBLANK(Data!#REF!),"",Data!#REF!)</f>
        <v>#REF!</v>
      </c>
      <c r="J253" s="33" t="e">
        <f>IF(ISBLANK(Data!#REF!),"",Data!#REF!)</f>
        <v>#REF!</v>
      </c>
      <c r="K253" s="21" t="e">
        <f>IF(ISBLANK(Data!#REF!),"",Data!#REF!)</f>
        <v>#REF!</v>
      </c>
      <c r="L253" s="21" t="e">
        <f>IF(ISBLANK(Data!#REF!),"",Data!#REF!)</f>
        <v>#REF!</v>
      </c>
      <c r="N253" s="46" t="e">
        <f>IF(ISBLANK(Data!#REF!),"",Data!#REF!)</f>
        <v>#REF!</v>
      </c>
      <c r="O253" s="46" t="e">
        <f>IF(ISBLANK(Data!#REF!),"",Data!#REF!)</f>
        <v>#REF!</v>
      </c>
      <c r="P253" s="46" t="e">
        <f>IF(ISBLANK(Data!#REF!),"",Data!#REF!)</f>
        <v>#REF!</v>
      </c>
      <c r="Q253" s="46" t="e">
        <f t="shared" si="3"/>
        <v>#REF!</v>
      </c>
      <c r="R253" s="47" t="e">
        <f>IF(ISBLANK(Data!#REF!),"",Data!#REF!)</f>
        <v>#REF!</v>
      </c>
      <c r="S253" s="33" t="e">
        <f>IF(ISBLANK(Data!#REF!),"",Data!#REF!)</f>
        <v>#REF!</v>
      </c>
      <c r="T253" s="33" t="e">
        <f>IF(ISBLANK(Data!#REF!),"",Data!#REF!)</f>
        <v>#REF!</v>
      </c>
      <c r="U253" s="21" t="e">
        <f>IF(ISBLANK(Data!#REF!),"",Data!#REF!)</f>
        <v>#REF!</v>
      </c>
    </row>
    <row r="254" spans="1:21" x14ac:dyDescent="0.25">
      <c r="A254" s="33" t="e">
        <f>IF(ISBLANK(Data!#REF!),"",YEAR(Data!#REF!))</f>
        <v>#REF!</v>
      </c>
      <c r="B254" s="44" t="e">
        <f>IF(ISBLANK(Data!#REF!),"",Data!#REF!)</f>
        <v>#REF!</v>
      </c>
      <c r="C254" s="45" t="e">
        <f>IF(ISBLANK(Data!#REF!),"",Data!#REF!)</f>
        <v>#REF!</v>
      </c>
      <c r="D254" s="21" t="e">
        <f>IF(ISBLANK(Data!#REF!),"",Data!#REF!)</f>
        <v>#REF!</v>
      </c>
      <c r="E254" s="21" t="e">
        <f>IF(ISBLANK(Data!#REF!),"",Data!#REF!)</f>
        <v>#REF!</v>
      </c>
      <c r="F254" s="33" t="e">
        <f>IF(ISBLANK(Data!#REF!),"",Data!#REF!)</f>
        <v>#REF!</v>
      </c>
      <c r="G254" s="21" t="e">
        <f>IF(ISBLANK(Data!#REF!),"",Data!#REF!)</f>
        <v>#REF!</v>
      </c>
      <c r="H254" s="33" t="e">
        <f>IF(ISBLANK(Data!#REF!),"",Data!#REF!)</f>
        <v>#REF!</v>
      </c>
      <c r="I254" s="33" t="e">
        <f>IF(ISBLANK(Data!#REF!),"",Data!#REF!)</f>
        <v>#REF!</v>
      </c>
      <c r="J254" s="33" t="e">
        <f>IF(ISBLANK(Data!#REF!),"",Data!#REF!)</f>
        <v>#REF!</v>
      </c>
      <c r="K254" s="21" t="e">
        <f>IF(ISBLANK(Data!#REF!),"",Data!#REF!)</f>
        <v>#REF!</v>
      </c>
      <c r="L254" s="21" t="e">
        <f>IF(ISBLANK(Data!#REF!),"",Data!#REF!)</f>
        <v>#REF!</v>
      </c>
      <c r="N254" s="46" t="e">
        <f>IF(ISBLANK(Data!#REF!),"",Data!#REF!)</f>
        <v>#REF!</v>
      </c>
      <c r="O254" s="46" t="e">
        <f>IF(ISBLANK(Data!#REF!),"",Data!#REF!)</f>
        <v>#REF!</v>
      </c>
      <c r="P254" s="46" t="e">
        <f>IF(ISBLANK(Data!#REF!),"",Data!#REF!)</f>
        <v>#REF!</v>
      </c>
      <c r="Q254" s="46" t="e">
        <f t="shared" si="3"/>
        <v>#REF!</v>
      </c>
      <c r="R254" s="47" t="e">
        <f>IF(ISBLANK(Data!#REF!),"",Data!#REF!)</f>
        <v>#REF!</v>
      </c>
      <c r="S254" s="33" t="e">
        <f>IF(ISBLANK(Data!#REF!),"",Data!#REF!)</f>
        <v>#REF!</v>
      </c>
      <c r="T254" s="33" t="e">
        <f>IF(ISBLANK(Data!#REF!),"",Data!#REF!)</f>
        <v>#REF!</v>
      </c>
      <c r="U254" s="21" t="e">
        <f>IF(ISBLANK(Data!#REF!),"",Data!#REF!)</f>
        <v>#REF!</v>
      </c>
    </row>
    <row r="255" spans="1:21" x14ac:dyDescent="0.25">
      <c r="A255" s="33" t="e">
        <f>IF(ISBLANK(Data!#REF!),"",YEAR(Data!#REF!))</f>
        <v>#REF!</v>
      </c>
      <c r="B255" s="44" t="e">
        <f>IF(ISBLANK(Data!#REF!),"",Data!#REF!)</f>
        <v>#REF!</v>
      </c>
      <c r="C255" s="45" t="e">
        <f>IF(ISBLANK(Data!#REF!),"",Data!#REF!)</f>
        <v>#REF!</v>
      </c>
      <c r="D255" s="21" t="e">
        <f>IF(ISBLANK(Data!#REF!),"",Data!#REF!)</f>
        <v>#REF!</v>
      </c>
      <c r="E255" s="21" t="e">
        <f>IF(ISBLANK(Data!#REF!),"",Data!#REF!)</f>
        <v>#REF!</v>
      </c>
      <c r="F255" s="33" t="e">
        <f>IF(ISBLANK(Data!#REF!),"",Data!#REF!)</f>
        <v>#REF!</v>
      </c>
      <c r="G255" s="21" t="e">
        <f>IF(ISBLANK(Data!#REF!),"",Data!#REF!)</f>
        <v>#REF!</v>
      </c>
      <c r="H255" s="33" t="e">
        <f>IF(ISBLANK(Data!#REF!),"",Data!#REF!)</f>
        <v>#REF!</v>
      </c>
      <c r="I255" s="33" t="e">
        <f>IF(ISBLANK(Data!#REF!),"",Data!#REF!)</f>
        <v>#REF!</v>
      </c>
      <c r="J255" s="33" t="e">
        <f>IF(ISBLANK(Data!#REF!),"",Data!#REF!)</f>
        <v>#REF!</v>
      </c>
      <c r="K255" s="21" t="e">
        <f>IF(ISBLANK(Data!#REF!),"",Data!#REF!)</f>
        <v>#REF!</v>
      </c>
      <c r="L255" s="21" t="e">
        <f>IF(ISBLANK(Data!#REF!),"",Data!#REF!)</f>
        <v>#REF!</v>
      </c>
      <c r="N255" s="46" t="e">
        <f>IF(ISBLANK(Data!#REF!),"",Data!#REF!)</f>
        <v>#REF!</v>
      </c>
      <c r="O255" s="46" t="e">
        <f>IF(ISBLANK(Data!#REF!),"",Data!#REF!)</f>
        <v>#REF!</v>
      </c>
      <c r="P255" s="46" t="e">
        <f>IF(ISBLANK(Data!#REF!),"",Data!#REF!)</f>
        <v>#REF!</v>
      </c>
      <c r="Q255" s="46" t="e">
        <f t="shared" si="3"/>
        <v>#REF!</v>
      </c>
      <c r="R255" s="47" t="e">
        <f>IF(ISBLANK(Data!#REF!),"",Data!#REF!)</f>
        <v>#REF!</v>
      </c>
      <c r="S255" s="33" t="e">
        <f>IF(ISBLANK(Data!#REF!),"",Data!#REF!)</f>
        <v>#REF!</v>
      </c>
      <c r="T255" s="33" t="e">
        <f>IF(ISBLANK(Data!#REF!),"",Data!#REF!)</f>
        <v>#REF!</v>
      </c>
      <c r="U255" s="21" t="e">
        <f>IF(ISBLANK(Data!#REF!),"",Data!#REF!)</f>
        <v>#REF!</v>
      </c>
    </row>
    <row r="256" spans="1:21" x14ac:dyDescent="0.25">
      <c r="A256" s="33" t="e">
        <f>IF(ISBLANK(Data!#REF!),"",YEAR(Data!#REF!))</f>
        <v>#REF!</v>
      </c>
      <c r="B256" s="44" t="e">
        <f>IF(ISBLANK(Data!#REF!),"",Data!#REF!)</f>
        <v>#REF!</v>
      </c>
      <c r="C256" s="45" t="e">
        <f>IF(ISBLANK(Data!#REF!),"",Data!#REF!)</f>
        <v>#REF!</v>
      </c>
      <c r="D256" s="21" t="e">
        <f>IF(ISBLANK(Data!#REF!),"",Data!#REF!)</f>
        <v>#REF!</v>
      </c>
      <c r="E256" s="21" t="e">
        <f>IF(ISBLANK(Data!#REF!),"",Data!#REF!)</f>
        <v>#REF!</v>
      </c>
      <c r="F256" s="33" t="e">
        <f>IF(ISBLANK(Data!#REF!),"",Data!#REF!)</f>
        <v>#REF!</v>
      </c>
      <c r="G256" s="21" t="e">
        <f>IF(ISBLANK(Data!#REF!),"",Data!#REF!)</f>
        <v>#REF!</v>
      </c>
      <c r="H256" s="33" t="e">
        <f>IF(ISBLANK(Data!#REF!),"",Data!#REF!)</f>
        <v>#REF!</v>
      </c>
      <c r="I256" s="33" t="e">
        <f>IF(ISBLANK(Data!#REF!),"",Data!#REF!)</f>
        <v>#REF!</v>
      </c>
      <c r="J256" s="33" t="e">
        <f>IF(ISBLANK(Data!#REF!),"",Data!#REF!)</f>
        <v>#REF!</v>
      </c>
      <c r="K256" s="21" t="e">
        <f>IF(ISBLANK(Data!#REF!),"",Data!#REF!)</f>
        <v>#REF!</v>
      </c>
      <c r="L256" s="21" t="e">
        <f>IF(ISBLANK(Data!#REF!),"",Data!#REF!)</f>
        <v>#REF!</v>
      </c>
      <c r="N256" s="46" t="e">
        <f>IF(ISBLANK(Data!#REF!),"",Data!#REF!)</f>
        <v>#REF!</v>
      </c>
      <c r="O256" s="46" t="e">
        <f>IF(ISBLANK(Data!#REF!),"",Data!#REF!)</f>
        <v>#REF!</v>
      </c>
      <c r="P256" s="46" t="e">
        <f>IF(ISBLANK(Data!#REF!),"",Data!#REF!)</f>
        <v>#REF!</v>
      </c>
      <c r="Q256" s="46" t="e">
        <f t="shared" si="3"/>
        <v>#REF!</v>
      </c>
      <c r="R256" s="47" t="e">
        <f>IF(ISBLANK(Data!#REF!),"",Data!#REF!)</f>
        <v>#REF!</v>
      </c>
      <c r="S256" s="33" t="e">
        <f>IF(ISBLANK(Data!#REF!),"",Data!#REF!)</f>
        <v>#REF!</v>
      </c>
      <c r="T256" s="33" t="e">
        <f>IF(ISBLANK(Data!#REF!),"",Data!#REF!)</f>
        <v>#REF!</v>
      </c>
      <c r="U256" s="21" t="e">
        <f>IF(ISBLANK(Data!#REF!),"",Data!#REF!)</f>
        <v>#REF!</v>
      </c>
    </row>
    <row r="257" spans="1:21" x14ac:dyDescent="0.25">
      <c r="A257" s="33" t="e">
        <f>IF(ISBLANK(Data!#REF!),"",YEAR(Data!#REF!))</f>
        <v>#REF!</v>
      </c>
      <c r="B257" s="44" t="e">
        <f>IF(ISBLANK(Data!#REF!),"",Data!#REF!)</f>
        <v>#REF!</v>
      </c>
      <c r="C257" s="45" t="e">
        <f>IF(ISBLANK(Data!#REF!),"",Data!#REF!)</f>
        <v>#REF!</v>
      </c>
      <c r="D257" s="21" t="e">
        <f>IF(ISBLANK(Data!#REF!),"",Data!#REF!)</f>
        <v>#REF!</v>
      </c>
      <c r="E257" s="21" t="e">
        <f>IF(ISBLANK(Data!#REF!),"",Data!#REF!)</f>
        <v>#REF!</v>
      </c>
      <c r="F257" s="33" t="e">
        <f>IF(ISBLANK(Data!#REF!),"",Data!#REF!)</f>
        <v>#REF!</v>
      </c>
      <c r="G257" s="21" t="e">
        <f>IF(ISBLANK(Data!#REF!),"",Data!#REF!)</f>
        <v>#REF!</v>
      </c>
      <c r="H257" s="33" t="e">
        <f>IF(ISBLANK(Data!#REF!),"",Data!#REF!)</f>
        <v>#REF!</v>
      </c>
      <c r="I257" s="33" t="e">
        <f>IF(ISBLANK(Data!#REF!),"",Data!#REF!)</f>
        <v>#REF!</v>
      </c>
      <c r="J257" s="33" t="e">
        <f>IF(ISBLANK(Data!#REF!),"",Data!#REF!)</f>
        <v>#REF!</v>
      </c>
      <c r="K257" s="21" t="e">
        <f>IF(ISBLANK(Data!#REF!),"",Data!#REF!)</f>
        <v>#REF!</v>
      </c>
      <c r="L257" s="21" t="e">
        <f>IF(ISBLANK(Data!#REF!),"",Data!#REF!)</f>
        <v>#REF!</v>
      </c>
      <c r="N257" s="46" t="e">
        <f>IF(ISBLANK(Data!#REF!),"",Data!#REF!)</f>
        <v>#REF!</v>
      </c>
      <c r="O257" s="46" t="e">
        <f>IF(ISBLANK(Data!#REF!),"",Data!#REF!)</f>
        <v>#REF!</v>
      </c>
      <c r="P257" s="46" t="e">
        <f>IF(ISBLANK(Data!#REF!),"",Data!#REF!)</f>
        <v>#REF!</v>
      </c>
      <c r="Q257" s="46" t="e">
        <f t="shared" si="3"/>
        <v>#REF!</v>
      </c>
      <c r="R257" s="47" t="e">
        <f>IF(ISBLANK(Data!#REF!),"",Data!#REF!)</f>
        <v>#REF!</v>
      </c>
      <c r="S257" s="33" t="e">
        <f>IF(ISBLANK(Data!#REF!),"",Data!#REF!)</f>
        <v>#REF!</v>
      </c>
      <c r="T257" s="33" t="e">
        <f>IF(ISBLANK(Data!#REF!),"",Data!#REF!)</f>
        <v>#REF!</v>
      </c>
      <c r="U257" s="21" t="e">
        <f>IF(ISBLANK(Data!#REF!),"",Data!#REF!)</f>
        <v>#REF!</v>
      </c>
    </row>
    <row r="258" spans="1:21" x14ac:dyDescent="0.25">
      <c r="A258" s="33" t="e">
        <f>IF(ISBLANK(Data!#REF!),"",YEAR(Data!#REF!))</f>
        <v>#REF!</v>
      </c>
      <c r="B258" s="44" t="e">
        <f>IF(ISBLANK(Data!#REF!),"",Data!#REF!)</f>
        <v>#REF!</v>
      </c>
      <c r="C258" s="45" t="e">
        <f>IF(ISBLANK(Data!#REF!),"",Data!#REF!)</f>
        <v>#REF!</v>
      </c>
      <c r="D258" s="21" t="e">
        <f>IF(ISBLANK(Data!#REF!),"",Data!#REF!)</f>
        <v>#REF!</v>
      </c>
      <c r="E258" s="21" t="e">
        <f>IF(ISBLANK(Data!#REF!),"",Data!#REF!)</f>
        <v>#REF!</v>
      </c>
      <c r="F258" s="33" t="e">
        <f>IF(ISBLANK(Data!#REF!),"",Data!#REF!)</f>
        <v>#REF!</v>
      </c>
      <c r="G258" s="21" t="e">
        <f>IF(ISBLANK(Data!#REF!),"",Data!#REF!)</f>
        <v>#REF!</v>
      </c>
      <c r="H258" s="33" t="e">
        <f>IF(ISBLANK(Data!#REF!),"",Data!#REF!)</f>
        <v>#REF!</v>
      </c>
      <c r="I258" s="33" t="e">
        <f>IF(ISBLANK(Data!#REF!),"",Data!#REF!)</f>
        <v>#REF!</v>
      </c>
      <c r="J258" s="33" t="e">
        <f>IF(ISBLANK(Data!#REF!),"",Data!#REF!)</f>
        <v>#REF!</v>
      </c>
      <c r="K258" s="21" t="e">
        <f>IF(ISBLANK(Data!#REF!),"",Data!#REF!)</f>
        <v>#REF!</v>
      </c>
      <c r="L258" s="21" t="e">
        <f>IF(ISBLANK(Data!#REF!),"",Data!#REF!)</f>
        <v>#REF!</v>
      </c>
      <c r="N258" s="46" t="e">
        <f>IF(ISBLANK(Data!#REF!),"",Data!#REF!)</f>
        <v>#REF!</v>
      </c>
      <c r="O258" s="46" t="e">
        <f>IF(ISBLANK(Data!#REF!),"",Data!#REF!)</f>
        <v>#REF!</v>
      </c>
      <c r="P258" s="46" t="e">
        <f>IF(ISBLANK(Data!#REF!),"",Data!#REF!)</f>
        <v>#REF!</v>
      </c>
      <c r="Q258" s="46" t="e">
        <f t="shared" si="3"/>
        <v>#REF!</v>
      </c>
      <c r="R258" s="47" t="e">
        <f>IF(ISBLANK(Data!#REF!),"",Data!#REF!)</f>
        <v>#REF!</v>
      </c>
      <c r="S258" s="33" t="e">
        <f>IF(ISBLANK(Data!#REF!),"",Data!#REF!)</f>
        <v>#REF!</v>
      </c>
      <c r="T258" s="33" t="e">
        <f>IF(ISBLANK(Data!#REF!),"",Data!#REF!)</f>
        <v>#REF!</v>
      </c>
      <c r="U258" s="21" t="e">
        <f>IF(ISBLANK(Data!#REF!),"",Data!#REF!)</f>
        <v>#REF!</v>
      </c>
    </row>
    <row r="259" spans="1:21" x14ac:dyDescent="0.25">
      <c r="A259" s="33" t="e">
        <f>IF(ISBLANK(Data!#REF!),"",YEAR(Data!#REF!))</f>
        <v>#REF!</v>
      </c>
      <c r="B259" s="44" t="e">
        <f>IF(ISBLANK(Data!#REF!),"",Data!#REF!)</f>
        <v>#REF!</v>
      </c>
      <c r="C259" s="45" t="e">
        <f>IF(ISBLANK(Data!#REF!),"",Data!#REF!)</f>
        <v>#REF!</v>
      </c>
      <c r="D259" s="21" t="e">
        <f>IF(ISBLANK(Data!#REF!),"",Data!#REF!)</f>
        <v>#REF!</v>
      </c>
      <c r="E259" s="21" t="e">
        <f>IF(ISBLANK(Data!#REF!),"",Data!#REF!)</f>
        <v>#REF!</v>
      </c>
      <c r="F259" s="33" t="e">
        <f>IF(ISBLANK(Data!#REF!),"",Data!#REF!)</f>
        <v>#REF!</v>
      </c>
      <c r="G259" s="21" t="e">
        <f>IF(ISBLANK(Data!#REF!),"",Data!#REF!)</f>
        <v>#REF!</v>
      </c>
      <c r="H259" s="33" t="e">
        <f>IF(ISBLANK(Data!#REF!),"",Data!#REF!)</f>
        <v>#REF!</v>
      </c>
      <c r="I259" s="33" t="e">
        <f>IF(ISBLANK(Data!#REF!),"",Data!#REF!)</f>
        <v>#REF!</v>
      </c>
      <c r="J259" s="33" t="e">
        <f>IF(ISBLANK(Data!#REF!),"",Data!#REF!)</f>
        <v>#REF!</v>
      </c>
      <c r="K259" s="21" t="e">
        <f>IF(ISBLANK(Data!#REF!),"",Data!#REF!)</f>
        <v>#REF!</v>
      </c>
      <c r="L259" s="21" t="e">
        <f>IF(ISBLANK(Data!#REF!),"",Data!#REF!)</f>
        <v>#REF!</v>
      </c>
      <c r="N259" s="46" t="e">
        <f>IF(ISBLANK(Data!#REF!),"",Data!#REF!)</f>
        <v>#REF!</v>
      </c>
      <c r="O259" s="46" t="e">
        <f>IF(ISBLANK(Data!#REF!),"",Data!#REF!)</f>
        <v>#REF!</v>
      </c>
      <c r="P259" s="46" t="e">
        <f>IF(ISBLANK(Data!#REF!),"",Data!#REF!)</f>
        <v>#REF!</v>
      </c>
      <c r="Q259" s="46" t="e">
        <f t="shared" ref="Q259:Q277" si="4">IF(N259="","",IF(O259="",N259,N259+O259))</f>
        <v>#REF!</v>
      </c>
      <c r="R259" s="47" t="e">
        <f>IF(ISBLANK(Data!#REF!),"",Data!#REF!)</f>
        <v>#REF!</v>
      </c>
      <c r="S259" s="33" t="e">
        <f>IF(ISBLANK(Data!#REF!),"",Data!#REF!)</f>
        <v>#REF!</v>
      </c>
      <c r="T259" s="33" t="e">
        <f>IF(ISBLANK(Data!#REF!),"",Data!#REF!)</f>
        <v>#REF!</v>
      </c>
      <c r="U259" s="21" t="e">
        <f>IF(ISBLANK(Data!#REF!),"",Data!#REF!)</f>
        <v>#REF!</v>
      </c>
    </row>
    <row r="260" spans="1:21" x14ac:dyDescent="0.25">
      <c r="A260" s="33" t="e">
        <f>IF(ISBLANK(Data!#REF!),"",YEAR(Data!#REF!))</f>
        <v>#REF!</v>
      </c>
      <c r="B260" s="44" t="e">
        <f>IF(ISBLANK(Data!#REF!),"",Data!#REF!)</f>
        <v>#REF!</v>
      </c>
      <c r="C260" s="45" t="e">
        <f>IF(ISBLANK(Data!#REF!),"",Data!#REF!)</f>
        <v>#REF!</v>
      </c>
      <c r="D260" s="21" t="e">
        <f>IF(ISBLANK(Data!#REF!),"",Data!#REF!)</f>
        <v>#REF!</v>
      </c>
      <c r="E260" s="21" t="e">
        <f>IF(ISBLANK(Data!#REF!),"",Data!#REF!)</f>
        <v>#REF!</v>
      </c>
      <c r="F260" s="33" t="e">
        <f>IF(ISBLANK(Data!#REF!),"",Data!#REF!)</f>
        <v>#REF!</v>
      </c>
      <c r="G260" s="21" t="e">
        <f>IF(ISBLANK(Data!#REF!),"",Data!#REF!)</f>
        <v>#REF!</v>
      </c>
      <c r="H260" s="33" t="e">
        <f>IF(ISBLANK(Data!#REF!),"",Data!#REF!)</f>
        <v>#REF!</v>
      </c>
      <c r="I260" s="33" t="e">
        <f>IF(ISBLANK(Data!#REF!),"",Data!#REF!)</f>
        <v>#REF!</v>
      </c>
      <c r="J260" s="33" t="e">
        <f>IF(ISBLANK(Data!#REF!),"",Data!#REF!)</f>
        <v>#REF!</v>
      </c>
      <c r="K260" s="21" t="e">
        <f>IF(ISBLANK(Data!#REF!),"",Data!#REF!)</f>
        <v>#REF!</v>
      </c>
      <c r="L260" s="21" t="e">
        <f>IF(ISBLANK(Data!#REF!),"",Data!#REF!)</f>
        <v>#REF!</v>
      </c>
      <c r="N260" s="46" t="e">
        <f>IF(ISBLANK(Data!#REF!),"",Data!#REF!)</f>
        <v>#REF!</v>
      </c>
      <c r="O260" s="46" t="e">
        <f>IF(ISBLANK(Data!#REF!),"",Data!#REF!)</f>
        <v>#REF!</v>
      </c>
      <c r="P260" s="46" t="e">
        <f>IF(ISBLANK(Data!#REF!),"",Data!#REF!)</f>
        <v>#REF!</v>
      </c>
      <c r="Q260" s="46" t="e">
        <f t="shared" si="4"/>
        <v>#REF!</v>
      </c>
      <c r="R260" s="47" t="e">
        <f>IF(ISBLANK(Data!#REF!),"",Data!#REF!)</f>
        <v>#REF!</v>
      </c>
      <c r="S260" s="33" t="e">
        <f>IF(ISBLANK(Data!#REF!),"",Data!#REF!)</f>
        <v>#REF!</v>
      </c>
      <c r="T260" s="33" t="e">
        <f>IF(ISBLANK(Data!#REF!),"",Data!#REF!)</f>
        <v>#REF!</v>
      </c>
      <c r="U260" s="21" t="e">
        <f>IF(ISBLANK(Data!#REF!),"",Data!#REF!)</f>
        <v>#REF!</v>
      </c>
    </row>
    <row r="261" spans="1:21" x14ac:dyDescent="0.25">
      <c r="A261" s="33" t="e">
        <f>IF(ISBLANK(Data!#REF!),"",YEAR(Data!#REF!))</f>
        <v>#REF!</v>
      </c>
      <c r="B261" s="44" t="e">
        <f>IF(ISBLANK(Data!#REF!),"",Data!#REF!)</f>
        <v>#REF!</v>
      </c>
      <c r="C261" s="45" t="e">
        <f>IF(ISBLANK(Data!#REF!),"",Data!#REF!)</f>
        <v>#REF!</v>
      </c>
      <c r="D261" s="21" t="e">
        <f>IF(ISBLANK(Data!#REF!),"",Data!#REF!)</f>
        <v>#REF!</v>
      </c>
      <c r="E261" s="21" t="e">
        <f>IF(ISBLANK(Data!#REF!),"",Data!#REF!)</f>
        <v>#REF!</v>
      </c>
      <c r="F261" s="33" t="e">
        <f>IF(ISBLANK(Data!#REF!),"",Data!#REF!)</f>
        <v>#REF!</v>
      </c>
      <c r="G261" s="21" t="e">
        <f>IF(ISBLANK(Data!#REF!),"",Data!#REF!)</f>
        <v>#REF!</v>
      </c>
      <c r="H261" s="33" t="e">
        <f>IF(ISBLANK(Data!#REF!),"",Data!#REF!)</f>
        <v>#REF!</v>
      </c>
      <c r="I261" s="33" t="e">
        <f>IF(ISBLANK(Data!#REF!),"",Data!#REF!)</f>
        <v>#REF!</v>
      </c>
      <c r="J261" s="33" t="e">
        <f>IF(ISBLANK(Data!#REF!),"",Data!#REF!)</f>
        <v>#REF!</v>
      </c>
      <c r="K261" s="21" t="e">
        <f>IF(ISBLANK(Data!#REF!),"",Data!#REF!)</f>
        <v>#REF!</v>
      </c>
      <c r="L261" s="21" t="e">
        <f>IF(ISBLANK(Data!#REF!),"",Data!#REF!)</f>
        <v>#REF!</v>
      </c>
      <c r="N261" s="46" t="e">
        <f>IF(ISBLANK(Data!#REF!),"",Data!#REF!)</f>
        <v>#REF!</v>
      </c>
      <c r="O261" s="46" t="e">
        <f>IF(ISBLANK(Data!#REF!),"",Data!#REF!)</f>
        <v>#REF!</v>
      </c>
      <c r="P261" s="46" t="e">
        <f>IF(ISBLANK(Data!#REF!),"",Data!#REF!)</f>
        <v>#REF!</v>
      </c>
      <c r="Q261" s="46" t="e">
        <f t="shared" si="4"/>
        <v>#REF!</v>
      </c>
      <c r="R261" s="47" t="e">
        <f>IF(ISBLANK(Data!#REF!),"",Data!#REF!)</f>
        <v>#REF!</v>
      </c>
      <c r="S261" s="33" t="e">
        <f>IF(ISBLANK(Data!#REF!),"",Data!#REF!)</f>
        <v>#REF!</v>
      </c>
      <c r="T261" s="33" t="e">
        <f>IF(ISBLANK(Data!#REF!),"",Data!#REF!)</f>
        <v>#REF!</v>
      </c>
      <c r="U261" s="21" t="e">
        <f>IF(ISBLANK(Data!#REF!),"",Data!#REF!)</f>
        <v>#REF!</v>
      </c>
    </row>
    <row r="262" spans="1:21" x14ac:dyDescent="0.25">
      <c r="A262" s="33" t="e">
        <f>IF(ISBLANK(Data!#REF!),"",YEAR(Data!#REF!))</f>
        <v>#REF!</v>
      </c>
      <c r="B262" s="44" t="e">
        <f>IF(ISBLANK(Data!#REF!),"",Data!#REF!)</f>
        <v>#REF!</v>
      </c>
      <c r="C262" s="45" t="e">
        <f>IF(ISBLANK(Data!#REF!),"",Data!#REF!)</f>
        <v>#REF!</v>
      </c>
      <c r="D262" s="21" t="e">
        <f>IF(ISBLANK(Data!#REF!),"",Data!#REF!)</f>
        <v>#REF!</v>
      </c>
      <c r="E262" s="21" t="e">
        <f>IF(ISBLANK(Data!#REF!),"",Data!#REF!)</f>
        <v>#REF!</v>
      </c>
      <c r="F262" s="33" t="e">
        <f>IF(ISBLANK(Data!#REF!),"",Data!#REF!)</f>
        <v>#REF!</v>
      </c>
      <c r="G262" s="21" t="e">
        <f>IF(ISBLANK(Data!#REF!),"",Data!#REF!)</f>
        <v>#REF!</v>
      </c>
      <c r="H262" s="33" t="e">
        <f>IF(ISBLANK(Data!#REF!),"",Data!#REF!)</f>
        <v>#REF!</v>
      </c>
      <c r="I262" s="33" t="e">
        <f>IF(ISBLANK(Data!#REF!),"",Data!#REF!)</f>
        <v>#REF!</v>
      </c>
      <c r="J262" s="33" t="e">
        <f>IF(ISBLANK(Data!#REF!),"",Data!#REF!)</f>
        <v>#REF!</v>
      </c>
      <c r="K262" s="21" t="e">
        <f>IF(ISBLANK(Data!#REF!),"",Data!#REF!)</f>
        <v>#REF!</v>
      </c>
      <c r="L262" s="21" t="e">
        <f>IF(ISBLANK(Data!#REF!),"",Data!#REF!)</f>
        <v>#REF!</v>
      </c>
      <c r="N262" s="46" t="e">
        <f>IF(ISBLANK(Data!#REF!),"",Data!#REF!)</f>
        <v>#REF!</v>
      </c>
      <c r="O262" s="46" t="e">
        <f>IF(ISBLANK(Data!#REF!),"",Data!#REF!)</f>
        <v>#REF!</v>
      </c>
      <c r="P262" s="46" t="e">
        <f>IF(ISBLANK(Data!#REF!),"",Data!#REF!)</f>
        <v>#REF!</v>
      </c>
      <c r="Q262" s="46" t="e">
        <f t="shared" si="4"/>
        <v>#REF!</v>
      </c>
      <c r="R262" s="47" t="e">
        <f>IF(ISBLANK(Data!#REF!),"",Data!#REF!)</f>
        <v>#REF!</v>
      </c>
      <c r="S262" s="33" t="e">
        <f>IF(ISBLANK(Data!#REF!),"",Data!#REF!)</f>
        <v>#REF!</v>
      </c>
      <c r="T262" s="33" t="e">
        <f>IF(ISBLANK(Data!#REF!),"",Data!#REF!)</f>
        <v>#REF!</v>
      </c>
      <c r="U262" s="21" t="e">
        <f>IF(ISBLANK(Data!#REF!),"",Data!#REF!)</f>
        <v>#REF!</v>
      </c>
    </row>
    <row r="263" spans="1:21" x14ac:dyDescent="0.25">
      <c r="A263" s="33" t="e">
        <f>IF(ISBLANK(Data!#REF!),"",YEAR(Data!#REF!))</f>
        <v>#REF!</v>
      </c>
      <c r="B263" s="44" t="e">
        <f>IF(ISBLANK(Data!#REF!),"",Data!#REF!)</f>
        <v>#REF!</v>
      </c>
      <c r="C263" s="45" t="e">
        <f>IF(ISBLANK(Data!#REF!),"",Data!#REF!)</f>
        <v>#REF!</v>
      </c>
      <c r="D263" s="21" t="e">
        <f>IF(ISBLANK(Data!#REF!),"",Data!#REF!)</f>
        <v>#REF!</v>
      </c>
      <c r="E263" s="21" t="e">
        <f>IF(ISBLANK(Data!#REF!),"",Data!#REF!)</f>
        <v>#REF!</v>
      </c>
      <c r="F263" s="33" t="e">
        <f>IF(ISBLANK(Data!#REF!),"",Data!#REF!)</f>
        <v>#REF!</v>
      </c>
      <c r="G263" s="21" t="e">
        <f>IF(ISBLANK(Data!#REF!),"",Data!#REF!)</f>
        <v>#REF!</v>
      </c>
      <c r="H263" s="33" t="e">
        <f>IF(ISBLANK(Data!#REF!),"",Data!#REF!)</f>
        <v>#REF!</v>
      </c>
      <c r="I263" s="33" t="e">
        <f>IF(ISBLANK(Data!#REF!),"",Data!#REF!)</f>
        <v>#REF!</v>
      </c>
      <c r="J263" s="33" t="e">
        <f>IF(ISBLANK(Data!#REF!),"",Data!#REF!)</f>
        <v>#REF!</v>
      </c>
      <c r="K263" s="21" t="e">
        <f>IF(ISBLANK(Data!#REF!),"",Data!#REF!)</f>
        <v>#REF!</v>
      </c>
      <c r="L263" s="21" t="e">
        <f>IF(ISBLANK(Data!#REF!),"",Data!#REF!)</f>
        <v>#REF!</v>
      </c>
      <c r="N263" s="46" t="e">
        <f>IF(ISBLANK(Data!#REF!),"",Data!#REF!)</f>
        <v>#REF!</v>
      </c>
      <c r="O263" s="46" t="e">
        <f>IF(ISBLANK(Data!#REF!),"",Data!#REF!)</f>
        <v>#REF!</v>
      </c>
      <c r="P263" s="46" t="e">
        <f>IF(ISBLANK(Data!#REF!),"",Data!#REF!)</f>
        <v>#REF!</v>
      </c>
      <c r="Q263" s="46" t="e">
        <f t="shared" si="4"/>
        <v>#REF!</v>
      </c>
      <c r="R263" s="47" t="e">
        <f>IF(ISBLANK(Data!#REF!),"",Data!#REF!)</f>
        <v>#REF!</v>
      </c>
      <c r="S263" s="33" t="e">
        <f>IF(ISBLANK(Data!#REF!),"",Data!#REF!)</f>
        <v>#REF!</v>
      </c>
      <c r="T263" s="33" t="e">
        <f>IF(ISBLANK(Data!#REF!),"",Data!#REF!)</f>
        <v>#REF!</v>
      </c>
      <c r="U263" s="21" t="e">
        <f>IF(ISBLANK(Data!#REF!),"",Data!#REF!)</f>
        <v>#REF!</v>
      </c>
    </row>
    <row r="264" spans="1:21" x14ac:dyDescent="0.25">
      <c r="A264" s="33" t="e">
        <f>IF(ISBLANK(Data!#REF!),"",YEAR(Data!#REF!))</f>
        <v>#REF!</v>
      </c>
      <c r="B264" s="44" t="e">
        <f>IF(ISBLANK(Data!#REF!),"",Data!#REF!)</f>
        <v>#REF!</v>
      </c>
      <c r="C264" s="45" t="e">
        <f>IF(ISBLANK(Data!#REF!),"",Data!#REF!)</f>
        <v>#REF!</v>
      </c>
      <c r="D264" s="21" t="e">
        <f>IF(ISBLANK(Data!#REF!),"",Data!#REF!)</f>
        <v>#REF!</v>
      </c>
      <c r="E264" s="21" t="e">
        <f>IF(ISBLANK(Data!#REF!),"",Data!#REF!)</f>
        <v>#REF!</v>
      </c>
      <c r="F264" s="33" t="e">
        <f>IF(ISBLANK(Data!#REF!),"",Data!#REF!)</f>
        <v>#REF!</v>
      </c>
      <c r="G264" s="21" t="e">
        <f>IF(ISBLANK(Data!#REF!),"",Data!#REF!)</f>
        <v>#REF!</v>
      </c>
      <c r="H264" s="33" t="e">
        <f>IF(ISBLANK(Data!#REF!),"",Data!#REF!)</f>
        <v>#REF!</v>
      </c>
      <c r="I264" s="33" t="e">
        <f>IF(ISBLANK(Data!#REF!),"",Data!#REF!)</f>
        <v>#REF!</v>
      </c>
      <c r="J264" s="33" t="e">
        <f>IF(ISBLANK(Data!#REF!),"",Data!#REF!)</f>
        <v>#REF!</v>
      </c>
      <c r="K264" s="21" t="e">
        <f>IF(ISBLANK(Data!#REF!),"",Data!#REF!)</f>
        <v>#REF!</v>
      </c>
      <c r="L264" s="21" t="e">
        <f>IF(ISBLANK(Data!#REF!),"",Data!#REF!)</f>
        <v>#REF!</v>
      </c>
      <c r="N264" s="46" t="e">
        <f>IF(ISBLANK(Data!#REF!),"",Data!#REF!)</f>
        <v>#REF!</v>
      </c>
      <c r="O264" s="46" t="e">
        <f>IF(ISBLANK(Data!#REF!),"",Data!#REF!)</f>
        <v>#REF!</v>
      </c>
      <c r="P264" s="46" t="e">
        <f>IF(ISBLANK(Data!#REF!),"",Data!#REF!)</f>
        <v>#REF!</v>
      </c>
      <c r="Q264" s="46" t="e">
        <f t="shared" si="4"/>
        <v>#REF!</v>
      </c>
      <c r="R264" s="47" t="e">
        <f>IF(ISBLANK(Data!#REF!),"",Data!#REF!)</f>
        <v>#REF!</v>
      </c>
      <c r="S264" s="33" t="e">
        <f>IF(ISBLANK(Data!#REF!),"",Data!#REF!)</f>
        <v>#REF!</v>
      </c>
      <c r="T264" s="33" t="e">
        <f>IF(ISBLANK(Data!#REF!),"",Data!#REF!)</f>
        <v>#REF!</v>
      </c>
      <c r="U264" s="21" t="e">
        <f>IF(ISBLANK(Data!#REF!),"",Data!#REF!)</f>
        <v>#REF!</v>
      </c>
    </row>
    <row r="265" spans="1:21" x14ac:dyDescent="0.25">
      <c r="A265" s="33" t="e">
        <f>IF(ISBLANK(Data!#REF!),"",YEAR(Data!#REF!))</f>
        <v>#REF!</v>
      </c>
      <c r="B265" s="44" t="e">
        <f>IF(ISBLANK(Data!#REF!),"",Data!#REF!)</f>
        <v>#REF!</v>
      </c>
      <c r="C265" s="45" t="e">
        <f>IF(ISBLANK(Data!#REF!),"",Data!#REF!)</f>
        <v>#REF!</v>
      </c>
      <c r="D265" s="21" t="e">
        <f>IF(ISBLANK(Data!#REF!),"",Data!#REF!)</f>
        <v>#REF!</v>
      </c>
      <c r="E265" s="21" t="e">
        <f>IF(ISBLANK(Data!#REF!),"",Data!#REF!)</f>
        <v>#REF!</v>
      </c>
      <c r="F265" s="33" t="e">
        <f>IF(ISBLANK(Data!#REF!),"",Data!#REF!)</f>
        <v>#REF!</v>
      </c>
      <c r="G265" s="21" t="e">
        <f>IF(ISBLANK(Data!#REF!),"",Data!#REF!)</f>
        <v>#REF!</v>
      </c>
      <c r="H265" s="33" t="e">
        <f>IF(ISBLANK(Data!#REF!),"",Data!#REF!)</f>
        <v>#REF!</v>
      </c>
      <c r="I265" s="33" t="e">
        <f>IF(ISBLANK(Data!#REF!),"",Data!#REF!)</f>
        <v>#REF!</v>
      </c>
      <c r="J265" s="33" t="e">
        <f>IF(ISBLANK(Data!#REF!),"",Data!#REF!)</f>
        <v>#REF!</v>
      </c>
      <c r="K265" s="21" t="e">
        <f>IF(ISBLANK(Data!#REF!),"",Data!#REF!)</f>
        <v>#REF!</v>
      </c>
      <c r="L265" s="21" t="e">
        <f>IF(ISBLANK(Data!#REF!),"",Data!#REF!)</f>
        <v>#REF!</v>
      </c>
      <c r="N265" s="46" t="e">
        <f>IF(ISBLANK(Data!#REF!),"",Data!#REF!)</f>
        <v>#REF!</v>
      </c>
      <c r="O265" s="46" t="e">
        <f>IF(ISBLANK(Data!#REF!),"",Data!#REF!)</f>
        <v>#REF!</v>
      </c>
      <c r="P265" s="46" t="e">
        <f>IF(ISBLANK(Data!#REF!),"",Data!#REF!)</f>
        <v>#REF!</v>
      </c>
      <c r="Q265" s="46" t="e">
        <f t="shared" si="4"/>
        <v>#REF!</v>
      </c>
      <c r="R265" s="47" t="e">
        <f>IF(ISBLANK(Data!#REF!),"",Data!#REF!)</f>
        <v>#REF!</v>
      </c>
      <c r="S265" s="33" t="e">
        <f>IF(ISBLANK(Data!#REF!),"",Data!#REF!)</f>
        <v>#REF!</v>
      </c>
      <c r="T265" s="33" t="e">
        <f>IF(ISBLANK(Data!#REF!),"",Data!#REF!)</f>
        <v>#REF!</v>
      </c>
      <c r="U265" s="21" t="e">
        <f>IF(ISBLANK(Data!#REF!),"",Data!#REF!)</f>
        <v>#REF!</v>
      </c>
    </row>
    <row r="266" spans="1:21" x14ac:dyDescent="0.25">
      <c r="A266" s="33" t="e">
        <f>IF(ISBLANK(Data!#REF!),"",YEAR(Data!#REF!))</f>
        <v>#REF!</v>
      </c>
      <c r="B266" s="44" t="e">
        <f>IF(ISBLANK(Data!#REF!),"",Data!#REF!)</f>
        <v>#REF!</v>
      </c>
      <c r="C266" s="45" t="e">
        <f>IF(ISBLANK(Data!#REF!),"",Data!#REF!)</f>
        <v>#REF!</v>
      </c>
      <c r="D266" s="21" t="e">
        <f>IF(ISBLANK(Data!#REF!),"",Data!#REF!)</f>
        <v>#REF!</v>
      </c>
      <c r="E266" s="21" t="e">
        <f>IF(ISBLANK(Data!#REF!),"",Data!#REF!)</f>
        <v>#REF!</v>
      </c>
      <c r="F266" s="33" t="e">
        <f>IF(ISBLANK(Data!#REF!),"",Data!#REF!)</f>
        <v>#REF!</v>
      </c>
      <c r="G266" s="21" t="e">
        <f>IF(ISBLANK(Data!#REF!),"",Data!#REF!)</f>
        <v>#REF!</v>
      </c>
      <c r="H266" s="33" t="e">
        <f>IF(ISBLANK(Data!#REF!),"",Data!#REF!)</f>
        <v>#REF!</v>
      </c>
      <c r="I266" s="33" t="e">
        <f>IF(ISBLANK(Data!#REF!),"",Data!#REF!)</f>
        <v>#REF!</v>
      </c>
      <c r="J266" s="33" t="e">
        <f>IF(ISBLANK(Data!#REF!),"",Data!#REF!)</f>
        <v>#REF!</v>
      </c>
      <c r="K266" s="21" t="e">
        <f>IF(ISBLANK(Data!#REF!),"",Data!#REF!)</f>
        <v>#REF!</v>
      </c>
      <c r="L266" s="21" t="e">
        <f>IF(ISBLANK(Data!#REF!),"",Data!#REF!)</f>
        <v>#REF!</v>
      </c>
      <c r="N266" s="46" t="e">
        <f>IF(ISBLANK(Data!#REF!),"",Data!#REF!)</f>
        <v>#REF!</v>
      </c>
      <c r="O266" s="46" t="e">
        <f>IF(ISBLANK(Data!#REF!),"",Data!#REF!)</f>
        <v>#REF!</v>
      </c>
      <c r="P266" s="46" t="e">
        <f>IF(ISBLANK(Data!#REF!),"",Data!#REF!)</f>
        <v>#REF!</v>
      </c>
      <c r="Q266" s="46" t="e">
        <f t="shared" si="4"/>
        <v>#REF!</v>
      </c>
      <c r="R266" s="47" t="e">
        <f>IF(ISBLANK(Data!#REF!),"",Data!#REF!)</f>
        <v>#REF!</v>
      </c>
      <c r="S266" s="33" t="e">
        <f>IF(ISBLANK(Data!#REF!),"",Data!#REF!)</f>
        <v>#REF!</v>
      </c>
      <c r="T266" s="33" t="e">
        <f>IF(ISBLANK(Data!#REF!),"",Data!#REF!)</f>
        <v>#REF!</v>
      </c>
      <c r="U266" s="21" t="e">
        <f>IF(ISBLANK(Data!#REF!),"",Data!#REF!)</f>
        <v>#REF!</v>
      </c>
    </row>
    <row r="267" spans="1:21" x14ac:dyDescent="0.25">
      <c r="A267" s="33" t="e">
        <f>IF(ISBLANK(Data!#REF!),"",YEAR(Data!#REF!))</f>
        <v>#REF!</v>
      </c>
      <c r="B267" s="44" t="e">
        <f>IF(ISBLANK(Data!#REF!),"",Data!#REF!)</f>
        <v>#REF!</v>
      </c>
      <c r="C267" s="45" t="e">
        <f>IF(ISBLANK(Data!#REF!),"",Data!#REF!)</f>
        <v>#REF!</v>
      </c>
      <c r="D267" s="21" t="e">
        <f>IF(ISBLANK(Data!#REF!),"",Data!#REF!)</f>
        <v>#REF!</v>
      </c>
      <c r="E267" s="21" t="e">
        <f>IF(ISBLANK(Data!#REF!),"",Data!#REF!)</f>
        <v>#REF!</v>
      </c>
      <c r="F267" s="33" t="e">
        <f>IF(ISBLANK(Data!#REF!),"",Data!#REF!)</f>
        <v>#REF!</v>
      </c>
      <c r="G267" s="21" t="e">
        <f>IF(ISBLANK(Data!#REF!),"",Data!#REF!)</f>
        <v>#REF!</v>
      </c>
      <c r="H267" s="33" t="e">
        <f>IF(ISBLANK(Data!#REF!),"",Data!#REF!)</f>
        <v>#REF!</v>
      </c>
      <c r="I267" s="33" t="e">
        <f>IF(ISBLANK(Data!#REF!),"",Data!#REF!)</f>
        <v>#REF!</v>
      </c>
      <c r="J267" s="33" t="e">
        <f>IF(ISBLANK(Data!#REF!),"",Data!#REF!)</f>
        <v>#REF!</v>
      </c>
      <c r="K267" s="21" t="e">
        <f>IF(ISBLANK(Data!#REF!),"",Data!#REF!)</f>
        <v>#REF!</v>
      </c>
      <c r="L267" s="21" t="e">
        <f>IF(ISBLANK(Data!#REF!),"",Data!#REF!)</f>
        <v>#REF!</v>
      </c>
      <c r="N267" s="46" t="e">
        <f>IF(ISBLANK(Data!#REF!),"",Data!#REF!)</f>
        <v>#REF!</v>
      </c>
      <c r="O267" s="46" t="e">
        <f>IF(ISBLANK(Data!#REF!),"",Data!#REF!)</f>
        <v>#REF!</v>
      </c>
      <c r="P267" s="46" t="e">
        <f>IF(ISBLANK(Data!#REF!),"",Data!#REF!)</f>
        <v>#REF!</v>
      </c>
      <c r="Q267" s="46" t="e">
        <f t="shared" si="4"/>
        <v>#REF!</v>
      </c>
      <c r="R267" s="47" t="e">
        <f>IF(ISBLANK(Data!#REF!),"",Data!#REF!)</f>
        <v>#REF!</v>
      </c>
      <c r="S267" s="33" t="e">
        <f>IF(ISBLANK(Data!#REF!),"",Data!#REF!)</f>
        <v>#REF!</v>
      </c>
      <c r="T267" s="33" t="e">
        <f>IF(ISBLANK(Data!#REF!),"",Data!#REF!)</f>
        <v>#REF!</v>
      </c>
      <c r="U267" s="21" t="e">
        <f>IF(ISBLANK(Data!#REF!),"",Data!#REF!)</f>
        <v>#REF!</v>
      </c>
    </row>
    <row r="268" spans="1:21" x14ac:dyDescent="0.25">
      <c r="A268" s="33" t="e">
        <f>IF(ISBLANK(Data!#REF!),"",YEAR(Data!#REF!))</f>
        <v>#REF!</v>
      </c>
      <c r="B268" s="44" t="e">
        <f>IF(ISBLANK(Data!#REF!),"",Data!#REF!)</f>
        <v>#REF!</v>
      </c>
      <c r="C268" s="45" t="e">
        <f>IF(ISBLANK(Data!#REF!),"",Data!#REF!)</f>
        <v>#REF!</v>
      </c>
      <c r="D268" s="21" t="e">
        <f>IF(ISBLANK(Data!#REF!),"",Data!#REF!)</f>
        <v>#REF!</v>
      </c>
      <c r="E268" s="21" t="e">
        <f>IF(ISBLANK(Data!#REF!),"",Data!#REF!)</f>
        <v>#REF!</v>
      </c>
      <c r="F268" s="33" t="e">
        <f>IF(ISBLANK(Data!#REF!),"",Data!#REF!)</f>
        <v>#REF!</v>
      </c>
      <c r="G268" s="21" t="e">
        <f>IF(ISBLANK(Data!#REF!),"",Data!#REF!)</f>
        <v>#REF!</v>
      </c>
      <c r="H268" s="33" t="e">
        <f>IF(ISBLANK(Data!#REF!),"",Data!#REF!)</f>
        <v>#REF!</v>
      </c>
      <c r="I268" s="33" t="e">
        <f>IF(ISBLANK(Data!#REF!),"",Data!#REF!)</f>
        <v>#REF!</v>
      </c>
      <c r="J268" s="33" t="e">
        <f>IF(ISBLANK(Data!#REF!),"",Data!#REF!)</f>
        <v>#REF!</v>
      </c>
      <c r="K268" s="21" t="e">
        <f>IF(ISBLANK(Data!#REF!),"",Data!#REF!)</f>
        <v>#REF!</v>
      </c>
      <c r="L268" s="21" t="e">
        <f>IF(ISBLANK(Data!#REF!),"",Data!#REF!)</f>
        <v>#REF!</v>
      </c>
      <c r="N268" s="46" t="e">
        <f>IF(ISBLANK(Data!#REF!),"",Data!#REF!)</f>
        <v>#REF!</v>
      </c>
      <c r="O268" s="46" t="e">
        <f>IF(ISBLANK(Data!#REF!),"",Data!#REF!)</f>
        <v>#REF!</v>
      </c>
      <c r="P268" s="46" t="e">
        <f>IF(ISBLANK(Data!#REF!),"",Data!#REF!)</f>
        <v>#REF!</v>
      </c>
      <c r="Q268" s="46" t="e">
        <f t="shared" si="4"/>
        <v>#REF!</v>
      </c>
      <c r="R268" s="47" t="e">
        <f>IF(ISBLANK(Data!#REF!),"",Data!#REF!)</f>
        <v>#REF!</v>
      </c>
      <c r="S268" s="33" t="e">
        <f>IF(ISBLANK(Data!#REF!),"",Data!#REF!)</f>
        <v>#REF!</v>
      </c>
      <c r="T268" s="33" t="e">
        <f>IF(ISBLANK(Data!#REF!),"",Data!#REF!)</f>
        <v>#REF!</v>
      </c>
      <c r="U268" s="21" t="e">
        <f>IF(ISBLANK(Data!#REF!),"",Data!#REF!)</f>
        <v>#REF!</v>
      </c>
    </row>
    <row r="269" spans="1:21" x14ac:dyDescent="0.25">
      <c r="A269" s="33" t="e">
        <f>IF(ISBLANK(Data!#REF!),"",YEAR(Data!#REF!))</f>
        <v>#REF!</v>
      </c>
      <c r="B269" s="44" t="e">
        <f>IF(ISBLANK(Data!#REF!),"",Data!#REF!)</f>
        <v>#REF!</v>
      </c>
      <c r="C269" s="45" t="e">
        <f>IF(ISBLANK(Data!#REF!),"",Data!#REF!)</f>
        <v>#REF!</v>
      </c>
      <c r="D269" s="21" t="e">
        <f>IF(ISBLANK(Data!#REF!),"",Data!#REF!)</f>
        <v>#REF!</v>
      </c>
      <c r="E269" s="21" t="e">
        <f>IF(ISBLANK(Data!#REF!),"",Data!#REF!)</f>
        <v>#REF!</v>
      </c>
      <c r="F269" s="33" t="e">
        <f>IF(ISBLANK(Data!#REF!),"",Data!#REF!)</f>
        <v>#REF!</v>
      </c>
      <c r="G269" s="21" t="e">
        <f>IF(ISBLANK(Data!#REF!),"",Data!#REF!)</f>
        <v>#REF!</v>
      </c>
      <c r="H269" s="33" t="e">
        <f>IF(ISBLANK(Data!#REF!),"",Data!#REF!)</f>
        <v>#REF!</v>
      </c>
      <c r="I269" s="33" t="e">
        <f>IF(ISBLANK(Data!#REF!),"",Data!#REF!)</f>
        <v>#REF!</v>
      </c>
      <c r="J269" s="33" t="e">
        <f>IF(ISBLANK(Data!#REF!),"",Data!#REF!)</f>
        <v>#REF!</v>
      </c>
      <c r="K269" s="21" t="e">
        <f>IF(ISBLANK(Data!#REF!),"",Data!#REF!)</f>
        <v>#REF!</v>
      </c>
      <c r="L269" s="21" t="e">
        <f>IF(ISBLANK(Data!#REF!),"",Data!#REF!)</f>
        <v>#REF!</v>
      </c>
      <c r="N269" s="46" t="e">
        <f>IF(ISBLANK(Data!#REF!),"",Data!#REF!)</f>
        <v>#REF!</v>
      </c>
      <c r="O269" s="46" t="e">
        <f>IF(ISBLANK(Data!#REF!),"",Data!#REF!)</f>
        <v>#REF!</v>
      </c>
      <c r="P269" s="46" t="e">
        <f>IF(ISBLANK(Data!#REF!),"",Data!#REF!)</f>
        <v>#REF!</v>
      </c>
      <c r="Q269" s="46" t="e">
        <f t="shared" si="4"/>
        <v>#REF!</v>
      </c>
      <c r="R269" s="47" t="e">
        <f>IF(ISBLANK(Data!#REF!),"",Data!#REF!)</f>
        <v>#REF!</v>
      </c>
      <c r="S269" s="33" t="e">
        <f>IF(ISBLANK(Data!#REF!),"",Data!#REF!)</f>
        <v>#REF!</v>
      </c>
      <c r="T269" s="33" t="e">
        <f>IF(ISBLANK(Data!#REF!),"",Data!#REF!)</f>
        <v>#REF!</v>
      </c>
      <c r="U269" s="21" t="e">
        <f>IF(ISBLANK(Data!#REF!),"",Data!#REF!)</f>
        <v>#REF!</v>
      </c>
    </row>
    <row r="270" spans="1:21" x14ac:dyDescent="0.25">
      <c r="A270" s="33" t="e">
        <f>IF(ISBLANK(Data!#REF!),"",YEAR(Data!#REF!))</f>
        <v>#REF!</v>
      </c>
      <c r="B270" s="44" t="e">
        <f>IF(ISBLANK(Data!#REF!),"",Data!#REF!)</f>
        <v>#REF!</v>
      </c>
      <c r="C270" s="45" t="e">
        <f>IF(ISBLANK(Data!#REF!),"",Data!#REF!)</f>
        <v>#REF!</v>
      </c>
      <c r="D270" s="21" t="e">
        <f>IF(ISBLANK(Data!#REF!),"",Data!#REF!)</f>
        <v>#REF!</v>
      </c>
      <c r="E270" s="21" t="e">
        <f>IF(ISBLANK(Data!#REF!),"",Data!#REF!)</f>
        <v>#REF!</v>
      </c>
      <c r="F270" s="33" t="e">
        <f>IF(ISBLANK(Data!#REF!),"",Data!#REF!)</f>
        <v>#REF!</v>
      </c>
      <c r="G270" s="21" t="e">
        <f>IF(ISBLANK(Data!#REF!),"",Data!#REF!)</f>
        <v>#REF!</v>
      </c>
      <c r="H270" s="33" t="e">
        <f>IF(ISBLANK(Data!#REF!),"",Data!#REF!)</f>
        <v>#REF!</v>
      </c>
      <c r="I270" s="33" t="e">
        <f>IF(ISBLANK(Data!#REF!),"",Data!#REF!)</f>
        <v>#REF!</v>
      </c>
      <c r="J270" s="33" t="e">
        <f>IF(ISBLANK(Data!#REF!),"",Data!#REF!)</f>
        <v>#REF!</v>
      </c>
      <c r="K270" s="21" t="e">
        <f>IF(ISBLANK(Data!#REF!),"",Data!#REF!)</f>
        <v>#REF!</v>
      </c>
      <c r="L270" s="21" t="e">
        <f>IF(ISBLANK(Data!#REF!),"",Data!#REF!)</f>
        <v>#REF!</v>
      </c>
      <c r="N270" s="46" t="e">
        <f>IF(ISBLANK(Data!#REF!),"",Data!#REF!)</f>
        <v>#REF!</v>
      </c>
      <c r="O270" s="46" t="e">
        <f>IF(ISBLANK(Data!#REF!),"",Data!#REF!)</f>
        <v>#REF!</v>
      </c>
      <c r="P270" s="46" t="e">
        <f>IF(ISBLANK(Data!#REF!),"",Data!#REF!)</f>
        <v>#REF!</v>
      </c>
      <c r="Q270" s="46" t="e">
        <f t="shared" si="4"/>
        <v>#REF!</v>
      </c>
      <c r="R270" s="47" t="e">
        <f>IF(ISBLANK(Data!#REF!),"",Data!#REF!)</f>
        <v>#REF!</v>
      </c>
      <c r="S270" s="33" t="e">
        <f>IF(ISBLANK(Data!#REF!),"",Data!#REF!)</f>
        <v>#REF!</v>
      </c>
      <c r="T270" s="33" t="e">
        <f>IF(ISBLANK(Data!#REF!),"",Data!#REF!)</f>
        <v>#REF!</v>
      </c>
      <c r="U270" s="21" t="e">
        <f>IF(ISBLANK(Data!#REF!),"",Data!#REF!)</f>
        <v>#REF!</v>
      </c>
    </row>
    <row r="271" spans="1:21" x14ac:dyDescent="0.25">
      <c r="A271" s="33" t="e">
        <f>IF(ISBLANK(Data!#REF!),"",YEAR(Data!#REF!))</f>
        <v>#REF!</v>
      </c>
      <c r="B271" s="44" t="e">
        <f>IF(ISBLANK(Data!#REF!),"",Data!#REF!)</f>
        <v>#REF!</v>
      </c>
      <c r="C271" s="45" t="e">
        <f>IF(ISBLANK(Data!#REF!),"",Data!#REF!)</f>
        <v>#REF!</v>
      </c>
      <c r="D271" s="21" t="e">
        <f>IF(ISBLANK(Data!#REF!),"",Data!#REF!)</f>
        <v>#REF!</v>
      </c>
      <c r="E271" s="21" t="e">
        <f>IF(ISBLANK(Data!#REF!),"",Data!#REF!)</f>
        <v>#REF!</v>
      </c>
      <c r="F271" s="33" t="e">
        <f>IF(ISBLANK(Data!#REF!),"",Data!#REF!)</f>
        <v>#REF!</v>
      </c>
      <c r="G271" s="21" t="e">
        <f>IF(ISBLANK(Data!#REF!),"",Data!#REF!)</f>
        <v>#REF!</v>
      </c>
      <c r="H271" s="33" t="e">
        <f>IF(ISBLANK(Data!#REF!),"",Data!#REF!)</f>
        <v>#REF!</v>
      </c>
      <c r="I271" s="33" t="e">
        <f>IF(ISBLANK(Data!#REF!),"",Data!#REF!)</f>
        <v>#REF!</v>
      </c>
      <c r="J271" s="33" t="e">
        <f>IF(ISBLANK(Data!#REF!),"",Data!#REF!)</f>
        <v>#REF!</v>
      </c>
      <c r="K271" s="21" t="e">
        <f>IF(ISBLANK(Data!#REF!),"",Data!#REF!)</f>
        <v>#REF!</v>
      </c>
      <c r="L271" s="21" t="e">
        <f>IF(ISBLANK(Data!#REF!),"",Data!#REF!)</f>
        <v>#REF!</v>
      </c>
      <c r="N271" s="46" t="e">
        <f>IF(ISBLANK(Data!#REF!),"",Data!#REF!)</f>
        <v>#REF!</v>
      </c>
      <c r="O271" s="46" t="e">
        <f>IF(ISBLANK(Data!#REF!),"",Data!#REF!)</f>
        <v>#REF!</v>
      </c>
      <c r="P271" s="46" t="e">
        <f>IF(ISBLANK(Data!#REF!),"",Data!#REF!)</f>
        <v>#REF!</v>
      </c>
      <c r="Q271" s="46" t="e">
        <f t="shared" si="4"/>
        <v>#REF!</v>
      </c>
      <c r="R271" s="47" t="e">
        <f>IF(ISBLANK(Data!#REF!),"",Data!#REF!)</f>
        <v>#REF!</v>
      </c>
      <c r="S271" s="33" t="e">
        <f>IF(ISBLANK(Data!#REF!),"",Data!#REF!)</f>
        <v>#REF!</v>
      </c>
      <c r="T271" s="33" t="e">
        <f>IF(ISBLANK(Data!#REF!),"",Data!#REF!)</f>
        <v>#REF!</v>
      </c>
      <c r="U271" s="21" t="e">
        <f>IF(ISBLANK(Data!#REF!),"",Data!#REF!)</f>
        <v>#REF!</v>
      </c>
    </row>
    <row r="272" spans="1:21" x14ac:dyDescent="0.25">
      <c r="A272" s="33" t="e">
        <f>IF(ISBLANK(Data!#REF!),"",YEAR(Data!#REF!))</f>
        <v>#REF!</v>
      </c>
      <c r="B272" s="44" t="e">
        <f>IF(ISBLANK(Data!#REF!),"",Data!#REF!)</f>
        <v>#REF!</v>
      </c>
      <c r="C272" s="45" t="e">
        <f>IF(ISBLANK(Data!#REF!),"",Data!#REF!)</f>
        <v>#REF!</v>
      </c>
      <c r="D272" s="21" t="e">
        <f>IF(ISBLANK(Data!#REF!),"",Data!#REF!)</f>
        <v>#REF!</v>
      </c>
      <c r="E272" s="21" t="e">
        <f>IF(ISBLANK(Data!#REF!),"",Data!#REF!)</f>
        <v>#REF!</v>
      </c>
      <c r="F272" s="33" t="e">
        <f>IF(ISBLANK(Data!#REF!),"",Data!#REF!)</f>
        <v>#REF!</v>
      </c>
      <c r="G272" s="21" t="e">
        <f>IF(ISBLANK(Data!#REF!),"",Data!#REF!)</f>
        <v>#REF!</v>
      </c>
      <c r="H272" s="33" t="e">
        <f>IF(ISBLANK(Data!#REF!),"",Data!#REF!)</f>
        <v>#REF!</v>
      </c>
      <c r="I272" s="33" t="e">
        <f>IF(ISBLANK(Data!#REF!),"",Data!#REF!)</f>
        <v>#REF!</v>
      </c>
      <c r="J272" s="33" t="e">
        <f>IF(ISBLANK(Data!#REF!),"",Data!#REF!)</f>
        <v>#REF!</v>
      </c>
      <c r="K272" s="21" t="e">
        <f>IF(ISBLANK(Data!#REF!),"",Data!#REF!)</f>
        <v>#REF!</v>
      </c>
      <c r="L272" s="21" t="e">
        <f>IF(ISBLANK(Data!#REF!),"",Data!#REF!)</f>
        <v>#REF!</v>
      </c>
      <c r="N272" s="46" t="e">
        <f>IF(ISBLANK(Data!#REF!),"",Data!#REF!)</f>
        <v>#REF!</v>
      </c>
      <c r="O272" s="46" t="e">
        <f>IF(ISBLANK(Data!#REF!),"",Data!#REF!)</f>
        <v>#REF!</v>
      </c>
      <c r="P272" s="46" t="e">
        <f>IF(ISBLANK(Data!#REF!),"",Data!#REF!)</f>
        <v>#REF!</v>
      </c>
      <c r="Q272" s="46" t="e">
        <f t="shared" si="4"/>
        <v>#REF!</v>
      </c>
      <c r="R272" s="47" t="e">
        <f>IF(ISBLANK(Data!#REF!),"",Data!#REF!)</f>
        <v>#REF!</v>
      </c>
      <c r="S272" s="33" t="e">
        <f>IF(ISBLANK(Data!#REF!),"",Data!#REF!)</f>
        <v>#REF!</v>
      </c>
      <c r="T272" s="33" t="e">
        <f>IF(ISBLANK(Data!#REF!),"",Data!#REF!)</f>
        <v>#REF!</v>
      </c>
      <c r="U272" s="21" t="e">
        <f>IF(ISBLANK(Data!#REF!),"",Data!#REF!)</f>
        <v>#REF!</v>
      </c>
    </row>
    <row r="273" spans="1:21" x14ac:dyDescent="0.25">
      <c r="A273" s="33" t="e">
        <f>IF(ISBLANK(Data!#REF!),"",YEAR(Data!#REF!))</f>
        <v>#REF!</v>
      </c>
      <c r="B273" s="44" t="e">
        <f>IF(ISBLANK(Data!#REF!),"",Data!#REF!)</f>
        <v>#REF!</v>
      </c>
      <c r="C273" s="45" t="e">
        <f>IF(ISBLANK(Data!#REF!),"",Data!#REF!)</f>
        <v>#REF!</v>
      </c>
      <c r="D273" s="21" t="e">
        <f>IF(ISBLANK(Data!#REF!),"",Data!#REF!)</f>
        <v>#REF!</v>
      </c>
      <c r="E273" s="21" t="e">
        <f>IF(ISBLANK(Data!#REF!),"",Data!#REF!)</f>
        <v>#REF!</v>
      </c>
      <c r="F273" s="33" t="e">
        <f>IF(ISBLANK(Data!#REF!),"",Data!#REF!)</f>
        <v>#REF!</v>
      </c>
      <c r="G273" s="21" t="e">
        <f>IF(ISBLANK(Data!#REF!),"",Data!#REF!)</f>
        <v>#REF!</v>
      </c>
      <c r="H273" s="33" t="e">
        <f>IF(ISBLANK(Data!#REF!),"",Data!#REF!)</f>
        <v>#REF!</v>
      </c>
      <c r="I273" s="33" t="e">
        <f>IF(ISBLANK(Data!#REF!),"",Data!#REF!)</f>
        <v>#REF!</v>
      </c>
      <c r="J273" s="33" t="e">
        <f>IF(ISBLANK(Data!#REF!),"",Data!#REF!)</f>
        <v>#REF!</v>
      </c>
      <c r="K273" s="21" t="e">
        <f>IF(ISBLANK(Data!#REF!),"",Data!#REF!)</f>
        <v>#REF!</v>
      </c>
      <c r="L273" s="21" t="e">
        <f>IF(ISBLANK(Data!#REF!),"",Data!#REF!)</f>
        <v>#REF!</v>
      </c>
      <c r="N273" s="46" t="e">
        <f>IF(ISBLANK(Data!#REF!),"",Data!#REF!)</f>
        <v>#REF!</v>
      </c>
      <c r="O273" s="46" t="e">
        <f>IF(ISBLANK(Data!#REF!),"",Data!#REF!)</f>
        <v>#REF!</v>
      </c>
      <c r="P273" s="46" t="e">
        <f>IF(ISBLANK(Data!#REF!),"",Data!#REF!)</f>
        <v>#REF!</v>
      </c>
      <c r="Q273" s="46" t="e">
        <f t="shared" si="4"/>
        <v>#REF!</v>
      </c>
      <c r="R273" s="47" t="e">
        <f>IF(ISBLANK(Data!#REF!),"",Data!#REF!)</f>
        <v>#REF!</v>
      </c>
      <c r="S273" s="33" t="e">
        <f>IF(ISBLANK(Data!#REF!),"",Data!#REF!)</f>
        <v>#REF!</v>
      </c>
      <c r="T273" s="33" t="e">
        <f>IF(ISBLANK(Data!#REF!),"",Data!#REF!)</f>
        <v>#REF!</v>
      </c>
      <c r="U273" s="21" t="e">
        <f>IF(ISBLANK(Data!#REF!),"",Data!#REF!)</f>
        <v>#REF!</v>
      </c>
    </row>
    <row r="274" spans="1:21" x14ac:dyDescent="0.25">
      <c r="A274" s="33" t="e">
        <f>IF(ISBLANK(Data!#REF!),"",YEAR(Data!#REF!))</f>
        <v>#REF!</v>
      </c>
      <c r="B274" s="44" t="e">
        <f>IF(ISBLANK(Data!#REF!),"",Data!#REF!)</f>
        <v>#REF!</v>
      </c>
      <c r="C274" s="45" t="e">
        <f>IF(ISBLANK(Data!#REF!),"",Data!#REF!)</f>
        <v>#REF!</v>
      </c>
      <c r="D274" s="21" t="e">
        <f>IF(ISBLANK(Data!#REF!),"",Data!#REF!)</f>
        <v>#REF!</v>
      </c>
      <c r="E274" s="21" t="e">
        <f>IF(ISBLANK(Data!#REF!),"",Data!#REF!)</f>
        <v>#REF!</v>
      </c>
      <c r="F274" s="33" t="e">
        <f>IF(ISBLANK(Data!#REF!),"",Data!#REF!)</f>
        <v>#REF!</v>
      </c>
      <c r="G274" s="21" t="e">
        <f>IF(ISBLANK(Data!#REF!),"",Data!#REF!)</f>
        <v>#REF!</v>
      </c>
      <c r="H274" s="33" t="e">
        <f>IF(ISBLANK(Data!#REF!),"",Data!#REF!)</f>
        <v>#REF!</v>
      </c>
      <c r="I274" s="33" t="e">
        <f>IF(ISBLANK(Data!#REF!),"",Data!#REF!)</f>
        <v>#REF!</v>
      </c>
      <c r="J274" s="33" t="e">
        <f>IF(ISBLANK(Data!#REF!),"",Data!#REF!)</f>
        <v>#REF!</v>
      </c>
      <c r="K274" s="21" t="e">
        <f>IF(ISBLANK(Data!#REF!),"",Data!#REF!)</f>
        <v>#REF!</v>
      </c>
      <c r="L274" s="21" t="e">
        <f>IF(ISBLANK(Data!#REF!),"",Data!#REF!)</f>
        <v>#REF!</v>
      </c>
      <c r="N274" s="46" t="e">
        <f>IF(ISBLANK(Data!#REF!),"",Data!#REF!)</f>
        <v>#REF!</v>
      </c>
      <c r="O274" s="46" t="e">
        <f>IF(ISBLANK(Data!#REF!),"",Data!#REF!)</f>
        <v>#REF!</v>
      </c>
      <c r="P274" s="46" t="e">
        <f>IF(ISBLANK(Data!#REF!),"",Data!#REF!)</f>
        <v>#REF!</v>
      </c>
      <c r="Q274" s="46" t="e">
        <f t="shared" si="4"/>
        <v>#REF!</v>
      </c>
      <c r="R274" s="47" t="e">
        <f>IF(ISBLANK(Data!#REF!),"",Data!#REF!)</f>
        <v>#REF!</v>
      </c>
      <c r="S274" s="33" t="e">
        <f>IF(ISBLANK(Data!#REF!),"",Data!#REF!)</f>
        <v>#REF!</v>
      </c>
      <c r="T274" s="33" t="e">
        <f>IF(ISBLANK(Data!#REF!),"",Data!#REF!)</f>
        <v>#REF!</v>
      </c>
      <c r="U274" s="21" t="e">
        <f>IF(ISBLANK(Data!#REF!),"",Data!#REF!)</f>
        <v>#REF!</v>
      </c>
    </row>
    <row r="275" spans="1:21" x14ac:dyDescent="0.25">
      <c r="A275" s="33" t="e">
        <f>IF(ISBLANK(Data!#REF!),"",YEAR(Data!#REF!))</f>
        <v>#REF!</v>
      </c>
      <c r="B275" s="44" t="e">
        <f>IF(ISBLANK(Data!#REF!),"",Data!#REF!)</f>
        <v>#REF!</v>
      </c>
      <c r="C275" s="45" t="e">
        <f>IF(ISBLANK(Data!#REF!),"",Data!#REF!)</f>
        <v>#REF!</v>
      </c>
      <c r="D275" s="21" t="e">
        <f>IF(ISBLANK(Data!#REF!),"",Data!#REF!)</f>
        <v>#REF!</v>
      </c>
      <c r="E275" s="21" t="e">
        <f>IF(ISBLANK(Data!#REF!),"",Data!#REF!)</f>
        <v>#REF!</v>
      </c>
      <c r="F275" s="33" t="e">
        <f>IF(ISBLANK(Data!#REF!),"",Data!#REF!)</f>
        <v>#REF!</v>
      </c>
      <c r="G275" s="21" t="e">
        <f>IF(ISBLANK(Data!#REF!),"",Data!#REF!)</f>
        <v>#REF!</v>
      </c>
      <c r="H275" s="33" t="e">
        <f>IF(ISBLANK(Data!#REF!),"",Data!#REF!)</f>
        <v>#REF!</v>
      </c>
      <c r="I275" s="33" t="e">
        <f>IF(ISBLANK(Data!#REF!),"",Data!#REF!)</f>
        <v>#REF!</v>
      </c>
      <c r="J275" s="33" t="e">
        <f>IF(ISBLANK(Data!#REF!),"",Data!#REF!)</f>
        <v>#REF!</v>
      </c>
      <c r="K275" s="21" t="e">
        <f>IF(ISBLANK(Data!#REF!),"",Data!#REF!)</f>
        <v>#REF!</v>
      </c>
      <c r="L275" s="21" t="e">
        <f>IF(ISBLANK(Data!#REF!),"",Data!#REF!)</f>
        <v>#REF!</v>
      </c>
      <c r="N275" s="46" t="e">
        <f>IF(ISBLANK(Data!#REF!),"",Data!#REF!)</f>
        <v>#REF!</v>
      </c>
      <c r="O275" s="46" t="e">
        <f>IF(ISBLANK(Data!#REF!),"",Data!#REF!)</f>
        <v>#REF!</v>
      </c>
      <c r="P275" s="46" t="e">
        <f>IF(ISBLANK(Data!#REF!),"",Data!#REF!)</f>
        <v>#REF!</v>
      </c>
      <c r="Q275" s="46" t="e">
        <f t="shared" si="4"/>
        <v>#REF!</v>
      </c>
      <c r="R275" s="47" t="e">
        <f>IF(ISBLANK(Data!#REF!),"",Data!#REF!)</f>
        <v>#REF!</v>
      </c>
      <c r="S275" s="33" t="e">
        <f>IF(ISBLANK(Data!#REF!),"",Data!#REF!)</f>
        <v>#REF!</v>
      </c>
      <c r="T275" s="33" t="e">
        <f>IF(ISBLANK(Data!#REF!),"",Data!#REF!)</f>
        <v>#REF!</v>
      </c>
      <c r="U275" s="21" t="e">
        <f>IF(ISBLANK(Data!#REF!),"",Data!#REF!)</f>
        <v>#REF!</v>
      </c>
    </row>
    <row r="276" spans="1:21" x14ac:dyDescent="0.25">
      <c r="A276" s="33" t="e">
        <f>IF(ISBLANK(Data!#REF!),"",YEAR(Data!#REF!))</f>
        <v>#REF!</v>
      </c>
      <c r="B276" s="44" t="e">
        <f>IF(ISBLANK(Data!#REF!),"",Data!#REF!)</f>
        <v>#REF!</v>
      </c>
      <c r="C276" s="45" t="e">
        <f>IF(ISBLANK(Data!#REF!),"",Data!#REF!)</f>
        <v>#REF!</v>
      </c>
      <c r="D276" s="21" t="e">
        <f>IF(ISBLANK(Data!#REF!),"",Data!#REF!)</f>
        <v>#REF!</v>
      </c>
      <c r="E276" s="21" t="e">
        <f>IF(ISBLANK(Data!#REF!),"",Data!#REF!)</f>
        <v>#REF!</v>
      </c>
      <c r="F276" s="33" t="e">
        <f>IF(ISBLANK(Data!#REF!),"",Data!#REF!)</f>
        <v>#REF!</v>
      </c>
      <c r="G276" s="21" t="e">
        <f>IF(ISBLANK(Data!#REF!),"",Data!#REF!)</f>
        <v>#REF!</v>
      </c>
      <c r="H276" s="33" t="e">
        <f>IF(ISBLANK(Data!#REF!),"",Data!#REF!)</f>
        <v>#REF!</v>
      </c>
      <c r="I276" s="33" t="e">
        <f>IF(ISBLANK(Data!#REF!),"",Data!#REF!)</f>
        <v>#REF!</v>
      </c>
      <c r="J276" s="33" t="e">
        <f>IF(ISBLANK(Data!#REF!),"",Data!#REF!)</f>
        <v>#REF!</v>
      </c>
      <c r="K276" s="21" t="e">
        <f>IF(ISBLANK(Data!#REF!),"",Data!#REF!)</f>
        <v>#REF!</v>
      </c>
      <c r="L276" s="21" t="e">
        <f>IF(ISBLANK(Data!#REF!),"",Data!#REF!)</f>
        <v>#REF!</v>
      </c>
      <c r="N276" s="46" t="e">
        <f>IF(ISBLANK(Data!#REF!),"",Data!#REF!)</f>
        <v>#REF!</v>
      </c>
      <c r="O276" s="46" t="e">
        <f>IF(ISBLANK(Data!#REF!),"",Data!#REF!)</f>
        <v>#REF!</v>
      </c>
      <c r="P276" s="46" t="e">
        <f>IF(ISBLANK(Data!#REF!),"",Data!#REF!)</f>
        <v>#REF!</v>
      </c>
      <c r="Q276" s="46" t="e">
        <f t="shared" si="4"/>
        <v>#REF!</v>
      </c>
      <c r="R276" s="47" t="e">
        <f>IF(ISBLANK(Data!#REF!),"",Data!#REF!)</f>
        <v>#REF!</v>
      </c>
      <c r="S276" s="33" t="e">
        <f>IF(ISBLANK(Data!#REF!),"",Data!#REF!)</f>
        <v>#REF!</v>
      </c>
      <c r="T276" s="33" t="e">
        <f>IF(ISBLANK(Data!#REF!),"",Data!#REF!)</f>
        <v>#REF!</v>
      </c>
      <c r="U276" s="21" t="e">
        <f>IF(ISBLANK(Data!#REF!),"",Data!#REF!)</f>
        <v>#REF!</v>
      </c>
    </row>
    <row r="277" spans="1:21" x14ac:dyDescent="0.25">
      <c r="A277" s="33" t="e">
        <f>IF(ISBLANK(Data!#REF!),"",YEAR(Data!#REF!))</f>
        <v>#REF!</v>
      </c>
      <c r="B277" s="44" t="e">
        <f>IF(ISBLANK(Data!#REF!),"",Data!#REF!)</f>
        <v>#REF!</v>
      </c>
      <c r="C277" s="45" t="e">
        <f>IF(ISBLANK(Data!#REF!),"",Data!#REF!)</f>
        <v>#REF!</v>
      </c>
      <c r="D277" s="21" t="e">
        <f>IF(ISBLANK(Data!#REF!),"",Data!#REF!)</f>
        <v>#REF!</v>
      </c>
      <c r="E277" s="21" t="e">
        <f>IF(ISBLANK(Data!#REF!),"",Data!#REF!)</f>
        <v>#REF!</v>
      </c>
      <c r="F277" s="33" t="e">
        <f>IF(ISBLANK(Data!#REF!),"",Data!#REF!)</f>
        <v>#REF!</v>
      </c>
      <c r="G277" s="21" t="e">
        <f>IF(ISBLANK(Data!#REF!),"",Data!#REF!)</f>
        <v>#REF!</v>
      </c>
      <c r="H277" s="33" t="e">
        <f>IF(ISBLANK(Data!#REF!),"",Data!#REF!)</f>
        <v>#REF!</v>
      </c>
      <c r="I277" s="33" t="e">
        <f>IF(ISBLANK(Data!#REF!),"",Data!#REF!)</f>
        <v>#REF!</v>
      </c>
      <c r="J277" s="33" t="e">
        <f>IF(ISBLANK(Data!#REF!),"",Data!#REF!)</f>
        <v>#REF!</v>
      </c>
      <c r="K277" s="21" t="e">
        <f>IF(ISBLANK(Data!#REF!),"",Data!#REF!)</f>
        <v>#REF!</v>
      </c>
      <c r="L277" s="21" t="e">
        <f>IF(ISBLANK(Data!#REF!),"",Data!#REF!)</f>
        <v>#REF!</v>
      </c>
      <c r="N277" s="46" t="e">
        <f>IF(ISBLANK(Data!#REF!),"",Data!#REF!)</f>
        <v>#REF!</v>
      </c>
      <c r="O277" s="46" t="e">
        <f>IF(ISBLANK(Data!#REF!),"",Data!#REF!)</f>
        <v>#REF!</v>
      </c>
      <c r="P277" s="46" t="e">
        <f>IF(ISBLANK(Data!#REF!),"",Data!#REF!)</f>
        <v>#REF!</v>
      </c>
      <c r="Q277" s="46" t="e">
        <f t="shared" si="4"/>
        <v>#REF!</v>
      </c>
      <c r="R277" s="47" t="e">
        <f>IF(ISBLANK(Data!#REF!),"",Data!#REF!)</f>
        <v>#REF!</v>
      </c>
      <c r="S277" s="33" t="e">
        <f>IF(ISBLANK(Data!#REF!),"",Data!#REF!)</f>
        <v>#REF!</v>
      </c>
      <c r="T277" s="33" t="e">
        <f>IF(ISBLANK(Data!#REF!),"",Data!#REF!)</f>
        <v>#REF!</v>
      </c>
      <c r="U277" s="21" t="e">
        <f>IF(ISBLANK(Data!#REF!),"",Data!#REF!)</f>
        <v>#REF!</v>
      </c>
    </row>
    <row r="278" spans="1:21" x14ac:dyDescent="0.25">
      <c r="Q278" s="46"/>
    </row>
    <row r="279" spans="1:21" x14ac:dyDescent="0.25">
      <c r="Q279" s="46"/>
    </row>
    <row r="280" spans="1:21" x14ac:dyDescent="0.25">
      <c r="Q280" s="46"/>
    </row>
    <row r="281" spans="1:21" x14ac:dyDescent="0.25">
      <c r="Q281" s="46"/>
    </row>
    <row r="282" spans="1:21" x14ac:dyDescent="0.25">
      <c r="Q282" s="46"/>
    </row>
    <row r="283" spans="1:21" x14ac:dyDescent="0.25">
      <c r="Q283" s="46"/>
    </row>
    <row r="284" spans="1:21" x14ac:dyDescent="0.25">
      <c r="Q284" s="46"/>
    </row>
    <row r="285" spans="1:21" x14ac:dyDescent="0.25">
      <c r="Q285" s="46"/>
    </row>
    <row r="286" spans="1:21" x14ac:dyDescent="0.25">
      <c r="Q286" s="46"/>
    </row>
    <row r="287" spans="1:21" x14ac:dyDescent="0.25">
      <c r="Q287" s="46"/>
    </row>
    <row r="288" spans="1:21" x14ac:dyDescent="0.25">
      <c r="Q288" s="46"/>
    </row>
    <row r="289" spans="17:17" x14ac:dyDescent="0.25">
      <c r="Q289" s="46"/>
    </row>
    <row r="290" spans="17:17" x14ac:dyDescent="0.25">
      <c r="Q290" s="46"/>
    </row>
    <row r="291" spans="17:17" x14ac:dyDescent="0.25">
      <c r="Q291" s="46"/>
    </row>
    <row r="292" spans="17:17" x14ac:dyDescent="0.25">
      <c r="Q292" s="46"/>
    </row>
    <row r="293" spans="17:17" x14ac:dyDescent="0.25">
      <c r="Q293" s="46"/>
    </row>
    <row r="294" spans="17:17" x14ac:dyDescent="0.25">
      <c r="Q294" s="46"/>
    </row>
    <row r="295" spans="17:17" x14ac:dyDescent="0.25">
      <c r="Q295" s="46"/>
    </row>
    <row r="296" spans="17:17" x14ac:dyDescent="0.25">
      <c r="Q296" s="46"/>
    </row>
    <row r="297" spans="17:17" x14ac:dyDescent="0.25">
      <c r="Q297" s="46"/>
    </row>
    <row r="298" spans="17:17" x14ac:dyDescent="0.25">
      <c r="Q298" s="46"/>
    </row>
    <row r="299" spans="17:17" x14ac:dyDescent="0.25">
      <c r="Q299" s="46"/>
    </row>
    <row r="300" spans="17:17" x14ac:dyDescent="0.25">
      <c r="Q300" s="46"/>
    </row>
    <row r="301" spans="17:17" x14ac:dyDescent="0.25">
      <c r="Q301" s="46"/>
    </row>
    <row r="302" spans="17:17" x14ac:dyDescent="0.25">
      <c r="Q302" s="46"/>
    </row>
    <row r="303" spans="17:17" x14ac:dyDescent="0.25">
      <c r="Q303" s="46"/>
    </row>
    <row r="304" spans="17:17" x14ac:dyDescent="0.25">
      <c r="Q304" s="46"/>
    </row>
    <row r="305" spans="17:17" x14ac:dyDescent="0.25">
      <c r="Q305" s="46"/>
    </row>
    <row r="306" spans="17:17" x14ac:dyDescent="0.25">
      <c r="Q306" s="46"/>
    </row>
    <row r="307" spans="17:17" x14ac:dyDescent="0.25">
      <c r="Q307" s="46"/>
    </row>
    <row r="308" spans="17:17" x14ac:dyDescent="0.25">
      <c r="Q308" s="46"/>
    </row>
    <row r="309" spans="17:17" x14ac:dyDescent="0.25">
      <c r="Q309" s="46"/>
    </row>
    <row r="310" spans="17:17" x14ac:dyDescent="0.25">
      <c r="Q310" s="46"/>
    </row>
    <row r="311" spans="17:17" x14ac:dyDescent="0.25">
      <c r="Q311" s="46"/>
    </row>
    <row r="312" spans="17:17" x14ac:dyDescent="0.25">
      <c r="Q312" s="46"/>
    </row>
    <row r="313" spans="17:17" x14ac:dyDescent="0.25">
      <c r="Q313" s="46"/>
    </row>
    <row r="314" spans="17:17" x14ac:dyDescent="0.25">
      <c r="Q314" s="46"/>
    </row>
    <row r="315" spans="17:17" x14ac:dyDescent="0.25">
      <c r="Q315" s="46"/>
    </row>
    <row r="316" spans="17:17" x14ac:dyDescent="0.25">
      <c r="Q316" s="46"/>
    </row>
    <row r="317" spans="17:17" x14ac:dyDescent="0.25">
      <c r="Q317" s="46"/>
    </row>
    <row r="318" spans="17:17" x14ac:dyDescent="0.25">
      <c r="Q318" s="46"/>
    </row>
    <row r="319" spans="17:17" x14ac:dyDescent="0.25">
      <c r="Q319" s="46"/>
    </row>
    <row r="320" spans="17:17" x14ac:dyDescent="0.25">
      <c r="Q320" s="46"/>
    </row>
    <row r="321" spans="17:17" x14ac:dyDescent="0.25">
      <c r="Q321" s="46"/>
    </row>
    <row r="322" spans="17:17" x14ac:dyDescent="0.25">
      <c r="Q322" s="46"/>
    </row>
    <row r="323" spans="17:17" x14ac:dyDescent="0.25">
      <c r="Q323" s="46"/>
    </row>
    <row r="324" spans="17:17" x14ac:dyDescent="0.25">
      <c r="Q324" s="46"/>
    </row>
    <row r="325" spans="17:17" x14ac:dyDescent="0.25">
      <c r="Q325" s="46"/>
    </row>
    <row r="326" spans="17:17" x14ac:dyDescent="0.25">
      <c r="Q326" s="46"/>
    </row>
    <row r="327" spans="17:17" x14ac:dyDescent="0.25">
      <c r="Q327" s="46"/>
    </row>
    <row r="328" spans="17:17" x14ac:dyDescent="0.25">
      <c r="Q328" s="46"/>
    </row>
    <row r="329" spans="17:17" x14ac:dyDescent="0.25">
      <c r="Q329" s="46"/>
    </row>
    <row r="330" spans="17:17" x14ac:dyDescent="0.25">
      <c r="Q330" s="46"/>
    </row>
    <row r="331" spans="17:17" x14ac:dyDescent="0.25">
      <c r="Q331" s="46"/>
    </row>
    <row r="332" spans="17:17" x14ac:dyDescent="0.25">
      <c r="Q332" s="46"/>
    </row>
    <row r="333" spans="17:17" x14ac:dyDescent="0.25">
      <c r="Q333" s="46"/>
    </row>
    <row r="334" spans="17:17" x14ac:dyDescent="0.25">
      <c r="Q334" s="46"/>
    </row>
    <row r="335" spans="17:17" x14ac:dyDescent="0.25">
      <c r="Q335" s="46"/>
    </row>
    <row r="336" spans="17:17" x14ac:dyDescent="0.25">
      <c r="Q336" s="46"/>
    </row>
    <row r="337" spans="17:17" x14ac:dyDescent="0.25">
      <c r="Q337" s="46"/>
    </row>
    <row r="338" spans="17:17" x14ac:dyDescent="0.25">
      <c r="Q338" s="46"/>
    </row>
    <row r="339" spans="17:17" x14ac:dyDescent="0.25">
      <c r="Q339" s="46"/>
    </row>
    <row r="340" spans="17:17" x14ac:dyDescent="0.25">
      <c r="Q340" s="46"/>
    </row>
    <row r="341" spans="17:17" x14ac:dyDescent="0.25">
      <c r="Q341" s="46"/>
    </row>
    <row r="342" spans="17:17" x14ac:dyDescent="0.25">
      <c r="Q342" s="46"/>
    </row>
    <row r="343" spans="17:17" x14ac:dyDescent="0.25">
      <c r="Q343" s="46"/>
    </row>
    <row r="344" spans="17:17" x14ac:dyDescent="0.25">
      <c r="Q344" s="46"/>
    </row>
    <row r="345" spans="17:17" x14ac:dyDescent="0.25">
      <c r="Q345" s="46"/>
    </row>
    <row r="346" spans="17:17" x14ac:dyDescent="0.25">
      <c r="Q346" s="46"/>
    </row>
    <row r="347" spans="17:17" x14ac:dyDescent="0.25">
      <c r="Q347" s="46"/>
    </row>
    <row r="348" spans="17:17" x14ac:dyDescent="0.25">
      <c r="Q348" s="46"/>
    </row>
    <row r="349" spans="17:17" x14ac:dyDescent="0.25">
      <c r="Q349" s="46"/>
    </row>
    <row r="350" spans="17:17" x14ac:dyDescent="0.25">
      <c r="Q350" s="46"/>
    </row>
    <row r="351" spans="17:17" x14ac:dyDescent="0.25">
      <c r="Q351" s="46"/>
    </row>
    <row r="352" spans="17:17" x14ac:dyDescent="0.25">
      <c r="Q352" s="46"/>
    </row>
    <row r="353" spans="17:17" x14ac:dyDescent="0.25">
      <c r="Q353" s="46"/>
    </row>
    <row r="354" spans="17:17" x14ac:dyDescent="0.25">
      <c r="Q354" s="46"/>
    </row>
    <row r="355" spans="17:17" x14ac:dyDescent="0.25">
      <c r="Q355" s="46"/>
    </row>
    <row r="356" spans="17:17" x14ac:dyDescent="0.25">
      <c r="Q356" s="46"/>
    </row>
    <row r="357" spans="17:17" x14ac:dyDescent="0.25">
      <c r="Q357" s="46"/>
    </row>
    <row r="358" spans="17:17" x14ac:dyDescent="0.25">
      <c r="Q358" s="46"/>
    </row>
    <row r="359" spans="17:17" x14ac:dyDescent="0.25">
      <c r="Q359" s="46"/>
    </row>
    <row r="360" spans="17:17" x14ac:dyDescent="0.25">
      <c r="Q360" s="46"/>
    </row>
    <row r="361" spans="17:17" x14ac:dyDescent="0.25">
      <c r="Q361" s="46"/>
    </row>
    <row r="362" spans="17:17" x14ac:dyDescent="0.25">
      <c r="Q362" s="46"/>
    </row>
    <row r="363" spans="17:17" x14ac:dyDescent="0.25">
      <c r="Q363" s="46"/>
    </row>
    <row r="364" spans="17:17" x14ac:dyDescent="0.25">
      <c r="Q364" s="46"/>
    </row>
    <row r="365" spans="17:17" x14ac:dyDescent="0.25">
      <c r="Q365" s="46"/>
    </row>
    <row r="366" spans="17:17" x14ac:dyDescent="0.25">
      <c r="Q366" s="46"/>
    </row>
    <row r="367" spans="17:17" x14ac:dyDescent="0.25">
      <c r="Q367" s="46"/>
    </row>
    <row r="368" spans="17:17" x14ac:dyDescent="0.25">
      <c r="Q368" s="46"/>
    </row>
    <row r="369" spans="17:17" x14ac:dyDescent="0.25">
      <c r="Q369" s="46"/>
    </row>
    <row r="370" spans="17:17" x14ac:dyDescent="0.25">
      <c r="Q370" s="46"/>
    </row>
    <row r="371" spans="17:17" x14ac:dyDescent="0.25">
      <c r="Q371" s="46"/>
    </row>
    <row r="372" spans="17:17" x14ac:dyDescent="0.25">
      <c r="Q372" s="46"/>
    </row>
    <row r="373" spans="17:17" x14ac:dyDescent="0.25">
      <c r="Q373" s="46"/>
    </row>
    <row r="374" spans="17:17" x14ac:dyDescent="0.25">
      <c r="Q374" s="46"/>
    </row>
    <row r="375" spans="17:17" x14ac:dyDescent="0.25">
      <c r="Q375" s="46"/>
    </row>
    <row r="376" spans="17:17" x14ac:dyDescent="0.25">
      <c r="Q376" s="46"/>
    </row>
    <row r="377" spans="17:17" x14ac:dyDescent="0.25">
      <c r="Q377" s="46"/>
    </row>
    <row r="378" spans="17:17" x14ac:dyDescent="0.25">
      <c r="Q378" s="46"/>
    </row>
    <row r="379" spans="17:17" x14ac:dyDescent="0.25">
      <c r="Q379" s="46"/>
    </row>
    <row r="380" spans="17:17" x14ac:dyDescent="0.25">
      <c r="Q380" s="46"/>
    </row>
    <row r="381" spans="17:17" x14ac:dyDescent="0.25">
      <c r="Q381" s="46"/>
    </row>
    <row r="382" spans="17:17" x14ac:dyDescent="0.25">
      <c r="Q382" s="46"/>
    </row>
    <row r="383" spans="17:17" x14ac:dyDescent="0.25">
      <c r="Q383" s="46"/>
    </row>
    <row r="384" spans="17:17" x14ac:dyDescent="0.25">
      <c r="Q384" s="46"/>
    </row>
    <row r="385" spans="17:17" x14ac:dyDescent="0.25">
      <c r="Q385" s="46"/>
    </row>
    <row r="386" spans="17:17" x14ac:dyDescent="0.25">
      <c r="Q386" s="46"/>
    </row>
    <row r="387" spans="17:17" x14ac:dyDescent="0.25">
      <c r="Q387" s="46"/>
    </row>
    <row r="388" spans="17:17" x14ac:dyDescent="0.25">
      <c r="Q388" s="46"/>
    </row>
    <row r="389" spans="17:17" x14ac:dyDescent="0.25">
      <c r="Q389" s="46"/>
    </row>
    <row r="390" spans="17:17" x14ac:dyDescent="0.25">
      <c r="Q390" s="46"/>
    </row>
    <row r="391" spans="17:17" x14ac:dyDescent="0.25">
      <c r="Q391" s="46"/>
    </row>
    <row r="392" spans="17:17" x14ac:dyDescent="0.25">
      <c r="Q392" s="46"/>
    </row>
    <row r="393" spans="17:17" x14ac:dyDescent="0.25">
      <c r="Q393" s="46"/>
    </row>
    <row r="394" spans="17:17" x14ac:dyDescent="0.25">
      <c r="Q394" s="46"/>
    </row>
    <row r="395" spans="17:17" x14ac:dyDescent="0.25">
      <c r="Q395" s="46"/>
    </row>
    <row r="396" spans="17:17" x14ac:dyDescent="0.25">
      <c r="Q396" s="46"/>
    </row>
    <row r="397" spans="17:17" x14ac:dyDescent="0.25">
      <c r="Q397" s="46"/>
    </row>
    <row r="398" spans="17:17" x14ac:dyDescent="0.25">
      <c r="Q398" s="46"/>
    </row>
    <row r="399" spans="17:17" x14ac:dyDescent="0.25">
      <c r="Q399" s="46"/>
    </row>
    <row r="400" spans="17:17" x14ac:dyDescent="0.25">
      <c r="Q400" s="46"/>
    </row>
    <row r="401" spans="17:17" x14ac:dyDescent="0.25">
      <c r="Q401" s="46"/>
    </row>
    <row r="402" spans="17:17" x14ac:dyDescent="0.25">
      <c r="Q402" s="46"/>
    </row>
    <row r="403" spans="17:17" x14ac:dyDescent="0.25">
      <c r="Q403" s="46"/>
    </row>
    <row r="404" spans="17:17" x14ac:dyDescent="0.25">
      <c r="Q404" s="46"/>
    </row>
    <row r="405" spans="17:17" x14ac:dyDescent="0.25">
      <c r="Q405" s="46"/>
    </row>
    <row r="406" spans="17:17" x14ac:dyDescent="0.25">
      <c r="Q406" s="46"/>
    </row>
    <row r="407" spans="17:17" x14ac:dyDescent="0.25">
      <c r="Q407" s="46"/>
    </row>
    <row r="408" spans="17:17" x14ac:dyDescent="0.25">
      <c r="Q408" s="46"/>
    </row>
    <row r="409" spans="17:17" x14ac:dyDescent="0.25">
      <c r="Q409" s="46"/>
    </row>
    <row r="410" spans="17:17" x14ac:dyDescent="0.25">
      <c r="Q410" s="46"/>
    </row>
    <row r="411" spans="17:17" x14ac:dyDescent="0.25">
      <c r="Q411" s="46"/>
    </row>
    <row r="412" spans="17:17" x14ac:dyDescent="0.25">
      <c r="Q412" s="46"/>
    </row>
    <row r="413" spans="17:17" x14ac:dyDescent="0.25">
      <c r="Q413" s="46"/>
    </row>
    <row r="414" spans="17:17" x14ac:dyDescent="0.25">
      <c r="Q414" s="46"/>
    </row>
    <row r="415" spans="17:17" x14ac:dyDescent="0.25">
      <c r="Q415" s="46"/>
    </row>
    <row r="416" spans="17:17" x14ac:dyDescent="0.25">
      <c r="Q416" s="46"/>
    </row>
    <row r="417" spans="17:17" x14ac:dyDescent="0.25">
      <c r="Q417" s="46"/>
    </row>
    <row r="418" spans="17:17" x14ac:dyDescent="0.25">
      <c r="Q418" s="46"/>
    </row>
    <row r="419" spans="17:17" x14ac:dyDescent="0.25">
      <c r="Q419" s="46"/>
    </row>
    <row r="420" spans="17:17" x14ac:dyDescent="0.25">
      <c r="Q420" s="46"/>
    </row>
    <row r="421" spans="17:17" x14ac:dyDescent="0.25">
      <c r="Q421" s="46"/>
    </row>
    <row r="422" spans="17:17" x14ac:dyDescent="0.25">
      <c r="Q422" s="46"/>
    </row>
    <row r="423" spans="17:17" x14ac:dyDescent="0.25">
      <c r="Q423" s="46"/>
    </row>
    <row r="424" spans="17:17" x14ac:dyDescent="0.25">
      <c r="Q424" s="46"/>
    </row>
    <row r="425" spans="17:17" x14ac:dyDescent="0.25">
      <c r="Q425" s="46"/>
    </row>
    <row r="426" spans="17:17" x14ac:dyDescent="0.25">
      <c r="Q426" s="46"/>
    </row>
    <row r="427" spans="17:17" x14ac:dyDescent="0.25">
      <c r="Q427" s="46"/>
    </row>
    <row r="428" spans="17:17" x14ac:dyDescent="0.25">
      <c r="Q428" s="46"/>
    </row>
    <row r="429" spans="17:17" x14ac:dyDescent="0.25">
      <c r="Q429" s="46"/>
    </row>
    <row r="430" spans="17:17" x14ac:dyDescent="0.25">
      <c r="Q430" s="46"/>
    </row>
    <row r="431" spans="17:17" x14ac:dyDescent="0.25">
      <c r="Q431" s="46"/>
    </row>
    <row r="432" spans="17:17" x14ac:dyDescent="0.25">
      <c r="Q432" s="46"/>
    </row>
    <row r="433" spans="17:17" x14ac:dyDescent="0.25">
      <c r="Q433" s="46"/>
    </row>
    <row r="434" spans="17:17" x14ac:dyDescent="0.25">
      <c r="Q434" s="46"/>
    </row>
    <row r="435" spans="17:17" x14ac:dyDescent="0.25">
      <c r="Q435" s="46"/>
    </row>
    <row r="436" spans="17:17" x14ac:dyDescent="0.25">
      <c r="Q436" s="46"/>
    </row>
    <row r="437" spans="17:17" x14ac:dyDescent="0.25">
      <c r="Q437" s="46"/>
    </row>
    <row r="438" spans="17:17" x14ac:dyDescent="0.25">
      <c r="Q438" s="46"/>
    </row>
    <row r="439" spans="17:17" x14ac:dyDescent="0.25">
      <c r="Q439" s="46"/>
    </row>
    <row r="440" spans="17:17" x14ac:dyDescent="0.25">
      <c r="Q440" s="46"/>
    </row>
    <row r="441" spans="17:17" x14ac:dyDescent="0.25">
      <c r="Q441" s="46"/>
    </row>
    <row r="442" spans="17:17" x14ac:dyDescent="0.25">
      <c r="Q442" s="46"/>
    </row>
    <row r="443" spans="17:17" x14ac:dyDescent="0.25">
      <c r="Q443" s="46"/>
    </row>
    <row r="444" spans="17:17" x14ac:dyDescent="0.25">
      <c r="Q444" s="46"/>
    </row>
    <row r="445" spans="17:17" x14ac:dyDescent="0.25">
      <c r="Q445" s="46"/>
    </row>
    <row r="446" spans="17:17" x14ac:dyDescent="0.25">
      <c r="Q446" s="46"/>
    </row>
    <row r="447" spans="17:17" x14ac:dyDescent="0.25">
      <c r="Q447" s="46"/>
    </row>
    <row r="448" spans="17:17" x14ac:dyDescent="0.25">
      <c r="Q448" s="46"/>
    </row>
    <row r="449" spans="17:17" x14ac:dyDescent="0.25">
      <c r="Q449" s="46"/>
    </row>
    <row r="450" spans="17:17" x14ac:dyDescent="0.25">
      <c r="Q450" s="46"/>
    </row>
    <row r="451" spans="17:17" x14ac:dyDescent="0.25">
      <c r="Q451" s="46"/>
    </row>
    <row r="452" spans="17:17" x14ac:dyDescent="0.25">
      <c r="Q452" s="46"/>
    </row>
    <row r="453" spans="17:17" x14ac:dyDescent="0.25">
      <c r="Q453" s="46"/>
    </row>
    <row r="454" spans="17:17" x14ac:dyDescent="0.25">
      <c r="Q454" s="46"/>
    </row>
    <row r="455" spans="17:17" x14ac:dyDescent="0.25">
      <c r="Q455" s="46"/>
    </row>
    <row r="456" spans="17:17" x14ac:dyDescent="0.25">
      <c r="Q456" s="46"/>
    </row>
    <row r="457" spans="17:17" x14ac:dyDescent="0.25">
      <c r="Q457" s="46"/>
    </row>
    <row r="458" spans="17:17" x14ac:dyDescent="0.25">
      <c r="Q458" s="46"/>
    </row>
    <row r="459" spans="17:17" x14ac:dyDescent="0.25">
      <c r="Q459" s="46"/>
    </row>
    <row r="460" spans="17:17" x14ac:dyDescent="0.25">
      <c r="Q460" s="46"/>
    </row>
    <row r="461" spans="17:17" x14ac:dyDescent="0.25">
      <c r="Q461" s="46"/>
    </row>
    <row r="462" spans="17:17" x14ac:dyDescent="0.25">
      <c r="Q462" s="46"/>
    </row>
    <row r="463" spans="17:17" x14ac:dyDescent="0.25">
      <c r="Q463" s="46"/>
    </row>
    <row r="464" spans="17:17" x14ac:dyDescent="0.25">
      <c r="Q464" s="46"/>
    </row>
    <row r="465" spans="17:17" x14ac:dyDescent="0.25">
      <c r="Q465" s="46"/>
    </row>
    <row r="466" spans="17:17" x14ac:dyDescent="0.25">
      <c r="Q466" s="46"/>
    </row>
    <row r="467" spans="17:17" x14ac:dyDescent="0.25">
      <c r="Q467" s="46"/>
    </row>
    <row r="468" spans="17:17" x14ac:dyDescent="0.25">
      <c r="Q468" s="46"/>
    </row>
    <row r="469" spans="17:17" x14ac:dyDescent="0.25">
      <c r="Q469" s="46"/>
    </row>
    <row r="470" spans="17:17" x14ac:dyDescent="0.25">
      <c r="Q470" s="46"/>
    </row>
    <row r="471" spans="17:17" x14ac:dyDescent="0.25">
      <c r="Q471" s="46"/>
    </row>
    <row r="472" spans="17:17" x14ac:dyDescent="0.25">
      <c r="Q472" s="46"/>
    </row>
    <row r="473" spans="17:17" x14ac:dyDescent="0.25">
      <c r="Q473" s="46"/>
    </row>
    <row r="474" spans="17:17" x14ac:dyDescent="0.25">
      <c r="Q474" s="46"/>
    </row>
    <row r="475" spans="17:17" x14ac:dyDescent="0.25">
      <c r="Q475" s="46"/>
    </row>
    <row r="476" spans="17:17" x14ac:dyDescent="0.25">
      <c r="Q476" s="46"/>
    </row>
    <row r="477" spans="17:17" x14ac:dyDescent="0.25">
      <c r="Q477" s="46"/>
    </row>
    <row r="478" spans="17:17" x14ac:dyDescent="0.25">
      <c r="Q478" s="46"/>
    </row>
    <row r="479" spans="17:17" x14ac:dyDescent="0.25">
      <c r="Q479" s="46"/>
    </row>
    <row r="480" spans="17:17" x14ac:dyDescent="0.25">
      <c r="Q480" s="46"/>
    </row>
    <row r="481" spans="17:17" x14ac:dyDescent="0.25">
      <c r="Q481" s="46"/>
    </row>
    <row r="482" spans="17:17" x14ac:dyDescent="0.25">
      <c r="Q482" s="46"/>
    </row>
    <row r="483" spans="17:17" x14ac:dyDescent="0.25">
      <c r="Q483" s="46"/>
    </row>
    <row r="484" spans="17:17" x14ac:dyDescent="0.25">
      <c r="Q484" s="46"/>
    </row>
    <row r="485" spans="17:17" x14ac:dyDescent="0.25">
      <c r="Q485" s="46"/>
    </row>
    <row r="486" spans="17:17" x14ac:dyDescent="0.25">
      <c r="Q486" s="46"/>
    </row>
    <row r="487" spans="17:17" x14ac:dyDescent="0.25">
      <c r="Q487" s="46"/>
    </row>
    <row r="488" spans="17:17" x14ac:dyDescent="0.25">
      <c r="Q488" s="46"/>
    </row>
    <row r="489" spans="17:17" x14ac:dyDescent="0.25">
      <c r="Q489" s="46"/>
    </row>
    <row r="490" spans="17:17" x14ac:dyDescent="0.25">
      <c r="Q490" s="46"/>
    </row>
    <row r="491" spans="17:17" x14ac:dyDescent="0.25">
      <c r="Q491" s="46"/>
    </row>
    <row r="492" spans="17:17" x14ac:dyDescent="0.25">
      <c r="Q492" s="46"/>
    </row>
    <row r="493" spans="17:17" x14ac:dyDescent="0.25">
      <c r="Q493" s="46"/>
    </row>
    <row r="494" spans="17:17" x14ac:dyDescent="0.25">
      <c r="Q494" s="46"/>
    </row>
    <row r="495" spans="17:17" x14ac:dyDescent="0.25">
      <c r="Q495" s="46"/>
    </row>
    <row r="496" spans="17:17" x14ac:dyDescent="0.25">
      <c r="Q496" s="46"/>
    </row>
    <row r="497" spans="17:17" x14ac:dyDescent="0.25">
      <c r="Q497" s="46"/>
    </row>
    <row r="498" spans="17:17" x14ac:dyDescent="0.25">
      <c r="Q498" s="46"/>
    </row>
    <row r="499" spans="17:17" x14ac:dyDescent="0.25">
      <c r="Q499" s="46"/>
    </row>
    <row r="500" spans="17:17" x14ac:dyDescent="0.25">
      <c r="Q500" s="46"/>
    </row>
    <row r="501" spans="17:17" x14ac:dyDescent="0.25">
      <c r="Q501" s="46"/>
    </row>
    <row r="502" spans="17:17" x14ac:dyDescent="0.25">
      <c r="Q502" s="46"/>
    </row>
    <row r="503" spans="17:17" x14ac:dyDescent="0.25">
      <c r="Q503" s="46"/>
    </row>
    <row r="504" spans="17:17" x14ac:dyDescent="0.25">
      <c r="Q504" s="46"/>
    </row>
    <row r="505" spans="17:17" x14ac:dyDescent="0.25">
      <c r="Q505" s="46"/>
    </row>
    <row r="506" spans="17:17" x14ac:dyDescent="0.25">
      <c r="Q506" s="46"/>
    </row>
    <row r="507" spans="17:17" x14ac:dyDescent="0.25">
      <c r="Q507" s="46"/>
    </row>
    <row r="508" spans="17:17" x14ac:dyDescent="0.25">
      <c r="Q508" s="46"/>
    </row>
    <row r="509" spans="17:17" x14ac:dyDescent="0.25">
      <c r="Q509" s="46"/>
    </row>
    <row r="510" spans="17:17" x14ac:dyDescent="0.25">
      <c r="Q510" s="46"/>
    </row>
    <row r="511" spans="17:17" x14ac:dyDescent="0.25">
      <c r="Q511" s="46"/>
    </row>
    <row r="512" spans="17:17" x14ac:dyDescent="0.25">
      <c r="Q512" s="46"/>
    </row>
    <row r="513" spans="17:17" x14ac:dyDescent="0.25">
      <c r="Q513" s="46"/>
    </row>
    <row r="514" spans="17:17" x14ac:dyDescent="0.25">
      <c r="Q514" s="46"/>
    </row>
    <row r="515" spans="17:17" x14ac:dyDescent="0.25">
      <c r="Q515" s="46"/>
    </row>
    <row r="516" spans="17:17" x14ac:dyDescent="0.25">
      <c r="Q516" s="46"/>
    </row>
    <row r="517" spans="17:17" x14ac:dyDescent="0.25">
      <c r="Q517" s="46"/>
    </row>
    <row r="518" spans="17:17" x14ac:dyDescent="0.25">
      <c r="Q518" s="46"/>
    </row>
    <row r="519" spans="17:17" x14ac:dyDescent="0.25">
      <c r="Q519" s="46"/>
    </row>
    <row r="520" spans="17:17" x14ac:dyDescent="0.25">
      <c r="Q520" s="46"/>
    </row>
    <row r="521" spans="17:17" x14ac:dyDescent="0.25">
      <c r="Q521" s="46"/>
    </row>
    <row r="522" spans="17:17" x14ac:dyDescent="0.25">
      <c r="Q522" s="46"/>
    </row>
    <row r="523" spans="17:17" x14ac:dyDescent="0.25">
      <c r="Q523" s="46"/>
    </row>
    <row r="524" spans="17:17" x14ac:dyDescent="0.25">
      <c r="Q524" s="46"/>
    </row>
    <row r="525" spans="17:17" x14ac:dyDescent="0.25">
      <c r="Q525" s="46"/>
    </row>
    <row r="526" spans="17:17" x14ac:dyDescent="0.25">
      <c r="Q526" s="46"/>
    </row>
    <row r="527" spans="17:17" x14ac:dyDescent="0.25">
      <c r="Q527" s="46"/>
    </row>
    <row r="528" spans="17:17" x14ac:dyDescent="0.25">
      <c r="Q528" s="46"/>
    </row>
    <row r="529" spans="17:17" x14ac:dyDescent="0.25">
      <c r="Q529" s="46"/>
    </row>
    <row r="530" spans="17:17" x14ac:dyDescent="0.25">
      <c r="Q530" s="46"/>
    </row>
    <row r="531" spans="17:17" x14ac:dyDescent="0.25">
      <c r="Q531" s="46"/>
    </row>
    <row r="532" spans="17:17" x14ac:dyDescent="0.25">
      <c r="Q532" s="46"/>
    </row>
    <row r="533" spans="17:17" x14ac:dyDescent="0.25">
      <c r="Q533" s="46"/>
    </row>
    <row r="534" spans="17:17" x14ac:dyDescent="0.25">
      <c r="Q534" s="46"/>
    </row>
    <row r="535" spans="17:17" x14ac:dyDescent="0.25">
      <c r="Q535" s="46"/>
    </row>
    <row r="536" spans="17:17" x14ac:dyDescent="0.25">
      <c r="Q536" s="46"/>
    </row>
    <row r="537" spans="17:17" x14ac:dyDescent="0.25">
      <c r="Q537" s="46"/>
    </row>
    <row r="538" spans="17:17" x14ac:dyDescent="0.25">
      <c r="Q538" s="46"/>
    </row>
    <row r="539" spans="17:17" x14ac:dyDescent="0.25">
      <c r="Q539" s="46"/>
    </row>
    <row r="540" spans="17:17" x14ac:dyDescent="0.25">
      <c r="Q540" s="46"/>
    </row>
    <row r="541" spans="17:17" x14ac:dyDescent="0.25">
      <c r="Q541" s="46"/>
    </row>
    <row r="542" spans="17:17" x14ac:dyDescent="0.25">
      <c r="Q542" s="46"/>
    </row>
    <row r="543" spans="17:17" x14ac:dyDescent="0.25">
      <c r="Q543" s="46"/>
    </row>
    <row r="544" spans="17:17" x14ac:dyDescent="0.25">
      <c r="Q544" s="46"/>
    </row>
    <row r="545" spans="17:17" x14ac:dyDescent="0.25">
      <c r="Q545" s="46"/>
    </row>
    <row r="546" spans="17:17" x14ac:dyDescent="0.25">
      <c r="Q546" s="46"/>
    </row>
    <row r="547" spans="17:17" x14ac:dyDescent="0.25">
      <c r="Q547" s="46"/>
    </row>
    <row r="548" spans="17:17" x14ac:dyDescent="0.25">
      <c r="Q548" s="46"/>
    </row>
    <row r="549" spans="17:17" x14ac:dyDescent="0.25">
      <c r="Q549" s="46"/>
    </row>
    <row r="550" spans="17:17" x14ac:dyDescent="0.25">
      <c r="Q550" s="46"/>
    </row>
    <row r="551" spans="17:17" x14ac:dyDescent="0.25">
      <c r="Q551" s="46"/>
    </row>
    <row r="552" spans="17:17" x14ac:dyDescent="0.25">
      <c r="Q552" s="46"/>
    </row>
    <row r="553" spans="17:17" x14ac:dyDescent="0.25">
      <c r="Q553" s="46"/>
    </row>
    <row r="554" spans="17:17" x14ac:dyDescent="0.25">
      <c r="Q554" s="46"/>
    </row>
    <row r="555" spans="17:17" x14ac:dyDescent="0.25">
      <c r="Q555" s="46"/>
    </row>
    <row r="556" spans="17:17" x14ac:dyDescent="0.25">
      <c r="Q556" s="46"/>
    </row>
    <row r="557" spans="17:17" x14ac:dyDescent="0.25">
      <c r="Q557" s="46"/>
    </row>
    <row r="558" spans="17:17" x14ac:dyDescent="0.25">
      <c r="Q558" s="46"/>
    </row>
    <row r="559" spans="17:17" x14ac:dyDescent="0.25">
      <c r="Q559" s="46"/>
    </row>
    <row r="560" spans="17:17" x14ac:dyDescent="0.25">
      <c r="Q560" s="46"/>
    </row>
    <row r="561" spans="17:17" x14ac:dyDescent="0.25">
      <c r="Q561" s="46"/>
    </row>
    <row r="562" spans="17:17" x14ac:dyDescent="0.25">
      <c r="Q562" s="46"/>
    </row>
    <row r="563" spans="17:17" x14ac:dyDescent="0.25">
      <c r="Q563" s="46"/>
    </row>
    <row r="564" spans="17:17" x14ac:dyDescent="0.25">
      <c r="Q564" s="46"/>
    </row>
    <row r="565" spans="17:17" x14ac:dyDescent="0.25">
      <c r="Q565" s="46"/>
    </row>
    <row r="566" spans="17:17" x14ac:dyDescent="0.25">
      <c r="Q566" s="46"/>
    </row>
    <row r="567" spans="17:17" x14ac:dyDescent="0.25">
      <c r="Q567" s="46"/>
    </row>
    <row r="568" spans="17:17" x14ac:dyDescent="0.25">
      <c r="Q568" s="46"/>
    </row>
    <row r="569" spans="17:17" x14ac:dyDescent="0.25">
      <c r="Q569" s="46"/>
    </row>
    <row r="570" spans="17:17" x14ac:dyDescent="0.25">
      <c r="Q570" s="46"/>
    </row>
    <row r="571" spans="17:17" x14ac:dyDescent="0.25">
      <c r="Q571" s="46"/>
    </row>
    <row r="572" spans="17:17" x14ac:dyDescent="0.25">
      <c r="Q572" s="46"/>
    </row>
    <row r="573" spans="17:17" x14ac:dyDescent="0.25">
      <c r="Q573" s="46"/>
    </row>
    <row r="574" spans="17:17" x14ac:dyDescent="0.25">
      <c r="Q574" s="46"/>
    </row>
    <row r="575" spans="17:17" x14ac:dyDescent="0.25">
      <c r="Q575" s="46"/>
    </row>
    <row r="576" spans="17:17" x14ac:dyDescent="0.25">
      <c r="Q576" s="46"/>
    </row>
    <row r="577" spans="17:17" x14ac:dyDescent="0.25">
      <c r="Q577" s="46"/>
    </row>
    <row r="578" spans="17:17" x14ac:dyDescent="0.25">
      <c r="Q578" s="46"/>
    </row>
    <row r="579" spans="17:17" x14ac:dyDescent="0.25">
      <c r="Q579" s="46"/>
    </row>
    <row r="580" spans="17:17" x14ac:dyDescent="0.25">
      <c r="Q580" s="46"/>
    </row>
    <row r="581" spans="17:17" x14ac:dyDescent="0.25">
      <c r="Q581" s="46"/>
    </row>
    <row r="582" spans="17:17" x14ac:dyDescent="0.25">
      <c r="Q582" s="46"/>
    </row>
    <row r="583" spans="17:17" x14ac:dyDescent="0.25">
      <c r="Q583" s="46"/>
    </row>
    <row r="584" spans="17:17" x14ac:dyDescent="0.25">
      <c r="Q584" s="46"/>
    </row>
    <row r="585" spans="17:17" x14ac:dyDescent="0.25">
      <c r="Q585" s="46"/>
    </row>
    <row r="586" spans="17:17" x14ac:dyDescent="0.25">
      <c r="Q586" s="46"/>
    </row>
    <row r="587" spans="17:17" x14ac:dyDescent="0.25">
      <c r="Q587" s="46"/>
    </row>
    <row r="588" spans="17:17" x14ac:dyDescent="0.25">
      <c r="Q588" s="46"/>
    </row>
    <row r="589" spans="17:17" x14ac:dyDescent="0.25">
      <c r="Q589" s="46"/>
    </row>
    <row r="590" spans="17:17" x14ac:dyDescent="0.25">
      <c r="Q590" s="46"/>
    </row>
    <row r="591" spans="17:17" x14ac:dyDescent="0.25">
      <c r="Q591" s="46"/>
    </row>
    <row r="592" spans="17:17" x14ac:dyDescent="0.25">
      <c r="Q592" s="46"/>
    </row>
    <row r="593" spans="17:17" x14ac:dyDescent="0.25">
      <c r="Q593" s="46"/>
    </row>
    <row r="594" spans="17:17" x14ac:dyDescent="0.25">
      <c r="Q594" s="46"/>
    </row>
    <row r="595" spans="17:17" x14ac:dyDescent="0.25">
      <c r="Q595" s="46"/>
    </row>
    <row r="596" spans="17:17" x14ac:dyDescent="0.25">
      <c r="Q596" s="46"/>
    </row>
    <row r="597" spans="17:17" x14ac:dyDescent="0.25">
      <c r="Q597" s="46"/>
    </row>
    <row r="598" spans="17:17" x14ac:dyDescent="0.25">
      <c r="Q598" s="46"/>
    </row>
    <row r="599" spans="17:17" x14ac:dyDescent="0.25">
      <c r="Q599" s="46"/>
    </row>
    <row r="600" spans="17:17" x14ac:dyDescent="0.25">
      <c r="Q600" s="46"/>
    </row>
    <row r="601" spans="17:17" x14ac:dyDescent="0.25">
      <c r="Q601" s="46"/>
    </row>
    <row r="602" spans="17:17" x14ac:dyDescent="0.25">
      <c r="Q602" s="46"/>
    </row>
    <row r="603" spans="17:17" x14ac:dyDescent="0.25">
      <c r="Q603" s="46"/>
    </row>
    <row r="604" spans="17:17" x14ac:dyDescent="0.25">
      <c r="Q604" s="46"/>
    </row>
    <row r="605" spans="17:17" x14ac:dyDescent="0.25">
      <c r="Q605" s="46"/>
    </row>
    <row r="606" spans="17:17" x14ac:dyDescent="0.25">
      <c r="Q606" s="46"/>
    </row>
    <row r="607" spans="17:17" x14ac:dyDescent="0.25">
      <c r="Q607" s="46"/>
    </row>
    <row r="608" spans="17:17" x14ac:dyDescent="0.25">
      <c r="Q608" s="46"/>
    </row>
    <row r="609" spans="17:17" x14ac:dyDescent="0.25">
      <c r="Q609" s="46"/>
    </row>
    <row r="610" spans="17:17" x14ac:dyDescent="0.25">
      <c r="Q610" s="46"/>
    </row>
    <row r="611" spans="17:17" x14ac:dyDescent="0.25">
      <c r="Q611" s="46"/>
    </row>
    <row r="612" spans="17:17" x14ac:dyDescent="0.25">
      <c r="Q612" s="46"/>
    </row>
    <row r="613" spans="17:17" x14ac:dyDescent="0.25">
      <c r="Q613" s="46"/>
    </row>
    <row r="614" spans="17:17" x14ac:dyDescent="0.25">
      <c r="Q614" s="46"/>
    </row>
    <row r="615" spans="17:17" x14ac:dyDescent="0.25">
      <c r="Q615" s="46"/>
    </row>
    <row r="616" spans="17:17" x14ac:dyDescent="0.25">
      <c r="Q616" s="46"/>
    </row>
    <row r="617" spans="17:17" x14ac:dyDescent="0.25">
      <c r="Q617" s="46"/>
    </row>
    <row r="618" spans="17:17" x14ac:dyDescent="0.25">
      <c r="Q618" s="46"/>
    </row>
    <row r="619" spans="17:17" x14ac:dyDescent="0.25">
      <c r="Q619" s="46"/>
    </row>
    <row r="620" spans="17:17" x14ac:dyDescent="0.25">
      <c r="Q620" s="46"/>
    </row>
    <row r="621" spans="17:17" x14ac:dyDescent="0.25">
      <c r="Q621" s="46"/>
    </row>
    <row r="622" spans="17:17" x14ac:dyDescent="0.25">
      <c r="Q622" s="46"/>
    </row>
    <row r="623" spans="17:17" x14ac:dyDescent="0.25">
      <c r="Q623" s="46"/>
    </row>
    <row r="624" spans="17:17" x14ac:dyDescent="0.25">
      <c r="Q624" s="46"/>
    </row>
    <row r="625" spans="17:17" x14ac:dyDescent="0.25">
      <c r="Q625" s="46"/>
    </row>
    <row r="626" spans="17:17" x14ac:dyDescent="0.25">
      <c r="Q626" s="46"/>
    </row>
    <row r="627" spans="17:17" x14ac:dyDescent="0.25">
      <c r="Q627" s="46"/>
    </row>
    <row r="628" spans="17:17" x14ac:dyDescent="0.25">
      <c r="Q628" s="46"/>
    </row>
    <row r="629" spans="17:17" x14ac:dyDescent="0.25">
      <c r="Q629" s="46"/>
    </row>
    <row r="630" spans="17:17" x14ac:dyDescent="0.25">
      <c r="Q630" s="46"/>
    </row>
    <row r="631" spans="17:17" x14ac:dyDescent="0.25">
      <c r="Q631" s="46"/>
    </row>
    <row r="632" spans="17:17" x14ac:dyDescent="0.25">
      <c r="Q632" s="46"/>
    </row>
    <row r="633" spans="17:17" x14ac:dyDescent="0.25">
      <c r="Q633" s="46"/>
    </row>
    <row r="634" spans="17:17" x14ac:dyDescent="0.25">
      <c r="Q634" s="46"/>
    </row>
    <row r="635" spans="17:17" x14ac:dyDescent="0.25">
      <c r="Q635" s="46"/>
    </row>
    <row r="636" spans="17:17" x14ac:dyDescent="0.25">
      <c r="Q636" s="46"/>
    </row>
    <row r="637" spans="17:17" x14ac:dyDescent="0.25">
      <c r="Q637" s="46"/>
    </row>
    <row r="638" spans="17:17" x14ac:dyDescent="0.25">
      <c r="Q638" s="46"/>
    </row>
    <row r="639" spans="17:17" x14ac:dyDescent="0.25">
      <c r="Q639" s="46"/>
    </row>
    <row r="640" spans="17:17" x14ac:dyDescent="0.25">
      <c r="Q640" s="46"/>
    </row>
    <row r="641" spans="17:17" x14ac:dyDescent="0.25">
      <c r="Q641" s="46"/>
    </row>
    <row r="642" spans="17:17" x14ac:dyDescent="0.25">
      <c r="Q642" s="46"/>
    </row>
    <row r="643" spans="17:17" x14ac:dyDescent="0.25">
      <c r="Q643" s="46"/>
    </row>
    <row r="644" spans="17:17" x14ac:dyDescent="0.25">
      <c r="Q644" s="46"/>
    </row>
    <row r="645" spans="17:17" x14ac:dyDescent="0.25">
      <c r="Q645" s="46"/>
    </row>
    <row r="646" spans="17:17" x14ac:dyDescent="0.25">
      <c r="Q646" s="46"/>
    </row>
    <row r="647" spans="17:17" x14ac:dyDescent="0.25">
      <c r="Q647" s="46"/>
    </row>
    <row r="648" spans="17:17" x14ac:dyDescent="0.25">
      <c r="Q648" s="46"/>
    </row>
    <row r="649" spans="17:17" x14ac:dyDescent="0.25">
      <c r="Q649" s="46"/>
    </row>
    <row r="650" spans="17:17" x14ac:dyDescent="0.25">
      <c r="Q650" s="46"/>
    </row>
    <row r="651" spans="17:17" x14ac:dyDescent="0.25">
      <c r="Q651" s="46"/>
    </row>
    <row r="652" spans="17:17" x14ac:dyDescent="0.25">
      <c r="Q652" s="46"/>
    </row>
    <row r="653" spans="17:17" x14ac:dyDescent="0.25">
      <c r="Q653" s="46"/>
    </row>
    <row r="654" spans="17:17" x14ac:dyDescent="0.25">
      <c r="Q654" s="46"/>
    </row>
    <row r="655" spans="17:17" x14ac:dyDescent="0.25">
      <c r="Q655" s="46"/>
    </row>
    <row r="656" spans="17:17" x14ac:dyDescent="0.25">
      <c r="Q656" s="46"/>
    </row>
    <row r="657" spans="17:17" x14ac:dyDescent="0.25">
      <c r="Q657" s="46"/>
    </row>
    <row r="658" spans="17:17" x14ac:dyDescent="0.25">
      <c r="Q658" s="46"/>
    </row>
    <row r="659" spans="17:17" x14ac:dyDescent="0.25">
      <c r="Q659" s="46"/>
    </row>
    <row r="660" spans="17:17" x14ac:dyDescent="0.25">
      <c r="Q660" s="46"/>
    </row>
    <row r="661" spans="17:17" x14ac:dyDescent="0.25">
      <c r="Q661" s="46"/>
    </row>
    <row r="662" spans="17:17" x14ac:dyDescent="0.25">
      <c r="Q662" s="46"/>
    </row>
    <row r="663" spans="17:17" x14ac:dyDescent="0.25">
      <c r="Q663" s="46"/>
    </row>
    <row r="664" spans="17:17" x14ac:dyDescent="0.25">
      <c r="Q664" s="46"/>
    </row>
    <row r="665" spans="17:17" x14ac:dyDescent="0.25">
      <c r="Q665" s="46"/>
    </row>
    <row r="666" spans="17:17" x14ac:dyDescent="0.25">
      <c r="Q666" s="46"/>
    </row>
    <row r="667" spans="17:17" x14ac:dyDescent="0.25">
      <c r="Q667" s="46"/>
    </row>
    <row r="668" spans="17:17" x14ac:dyDescent="0.25">
      <c r="Q668" s="46"/>
    </row>
    <row r="669" spans="17:17" x14ac:dyDescent="0.25">
      <c r="Q669" s="46"/>
    </row>
    <row r="670" spans="17:17" x14ac:dyDescent="0.25">
      <c r="Q670" s="46"/>
    </row>
    <row r="671" spans="17:17" x14ac:dyDescent="0.25">
      <c r="Q671" s="46"/>
    </row>
    <row r="672" spans="17:17" x14ac:dyDescent="0.25">
      <c r="Q672" s="46"/>
    </row>
    <row r="673" spans="17:17" x14ac:dyDescent="0.25">
      <c r="Q673" s="46"/>
    </row>
    <row r="674" spans="17:17" x14ac:dyDescent="0.25">
      <c r="Q674" s="46"/>
    </row>
    <row r="675" spans="17:17" x14ac:dyDescent="0.25">
      <c r="Q675" s="46"/>
    </row>
    <row r="676" spans="17:17" x14ac:dyDescent="0.25">
      <c r="Q676" s="46"/>
    </row>
    <row r="677" spans="17:17" x14ac:dyDescent="0.25">
      <c r="Q677" s="46"/>
    </row>
    <row r="678" spans="17:17" x14ac:dyDescent="0.25">
      <c r="Q678" s="46"/>
    </row>
    <row r="679" spans="17:17" x14ac:dyDescent="0.25">
      <c r="Q679" s="46"/>
    </row>
    <row r="680" spans="17:17" x14ac:dyDescent="0.25">
      <c r="Q680" s="46"/>
    </row>
    <row r="681" spans="17:17" x14ac:dyDescent="0.25">
      <c r="Q681" s="46"/>
    </row>
    <row r="682" spans="17:17" x14ac:dyDescent="0.25">
      <c r="Q682" s="46"/>
    </row>
    <row r="683" spans="17:17" x14ac:dyDescent="0.25">
      <c r="Q683" s="46"/>
    </row>
    <row r="684" spans="17:17" x14ac:dyDescent="0.25">
      <c r="Q684" s="46"/>
    </row>
    <row r="685" spans="17:17" x14ac:dyDescent="0.25">
      <c r="Q685" s="46"/>
    </row>
    <row r="686" spans="17:17" x14ac:dyDescent="0.25">
      <c r="Q686" s="46"/>
    </row>
    <row r="687" spans="17:17" x14ac:dyDescent="0.25">
      <c r="Q687" s="46"/>
    </row>
    <row r="688" spans="17:17" x14ac:dyDescent="0.25">
      <c r="Q688" s="46"/>
    </row>
    <row r="689" spans="17:17" x14ac:dyDescent="0.25">
      <c r="Q689" s="46"/>
    </row>
    <row r="690" spans="17:17" x14ac:dyDescent="0.25">
      <c r="Q690" s="46"/>
    </row>
    <row r="691" spans="17:17" x14ac:dyDescent="0.25">
      <c r="Q691" s="46"/>
    </row>
    <row r="692" spans="17:17" x14ac:dyDescent="0.25">
      <c r="Q692" s="46"/>
    </row>
    <row r="693" spans="17:17" x14ac:dyDescent="0.25">
      <c r="Q693" s="46"/>
    </row>
    <row r="694" spans="17:17" x14ac:dyDescent="0.25">
      <c r="Q694" s="46"/>
    </row>
    <row r="695" spans="17:17" x14ac:dyDescent="0.25">
      <c r="Q695" s="46"/>
    </row>
    <row r="696" spans="17:17" x14ac:dyDescent="0.25">
      <c r="Q696" s="46"/>
    </row>
    <row r="697" spans="17:17" x14ac:dyDescent="0.25">
      <c r="Q697" s="46"/>
    </row>
    <row r="698" spans="17:17" x14ac:dyDescent="0.25">
      <c r="Q698" s="46"/>
    </row>
    <row r="699" spans="17:17" x14ac:dyDescent="0.25">
      <c r="Q699" s="46"/>
    </row>
    <row r="700" spans="17:17" x14ac:dyDescent="0.25">
      <c r="Q700" s="46"/>
    </row>
    <row r="701" spans="17:17" x14ac:dyDescent="0.25">
      <c r="Q701" s="46"/>
    </row>
    <row r="702" spans="17:17" x14ac:dyDescent="0.25">
      <c r="Q702" s="46"/>
    </row>
    <row r="703" spans="17:17" x14ac:dyDescent="0.25">
      <c r="Q703" s="46"/>
    </row>
    <row r="704" spans="17:17" x14ac:dyDescent="0.25">
      <c r="Q704" s="46"/>
    </row>
    <row r="705" spans="17:17" x14ac:dyDescent="0.25">
      <c r="Q705" s="46"/>
    </row>
    <row r="706" spans="17:17" x14ac:dyDescent="0.25">
      <c r="Q706" s="46"/>
    </row>
    <row r="707" spans="17:17" x14ac:dyDescent="0.25">
      <c r="Q707" s="46"/>
    </row>
    <row r="708" spans="17:17" x14ac:dyDescent="0.25">
      <c r="Q708" s="46"/>
    </row>
    <row r="709" spans="17:17" x14ac:dyDescent="0.25">
      <c r="Q709" s="46"/>
    </row>
    <row r="710" spans="17:17" x14ac:dyDescent="0.25">
      <c r="Q710" s="46"/>
    </row>
    <row r="711" spans="17:17" x14ac:dyDescent="0.25">
      <c r="Q711" s="46"/>
    </row>
    <row r="712" spans="17:17" x14ac:dyDescent="0.25">
      <c r="Q712" s="46"/>
    </row>
    <row r="713" spans="17:17" x14ac:dyDescent="0.25">
      <c r="Q713" s="46"/>
    </row>
    <row r="714" spans="17:17" x14ac:dyDescent="0.25">
      <c r="Q714" s="46"/>
    </row>
    <row r="715" spans="17:17" x14ac:dyDescent="0.25">
      <c r="Q715" s="46"/>
    </row>
    <row r="716" spans="17:17" x14ac:dyDescent="0.25">
      <c r="Q716" s="46"/>
    </row>
    <row r="717" spans="17:17" x14ac:dyDescent="0.25">
      <c r="Q717" s="46"/>
    </row>
    <row r="718" spans="17:17" x14ac:dyDescent="0.25">
      <c r="Q718" s="46"/>
    </row>
    <row r="719" spans="17:17" x14ac:dyDescent="0.25">
      <c r="Q719" s="46"/>
    </row>
    <row r="720" spans="17:17" x14ac:dyDescent="0.25">
      <c r="Q720" s="46"/>
    </row>
    <row r="721" spans="17:17" x14ac:dyDescent="0.25">
      <c r="Q721" s="46"/>
    </row>
    <row r="722" spans="17:17" x14ac:dyDescent="0.25">
      <c r="Q722" s="46"/>
    </row>
    <row r="723" spans="17:17" x14ac:dyDescent="0.25">
      <c r="Q723" s="46"/>
    </row>
    <row r="724" spans="17:17" x14ac:dyDescent="0.25">
      <c r="Q724" s="46"/>
    </row>
    <row r="725" spans="17:17" x14ac:dyDescent="0.25">
      <c r="Q725" s="46"/>
    </row>
    <row r="726" spans="17:17" x14ac:dyDescent="0.25">
      <c r="Q726" s="46"/>
    </row>
    <row r="727" spans="17:17" x14ac:dyDescent="0.25">
      <c r="Q727" s="46"/>
    </row>
    <row r="728" spans="17:17" x14ac:dyDescent="0.25">
      <c r="Q728" s="46"/>
    </row>
    <row r="729" spans="17:17" x14ac:dyDescent="0.25">
      <c r="Q729" s="46"/>
    </row>
    <row r="730" spans="17:17" x14ac:dyDescent="0.25">
      <c r="Q730" s="46"/>
    </row>
    <row r="731" spans="17:17" x14ac:dyDescent="0.25">
      <c r="Q731" s="46"/>
    </row>
    <row r="732" spans="17:17" x14ac:dyDescent="0.25">
      <c r="Q732" s="46"/>
    </row>
    <row r="733" spans="17:17" x14ac:dyDescent="0.25">
      <c r="Q733" s="46"/>
    </row>
    <row r="734" spans="17:17" x14ac:dyDescent="0.25">
      <c r="Q734" s="46"/>
    </row>
    <row r="735" spans="17:17" x14ac:dyDescent="0.25">
      <c r="Q735" s="46"/>
    </row>
    <row r="736" spans="17:17" x14ac:dyDescent="0.25">
      <c r="Q736" s="46"/>
    </row>
    <row r="737" spans="17:17" x14ac:dyDescent="0.25">
      <c r="Q737" s="46"/>
    </row>
    <row r="738" spans="17:17" x14ac:dyDescent="0.25">
      <c r="Q738" s="46"/>
    </row>
    <row r="739" spans="17:17" x14ac:dyDescent="0.25">
      <c r="Q739" s="46"/>
    </row>
    <row r="740" spans="17:17" x14ac:dyDescent="0.25">
      <c r="Q740" s="46"/>
    </row>
    <row r="741" spans="17:17" x14ac:dyDescent="0.25">
      <c r="Q741" s="46"/>
    </row>
    <row r="742" spans="17:17" x14ac:dyDescent="0.25">
      <c r="Q742" s="46"/>
    </row>
    <row r="743" spans="17:17" x14ac:dyDescent="0.25">
      <c r="Q743" s="46"/>
    </row>
    <row r="744" spans="17:17" x14ac:dyDescent="0.25">
      <c r="Q744" s="46"/>
    </row>
    <row r="745" spans="17:17" x14ac:dyDescent="0.25">
      <c r="Q745" s="46"/>
    </row>
    <row r="746" spans="17:17" x14ac:dyDescent="0.25">
      <c r="Q746" s="46"/>
    </row>
    <row r="747" spans="17:17" x14ac:dyDescent="0.25">
      <c r="Q747" s="46"/>
    </row>
    <row r="748" spans="17:17" x14ac:dyDescent="0.25">
      <c r="Q748" s="46"/>
    </row>
    <row r="749" spans="17:17" x14ac:dyDescent="0.25">
      <c r="Q749" s="46"/>
    </row>
    <row r="750" spans="17:17" x14ac:dyDescent="0.25">
      <c r="Q750" s="46"/>
    </row>
    <row r="751" spans="17:17" x14ac:dyDescent="0.25">
      <c r="Q751" s="46"/>
    </row>
    <row r="752" spans="17:17" x14ac:dyDescent="0.25">
      <c r="Q752" s="46"/>
    </row>
    <row r="753" spans="17:17" x14ac:dyDescent="0.25">
      <c r="Q753" s="46"/>
    </row>
    <row r="754" spans="17:17" x14ac:dyDescent="0.25">
      <c r="Q754" s="46"/>
    </row>
    <row r="755" spans="17:17" x14ac:dyDescent="0.25">
      <c r="Q755" s="46"/>
    </row>
    <row r="756" spans="17:17" x14ac:dyDescent="0.25">
      <c r="Q756" s="46"/>
    </row>
    <row r="757" spans="17:17" x14ac:dyDescent="0.25">
      <c r="Q757" s="46"/>
    </row>
    <row r="758" spans="17:17" x14ac:dyDescent="0.25">
      <c r="Q758" s="46"/>
    </row>
    <row r="759" spans="17:17" x14ac:dyDescent="0.25">
      <c r="Q759" s="46"/>
    </row>
    <row r="760" spans="17:17" x14ac:dyDescent="0.25">
      <c r="Q760" s="46"/>
    </row>
    <row r="761" spans="17:17" x14ac:dyDescent="0.25">
      <c r="Q761" s="46"/>
    </row>
    <row r="762" spans="17:17" x14ac:dyDescent="0.25">
      <c r="Q762" s="46"/>
    </row>
    <row r="763" spans="17:17" x14ac:dyDescent="0.25">
      <c r="Q763" s="46"/>
    </row>
    <row r="764" spans="17:17" x14ac:dyDescent="0.25">
      <c r="Q764" s="46"/>
    </row>
    <row r="765" spans="17:17" x14ac:dyDescent="0.25">
      <c r="Q765" s="46"/>
    </row>
    <row r="766" spans="17:17" x14ac:dyDescent="0.25">
      <c r="Q766" s="46"/>
    </row>
    <row r="767" spans="17:17" x14ac:dyDescent="0.25">
      <c r="Q767" s="46"/>
    </row>
    <row r="768" spans="17:17" x14ac:dyDescent="0.25">
      <c r="Q768" s="46"/>
    </row>
    <row r="769" spans="17:17" x14ac:dyDescent="0.25">
      <c r="Q769" s="46"/>
    </row>
    <row r="770" spans="17:17" x14ac:dyDescent="0.25">
      <c r="Q770" s="46"/>
    </row>
    <row r="771" spans="17:17" x14ac:dyDescent="0.25">
      <c r="Q771" s="46"/>
    </row>
    <row r="772" spans="17:17" x14ac:dyDescent="0.25">
      <c r="Q772" s="46"/>
    </row>
    <row r="773" spans="17:17" x14ac:dyDescent="0.25">
      <c r="Q773" s="46"/>
    </row>
    <row r="774" spans="17:17" x14ac:dyDescent="0.25">
      <c r="Q774" s="46"/>
    </row>
    <row r="775" spans="17:17" x14ac:dyDescent="0.25">
      <c r="Q775" s="46"/>
    </row>
    <row r="776" spans="17:17" x14ac:dyDescent="0.25">
      <c r="Q776" s="46"/>
    </row>
    <row r="777" spans="17:17" x14ac:dyDescent="0.25">
      <c r="Q777" s="46"/>
    </row>
    <row r="778" spans="17:17" x14ac:dyDescent="0.25">
      <c r="Q778" s="46"/>
    </row>
    <row r="779" spans="17:17" x14ac:dyDescent="0.25">
      <c r="Q779" s="46"/>
    </row>
    <row r="780" spans="17:17" x14ac:dyDescent="0.25">
      <c r="Q780" s="46"/>
    </row>
    <row r="781" spans="17:17" x14ac:dyDescent="0.25">
      <c r="Q781" s="46"/>
    </row>
    <row r="782" spans="17:17" x14ac:dyDescent="0.25">
      <c r="Q782" s="46"/>
    </row>
    <row r="783" spans="17:17" x14ac:dyDescent="0.25">
      <c r="Q783" s="46"/>
    </row>
    <row r="784" spans="17:17" x14ac:dyDescent="0.25">
      <c r="Q784" s="46"/>
    </row>
    <row r="785" spans="17:17" x14ac:dyDescent="0.25">
      <c r="Q785" s="46"/>
    </row>
    <row r="786" spans="17:17" x14ac:dyDescent="0.25">
      <c r="Q786" s="46"/>
    </row>
    <row r="787" spans="17:17" x14ac:dyDescent="0.25">
      <c r="Q787" s="46"/>
    </row>
    <row r="788" spans="17:17" x14ac:dyDescent="0.25">
      <c r="Q788" s="46"/>
    </row>
    <row r="789" spans="17:17" x14ac:dyDescent="0.25">
      <c r="Q789" s="46"/>
    </row>
    <row r="790" spans="17:17" x14ac:dyDescent="0.25">
      <c r="Q790" s="46"/>
    </row>
    <row r="791" spans="17:17" x14ac:dyDescent="0.25">
      <c r="Q791" s="46"/>
    </row>
    <row r="792" spans="17:17" x14ac:dyDescent="0.25">
      <c r="Q792" s="46"/>
    </row>
    <row r="793" spans="17:17" x14ac:dyDescent="0.25">
      <c r="Q793" s="46"/>
    </row>
    <row r="794" spans="17:17" x14ac:dyDescent="0.25">
      <c r="Q794" s="46"/>
    </row>
    <row r="795" spans="17:17" x14ac:dyDescent="0.25">
      <c r="Q795" s="46"/>
    </row>
    <row r="796" spans="17:17" x14ac:dyDescent="0.25">
      <c r="Q796" s="46"/>
    </row>
    <row r="797" spans="17:17" x14ac:dyDescent="0.25">
      <c r="Q797" s="46"/>
    </row>
    <row r="798" spans="17:17" x14ac:dyDescent="0.25">
      <c r="Q798" s="46"/>
    </row>
    <row r="799" spans="17:17" x14ac:dyDescent="0.25">
      <c r="Q799" s="46"/>
    </row>
    <row r="800" spans="17:17" x14ac:dyDescent="0.25">
      <c r="Q800" s="46"/>
    </row>
    <row r="801" spans="17:17" x14ac:dyDescent="0.25">
      <c r="Q801" s="46"/>
    </row>
    <row r="802" spans="17:17" x14ac:dyDescent="0.25">
      <c r="Q802" s="46"/>
    </row>
    <row r="803" spans="17:17" x14ac:dyDescent="0.25">
      <c r="Q803" s="46"/>
    </row>
    <row r="804" spans="17:17" x14ac:dyDescent="0.25">
      <c r="Q804" s="46"/>
    </row>
    <row r="805" spans="17:17" x14ac:dyDescent="0.25">
      <c r="Q805" s="46"/>
    </row>
    <row r="806" spans="17:17" x14ac:dyDescent="0.25">
      <c r="Q806" s="46"/>
    </row>
    <row r="807" spans="17:17" x14ac:dyDescent="0.25">
      <c r="Q807" s="46"/>
    </row>
    <row r="808" spans="17:17" x14ac:dyDescent="0.25">
      <c r="Q808" s="46"/>
    </row>
    <row r="809" spans="17:17" x14ac:dyDescent="0.25">
      <c r="Q809" s="46"/>
    </row>
    <row r="810" spans="17:17" x14ac:dyDescent="0.25">
      <c r="Q810" s="46"/>
    </row>
    <row r="811" spans="17:17" x14ac:dyDescent="0.25">
      <c r="Q811" s="46"/>
    </row>
    <row r="812" spans="17:17" x14ac:dyDescent="0.25">
      <c r="Q812" s="46"/>
    </row>
    <row r="813" spans="17:17" x14ac:dyDescent="0.25">
      <c r="Q813" s="46"/>
    </row>
    <row r="814" spans="17:17" x14ac:dyDescent="0.25">
      <c r="Q814" s="46"/>
    </row>
    <row r="815" spans="17:17" x14ac:dyDescent="0.25">
      <c r="Q815" s="46"/>
    </row>
    <row r="816" spans="17:17" x14ac:dyDescent="0.25">
      <c r="Q816" s="46"/>
    </row>
    <row r="817" spans="17:17" x14ac:dyDescent="0.25">
      <c r="Q817" s="46"/>
    </row>
    <row r="818" spans="17:17" x14ac:dyDescent="0.25">
      <c r="Q818" s="46"/>
    </row>
    <row r="819" spans="17:17" x14ac:dyDescent="0.25">
      <c r="Q819" s="46"/>
    </row>
    <row r="820" spans="17:17" x14ac:dyDescent="0.25">
      <c r="Q820" s="46"/>
    </row>
    <row r="821" spans="17:17" x14ac:dyDescent="0.25">
      <c r="Q821" s="46"/>
    </row>
    <row r="822" spans="17:17" x14ac:dyDescent="0.25">
      <c r="Q822" s="46"/>
    </row>
    <row r="823" spans="17:17" x14ac:dyDescent="0.25">
      <c r="Q823" s="46"/>
    </row>
    <row r="824" spans="17:17" x14ac:dyDescent="0.25">
      <c r="Q824" s="46"/>
    </row>
    <row r="825" spans="17:17" x14ac:dyDescent="0.25">
      <c r="Q825" s="46"/>
    </row>
    <row r="826" spans="17:17" x14ac:dyDescent="0.25">
      <c r="Q826" s="46"/>
    </row>
    <row r="827" spans="17:17" x14ac:dyDescent="0.25">
      <c r="Q827" s="46"/>
    </row>
    <row r="828" spans="17:17" x14ac:dyDescent="0.25">
      <c r="Q828" s="46"/>
    </row>
    <row r="829" spans="17:17" x14ac:dyDescent="0.25">
      <c r="Q829" s="46"/>
    </row>
    <row r="830" spans="17:17" x14ac:dyDescent="0.25">
      <c r="Q830" s="46"/>
    </row>
    <row r="831" spans="17:17" x14ac:dyDescent="0.25">
      <c r="Q831" s="46"/>
    </row>
    <row r="832" spans="17:17" x14ac:dyDescent="0.25">
      <c r="Q832" s="46"/>
    </row>
    <row r="833" spans="17:17" x14ac:dyDescent="0.25">
      <c r="Q833" s="46"/>
    </row>
    <row r="834" spans="17:17" x14ac:dyDescent="0.25">
      <c r="Q834" s="46"/>
    </row>
    <row r="835" spans="17:17" x14ac:dyDescent="0.25">
      <c r="Q835" s="46"/>
    </row>
    <row r="836" spans="17:17" x14ac:dyDescent="0.25">
      <c r="Q836" s="46"/>
    </row>
    <row r="837" spans="17:17" x14ac:dyDescent="0.25">
      <c r="Q837" s="46"/>
    </row>
    <row r="838" spans="17:17" x14ac:dyDescent="0.25">
      <c r="Q838" s="46"/>
    </row>
    <row r="839" spans="17:17" x14ac:dyDescent="0.25">
      <c r="Q839" s="46"/>
    </row>
    <row r="840" spans="17:17" x14ac:dyDescent="0.25">
      <c r="Q840" s="46"/>
    </row>
    <row r="841" spans="17:17" x14ac:dyDescent="0.25">
      <c r="Q841" s="46"/>
    </row>
    <row r="842" spans="17:17" x14ac:dyDescent="0.25">
      <c r="Q842" s="46"/>
    </row>
    <row r="843" spans="17:17" x14ac:dyDescent="0.25">
      <c r="Q843" s="46"/>
    </row>
    <row r="844" spans="17:17" x14ac:dyDescent="0.25">
      <c r="Q844" s="46"/>
    </row>
    <row r="845" spans="17:17" x14ac:dyDescent="0.25">
      <c r="Q845" s="46"/>
    </row>
    <row r="846" spans="17:17" x14ac:dyDescent="0.25">
      <c r="Q846" s="46"/>
    </row>
    <row r="847" spans="17:17" x14ac:dyDescent="0.25">
      <c r="Q847" s="46"/>
    </row>
    <row r="848" spans="17:17" x14ac:dyDescent="0.25">
      <c r="Q848" s="46"/>
    </row>
    <row r="849" spans="17:17" x14ac:dyDescent="0.25">
      <c r="Q849" s="46"/>
    </row>
    <row r="850" spans="17:17" x14ac:dyDescent="0.25">
      <c r="Q850" s="46"/>
    </row>
    <row r="851" spans="17:17" x14ac:dyDescent="0.25">
      <c r="Q851" s="46"/>
    </row>
    <row r="852" spans="17:17" x14ac:dyDescent="0.25">
      <c r="Q852" s="46"/>
    </row>
    <row r="853" spans="17:17" x14ac:dyDescent="0.25">
      <c r="Q853" s="46"/>
    </row>
    <row r="854" spans="17:17" x14ac:dyDescent="0.25">
      <c r="Q854" s="46"/>
    </row>
    <row r="855" spans="17:17" x14ac:dyDescent="0.25">
      <c r="Q855" s="46"/>
    </row>
    <row r="856" spans="17:17" x14ac:dyDescent="0.25">
      <c r="Q856" s="46"/>
    </row>
    <row r="857" spans="17:17" x14ac:dyDescent="0.25">
      <c r="Q857" s="46"/>
    </row>
    <row r="858" spans="17:17" x14ac:dyDescent="0.25">
      <c r="Q858" s="46"/>
    </row>
    <row r="859" spans="17:17" x14ac:dyDescent="0.25">
      <c r="Q859" s="46"/>
    </row>
    <row r="860" spans="17:17" x14ac:dyDescent="0.25">
      <c r="Q860" s="46"/>
    </row>
    <row r="861" spans="17:17" x14ac:dyDescent="0.25">
      <c r="Q861" s="46"/>
    </row>
    <row r="862" spans="17:17" x14ac:dyDescent="0.25">
      <c r="Q862" s="46"/>
    </row>
    <row r="863" spans="17:17" x14ac:dyDescent="0.25">
      <c r="Q863" s="46"/>
    </row>
    <row r="864" spans="17:17" x14ac:dyDescent="0.25">
      <c r="Q864" s="46"/>
    </row>
    <row r="865" spans="17:17" x14ac:dyDescent="0.25">
      <c r="Q865" s="46"/>
    </row>
    <row r="866" spans="17:17" x14ac:dyDescent="0.25">
      <c r="Q866" s="46"/>
    </row>
    <row r="867" spans="17:17" x14ac:dyDescent="0.25">
      <c r="Q867" s="46"/>
    </row>
    <row r="868" spans="17:17" x14ac:dyDescent="0.25">
      <c r="Q868" s="46"/>
    </row>
    <row r="869" spans="17:17" x14ac:dyDescent="0.25">
      <c r="Q869" s="46"/>
    </row>
    <row r="870" spans="17:17" x14ac:dyDescent="0.25">
      <c r="Q870" s="46"/>
    </row>
    <row r="871" spans="17:17" x14ac:dyDescent="0.25">
      <c r="Q871" s="46"/>
    </row>
    <row r="872" spans="17:17" x14ac:dyDescent="0.25">
      <c r="Q872" s="46"/>
    </row>
    <row r="873" spans="17:17" x14ac:dyDescent="0.25">
      <c r="Q873" s="46"/>
    </row>
    <row r="874" spans="17:17" x14ac:dyDescent="0.25">
      <c r="Q874" s="46"/>
    </row>
    <row r="875" spans="17:17" x14ac:dyDescent="0.25">
      <c r="Q875" s="46"/>
    </row>
    <row r="876" spans="17:17" x14ac:dyDescent="0.25">
      <c r="Q876" s="46"/>
    </row>
    <row r="877" spans="17:17" x14ac:dyDescent="0.25">
      <c r="Q877" s="46"/>
    </row>
    <row r="878" spans="17:17" x14ac:dyDescent="0.25">
      <c r="Q878" s="46"/>
    </row>
    <row r="879" spans="17:17" x14ac:dyDescent="0.25">
      <c r="Q879" s="46"/>
    </row>
    <row r="880" spans="17:17" x14ac:dyDescent="0.25">
      <c r="Q880" s="46"/>
    </row>
    <row r="881" spans="17:17" x14ac:dyDescent="0.25">
      <c r="Q881" s="46"/>
    </row>
    <row r="882" spans="17:17" x14ac:dyDescent="0.25">
      <c r="Q882" s="46"/>
    </row>
    <row r="883" spans="17:17" x14ac:dyDescent="0.25">
      <c r="Q883" s="46"/>
    </row>
    <row r="884" spans="17:17" x14ac:dyDescent="0.25">
      <c r="Q884" s="46"/>
    </row>
    <row r="885" spans="17:17" x14ac:dyDescent="0.25">
      <c r="Q885" s="46"/>
    </row>
    <row r="886" spans="17:17" x14ac:dyDescent="0.25">
      <c r="Q886" s="46"/>
    </row>
    <row r="887" spans="17:17" x14ac:dyDescent="0.25">
      <c r="Q887" s="46"/>
    </row>
    <row r="888" spans="17:17" x14ac:dyDescent="0.25">
      <c r="Q888" s="46"/>
    </row>
    <row r="889" spans="17:17" x14ac:dyDescent="0.25">
      <c r="Q889" s="46"/>
    </row>
    <row r="890" spans="17:17" x14ac:dyDescent="0.25">
      <c r="Q890" s="46"/>
    </row>
    <row r="891" spans="17:17" x14ac:dyDescent="0.25">
      <c r="Q891" s="46"/>
    </row>
    <row r="892" spans="17:17" x14ac:dyDescent="0.25">
      <c r="Q892" s="46"/>
    </row>
    <row r="893" spans="17:17" x14ac:dyDescent="0.25">
      <c r="Q893" s="46"/>
    </row>
    <row r="894" spans="17:17" x14ac:dyDescent="0.25">
      <c r="Q894" s="46"/>
    </row>
    <row r="895" spans="17:17" x14ac:dyDescent="0.25">
      <c r="Q895" s="46"/>
    </row>
    <row r="896" spans="17:17" x14ac:dyDescent="0.25">
      <c r="Q896" s="46"/>
    </row>
    <row r="897" spans="17:17" x14ac:dyDescent="0.25">
      <c r="Q897" s="46"/>
    </row>
    <row r="898" spans="17:17" x14ac:dyDescent="0.25">
      <c r="Q898" s="46"/>
    </row>
    <row r="899" spans="17:17" x14ac:dyDescent="0.25">
      <c r="Q899" s="46"/>
    </row>
    <row r="900" spans="17:17" x14ac:dyDescent="0.25">
      <c r="Q900" s="46"/>
    </row>
    <row r="901" spans="17:17" x14ac:dyDescent="0.25">
      <c r="Q901" s="46"/>
    </row>
    <row r="902" spans="17:17" x14ac:dyDescent="0.25">
      <c r="Q902" s="46"/>
    </row>
    <row r="903" spans="17:17" x14ac:dyDescent="0.25">
      <c r="Q903" s="46"/>
    </row>
    <row r="904" spans="17:17" x14ac:dyDescent="0.25">
      <c r="Q904" s="46"/>
    </row>
    <row r="905" spans="17:17" x14ac:dyDescent="0.25">
      <c r="Q905" s="46"/>
    </row>
    <row r="906" spans="17:17" x14ac:dyDescent="0.25">
      <c r="Q906" s="46"/>
    </row>
    <row r="907" spans="17:17" x14ac:dyDescent="0.25">
      <c r="Q907" s="46"/>
    </row>
    <row r="908" spans="17:17" x14ac:dyDescent="0.25">
      <c r="Q908" s="46"/>
    </row>
    <row r="909" spans="17:17" x14ac:dyDescent="0.25">
      <c r="Q909" s="46"/>
    </row>
    <row r="910" spans="17:17" x14ac:dyDescent="0.25">
      <c r="Q910" s="46"/>
    </row>
    <row r="911" spans="17:17" x14ac:dyDescent="0.25">
      <c r="Q911" s="46"/>
    </row>
    <row r="912" spans="17:17" x14ac:dyDescent="0.25">
      <c r="Q912" s="46"/>
    </row>
    <row r="913" spans="17:17" x14ac:dyDescent="0.25">
      <c r="Q913" s="46"/>
    </row>
    <row r="914" spans="17:17" x14ac:dyDescent="0.25">
      <c r="Q914" s="46"/>
    </row>
    <row r="915" spans="17:17" x14ac:dyDescent="0.25">
      <c r="Q915" s="46"/>
    </row>
    <row r="916" spans="17:17" x14ac:dyDescent="0.25">
      <c r="Q916" s="46"/>
    </row>
    <row r="917" spans="17:17" x14ac:dyDescent="0.25">
      <c r="Q917" s="46"/>
    </row>
    <row r="918" spans="17:17" x14ac:dyDescent="0.25">
      <c r="Q918" s="46"/>
    </row>
    <row r="919" spans="17:17" x14ac:dyDescent="0.25">
      <c r="Q919" s="46"/>
    </row>
    <row r="920" spans="17:17" x14ac:dyDescent="0.25">
      <c r="Q920" s="46"/>
    </row>
    <row r="921" spans="17:17" x14ac:dyDescent="0.25">
      <c r="Q921" s="46"/>
    </row>
    <row r="922" spans="17:17" x14ac:dyDescent="0.25">
      <c r="Q922" s="46"/>
    </row>
    <row r="923" spans="17:17" x14ac:dyDescent="0.25">
      <c r="Q923" s="46"/>
    </row>
    <row r="924" spans="17:17" x14ac:dyDescent="0.25">
      <c r="Q924" s="46"/>
    </row>
    <row r="925" spans="17:17" x14ac:dyDescent="0.25">
      <c r="Q925" s="46"/>
    </row>
    <row r="926" spans="17:17" x14ac:dyDescent="0.25">
      <c r="Q926" s="46"/>
    </row>
    <row r="927" spans="17:17" x14ac:dyDescent="0.25">
      <c r="Q927" s="46"/>
    </row>
    <row r="928" spans="17:17" x14ac:dyDescent="0.25">
      <c r="Q928" s="46"/>
    </row>
    <row r="929" spans="17:17" x14ac:dyDescent="0.25">
      <c r="Q929" s="46"/>
    </row>
    <row r="930" spans="17:17" x14ac:dyDescent="0.25">
      <c r="Q930" s="46"/>
    </row>
    <row r="931" spans="17:17" x14ac:dyDescent="0.25">
      <c r="Q931" s="46"/>
    </row>
    <row r="932" spans="17:17" x14ac:dyDescent="0.25">
      <c r="Q932" s="46"/>
    </row>
    <row r="933" spans="17:17" x14ac:dyDescent="0.25">
      <c r="Q933" s="46"/>
    </row>
    <row r="934" spans="17:17" x14ac:dyDescent="0.25">
      <c r="Q934" s="46"/>
    </row>
    <row r="935" spans="17:17" x14ac:dyDescent="0.25">
      <c r="Q935" s="46"/>
    </row>
    <row r="936" spans="17:17" x14ac:dyDescent="0.25">
      <c r="Q936" s="46"/>
    </row>
    <row r="937" spans="17:17" x14ac:dyDescent="0.25">
      <c r="Q937" s="46"/>
    </row>
    <row r="938" spans="17:17" x14ac:dyDescent="0.25">
      <c r="Q938" s="46"/>
    </row>
    <row r="939" spans="17:17" x14ac:dyDescent="0.25">
      <c r="Q939" s="46"/>
    </row>
    <row r="940" spans="17:17" x14ac:dyDescent="0.25">
      <c r="Q940" s="46"/>
    </row>
    <row r="941" spans="17:17" x14ac:dyDescent="0.25">
      <c r="Q941" s="46"/>
    </row>
    <row r="942" spans="17:17" x14ac:dyDescent="0.25">
      <c r="Q942" s="46"/>
    </row>
    <row r="943" spans="17:17" x14ac:dyDescent="0.25">
      <c r="Q943" s="46"/>
    </row>
    <row r="944" spans="17:17" x14ac:dyDescent="0.25">
      <c r="Q944" s="46"/>
    </row>
    <row r="945" spans="17:17" x14ac:dyDescent="0.25">
      <c r="Q945" s="46"/>
    </row>
    <row r="946" spans="17:17" x14ac:dyDescent="0.25">
      <c r="Q946" s="46"/>
    </row>
    <row r="947" spans="17:17" x14ac:dyDescent="0.25">
      <c r="Q947" s="46"/>
    </row>
    <row r="948" spans="17:17" x14ac:dyDescent="0.25">
      <c r="Q948" s="46"/>
    </row>
    <row r="949" spans="17:17" x14ac:dyDescent="0.25">
      <c r="Q949" s="46"/>
    </row>
    <row r="950" spans="17:17" x14ac:dyDescent="0.25">
      <c r="Q950" s="46"/>
    </row>
    <row r="951" spans="17:17" x14ac:dyDescent="0.25">
      <c r="Q951" s="46"/>
    </row>
    <row r="952" spans="17:17" x14ac:dyDescent="0.25">
      <c r="Q952" s="46"/>
    </row>
    <row r="953" spans="17:17" x14ac:dyDescent="0.25">
      <c r="Q953" s="46"/>
    </row>
    <row r="954" spans="17:17" x14ac:dyDescent="0.25">
      <c r="Q954" s="46"/>
    </row>
    <row r="955" spans="17:17" x14ac:dyDescent="0.25">
      <c r="Q955" s="46"/>
    </row>
    <row r="956" spans="17:17" x14ac:dyDescent="0.25">
      <c r="Q956" s="46"/>
    </row>
    <row r="957" spans="17:17" x14ac:dyDescent="0.25">
      <c r="Q957" s="46"/>
    </row>
    <row r="958" spans="17:17" x14ac:dyDescent="0.25">
      <c r="Q958" s="46"/>
    </row>
    <row r="959" spans="17:17" x14ac:dyDescent="0.25">
      <c r="Q959" s="46"/>
    </row>
    <row r="960" spans="17:17" x14ac:dyDescent="0.25">
      <c r="Q960" s="46"/>
    </row>
    <row r="961" spans="17:17" x14ac:dyDescent="0.25">
      <c r="Q961" s="46"/>
    </row>
    <row r="962" spans="17:17" x14ac:dyDescent="0.25">
      <c r="Q962" s="46"/>
    </row>
    <row r="963" spans="17:17" x14ac:dyDescent="0.25">
      <c r="Q963" s="46"/>
    </row>
    <row r="964" spans="17:17" x14ac:dyDescent="0.25">
      <c r="Q964" s="46"/>
    </row>
    <row r="965" spans="17:17" x14ac:dyDescent="0.25">
      <c r="Q965" s="46"/>
    </row>
    <row r="966" spans="17:17" x14ac:dyDescent="0.25">
      <c r="Q966" s="46"/>
    </row>
    <row r="967" spans="17:17" x14ac:dyDescent="0.25">
      <c r="Q967" s="46"/>
    </row>
    <row r="968" spans="17:17" x14ac:dyDescent="0.25">
      <c r="Q968" s="46"/>
    </row>
    <row r="969" spans="17:17" x14ac:dyDescent="0.25">
      <c r="Q969" s="46"/>
    </row>
    <row r="970" spans="17:17" x14ac:dyDescent="0.25">
      <c r="Q970" s="46"/>
    </row>
    <row r="971" spans="17:17" x14ac:dyDescent="0.25">
      <c r="Q971" s="46"/>
    </row>
    <row r="972" spans="17:17" x14ac:dyDescent="0.25">
      <c r="Q972" s="46"/>
    </row>
    <row r="973" spans="17:17" x14ac:dyDescent="0.25">
      <c r="Q973" s="46"/>
    </row>
    <row r="974" spans="17:17" x14ac:dyDescent="0.25">
      <c r="Q974" s="46"/>
    </row>
    <row r="975" spans="17:17" x14ac:dyDescent="0.25">
      <c r="Q975" s="46"/>
    </row>
    <row r="976" spans="17:17" x14ac:dyDescent="0.25">
      <c r="Q976" s="46"/>
    </row>
    <row r="977" spans="17:17" x14ac:dyDescent="0.25">
      <c r="Q977" s="46"/>
    </row>
    <row r="978" spans="17:17" x14ac:dyDescent="0.25">
      <c r="Q978" s="46"/>
    </row>
    <row r="979" spans="17:17" x14ac:dyDescent="0.25">
      <c r="Q979" s="46"/>
    </row>
    <row r="980" spans="17:17" x14ac:dyDescent="0.25">
      <c r="Q980" s="46"/>
    </row>
    <row r="981" spans="17:17" x14ac:dyDescent="0.25">
      <c r="Q981" s="46"/>
    </row>
    <row r="982" spans="17:17" x14ac:dyDescent="0.25">
      <c r="Q982" s="46"/>
    </row>
    <row r="983" spans="17:17" x14ac:dyDescent="0.25">
      <c r="Q983" s="46"/>
    </row>
    <row r="984" spans="17:17" x14ac:dyDescent="0.25">
      <c r="Q984" s="46"/>
    </row>
    <row r="985" spans="17:17" x14ac:dyDescent="0.25">
      <c r="Q985" s="46"/>
    </row>
    <row r="986" spans="17:17" x14ac:dyDescent="0.25">
      <c r="Q986" s="46"/>
    </row>
    <row r="987" spans="17:17" x14ac:dyDescent="0.25">
      <c r="Q987" s="46"/>
    </row>
    <row r="988" spans="17:17" x14ac:dyDescent="0.25">
      <c r="Q988" s="46"/>
    </row>
    <row r="989" spans="17:17" x14ac:dyDescent="0.25">
      <c r="Q989" s="46"/>
    </row>
    <row r="990" spans="17:17" x14ac:dyDescent="0.25">
      <c r="Q990" s="46"/>
    </row>
    <row r="991" spans="17:17" x14ac:dyDescent="0.25">
      <c r="Q991" s="46"/>
    </row>
    <row r="992" spans="17:17" x14ac:dyDescent="0.25">
      <c r="Q992" s="46"/>
    </row>
    <row r="993" spans="17:17" x14ac:dyDescent="0.25">
      <c r="Q993" s="46"/>
    </row>
    <row r="994" spans="17:17" x14ac:dyDescent="0.25">
      <c r="Q994" s="46"/>
    </row>
    <row r="995" spans="17:17" x14ac:dyDescent="0.25">
      <c r="Q995" s="46"/>
    </row>
    <row r="996" spans="17:17" x14ac:dyDescent="0.25">
      <c r="Q996" s="46"/>
    </row>
    <row r="997" spans="17:17" x14ac:dyDescent="0.25">
      <c r="Q997" s="46"/>
    </row>
    <row r="998" spans="17:17" x14ac:dyDescent="0.25">
      <c r="Q998" s="46"/>
    </row>
    <row r="999" spans="17:17" x14ac:dyDescent="0.25">
      <c r="Q999" s="46"/>
    </row>
    <row r="1000" spans="17:17" x14ac:dyDescent="0.25">
      <c r="Q1000" s="46"/>
    </row>
    <row r="1001" spans="17:17" x14ac:dyDescent="0.25">
      <c r="Q1001" s="46"/>
    </row>
    <row r="1002" spans="17:17" x14ac:dyDescent="0.25">
      <c r="Q1002" s="46"/>
    </row>
    <row r="1003" spans="17:17" x14ac:dyDescent="0.25">
      <c r="Q1003" s="46"/>
    </row>
    <row r="1004" spans="17:17" x14ac:dyDescent="0.25">
      <c r="Q1004" s="46"/>
    </row>
    <row r="1005" spans="17:17" x14ac:dyDescent="0.25">
      <c r="Q1005" s="46"/>
    </row>
    <row r="1006" spans="17:17" x14ac:dyDescent="0.25">
      <c r="Q1006" s="46"/>
    </row>
    <row r="1007" spans="17:17" x14ac:dyDescent="0.25">
      <c r="Q1007" s="46"/>
    </row>
    <row r="1008" spans="17:17" x14ac:dyDescent="0.25">
      <c r="Q1008" s="46"/>
    </row>
    <row r="1009" spans="17:17" x14ac:dyDescent="0.25">
      <c r="Q1009" s="46"/>
    </row>
    <row r="1010" spans="17:17" x14ac:dyDescent="0.25">
      <c r="Q1010" s="46"/>
    </row>
    <row r="1011" spans="17:17" x14ac:dyDescent="0.25">
      <c r="Q1011" s="46"/>
    </row>
    <row r="1012" spans="17:17" x14ac:dyDescent="0.25">
      <c r="Q1012" s="46"/>
    </row>
    <row r="1013" spans="17:17" x14ac:dyDescent="0.25">
      <c r="Q1013" s="46"/>
    </row>
    <row r="1014" spans="17:17" x14ac:dyDescent="0.25">
      <c r="Q1014" s="46"/>
    </row>
    <row r="1015" spans="17:17" x14ac:dyDescent="0.25">
      <c r="Q1015" s="46"/>
    </row>
    <row r="1016" spans="17:17" x14ac:dyDescent="0.25">
      <c r="Q1016" s="46"/>
    </row>
    <row r="1017" spans="17:17" x14ac:dyDescent="0.25">
      <c r="Q1017" s="46"/>
    </row>
    <row r="1018" spans="17:17" x14ac:dyDescent="0.25">
      <c r="Q1018" s="46"/>
    </row>
    <row r="1019" spans="17:17" x14ac:dyDescent="0.25">
      <c r="Q1019" s="46"/>
    </row>
    <row r="1020" spans="17:17" x14ac:dyDescent="0.25">
      <c r="Q1020" s="46"/>
    </row>
    <row r="1021" spans="17:17" x14ac:dyDescent="0.25">
      <c r="Q1021" s="46"/>
    </row>
    <row r="1022" spans="17:17" x14ac:dyDescent="0.25">
      <c r="Q1022" s="46"/>
    </row>
    <row r="1023" spans="17:17" x14ac:dyDescent="0.25">
      <c r="Q1023" s="46"/>
    </row>
    <row r="1024" spans="17:17" x14ac:dyDescent="0.25">
      <c r="Q1024" s="46"/>
    </row>
    <row r="1025" spans="17:17" x14ac:dyDescent="0.25">
      <c r="Q1025" s="46"/>
    </row>
    <row r="1026" spans="17:17" x14ac:dyDescent="0.25">
      <c r="Q1026" s="46"/>
    </row>
    <row r="1027" spans="17:17" x14ac:dyDescent="0.25">
      <c r="Q1027" s="46"/>
    </row>
    <row r="1028" spans="17:17" x14ac:dyDescent="0.25">
      <c r="Q1028" s="46"/>
    </row>
    <row r="1029" spans="17:17" x14ac:dyDescent="0.25">
      <c r="Q1029" s="46"/>
    </row>
    <row r="1030" spans="17:17" x14ac:dyDescent="0.25">
      <c r="Q1030" s="46"/>
    </row>
    <row r="1031" spans="17:17" x14ac:dyDescent="0.25">
      <c r="Q1031" s="46"/>
    </row>
    <row r="1032" spans="17:17" x14ac:dyDescent="0.25">
      <c r="Q1032" s="46"/>
    </row>
    <row r="1033" spans="17:17" x14ac:dyDescent="0.25">
      <c r="Q1033" s="46"/>
    </row>
    <row r="1034" spans="17:17" x14ac:dyDescent="0.25">
      <c r="Q1034" s="46"/>
    </row>
    <row r="1035" spans="17:17" x14ac:dyDescent="0.25">
      <c r="Q1035" s="46"/>
    </row>
    <row r="1036" spans="17:17" x14ac:dyDescent="0.25">
      <c r="Q1036" s="46"/>
    </row>
    <row r="1037" spans="17:17" x14ac:dyDescent="0.25">
      <c r="Q1037" s="46"/>
    </row>
    <row r="1038" spans="17:17" x14ac:dyDescent="0.25">
      <c r="Q1038" s="46"/>
    </row>
    <row r="1039" spans="17:17" x14ac:dyDescent="0.25">
      <c r="Q1039" s="46"/>
    </row>
    <row r="1040" spans="17:17" x14ac:dyDescent="0.25">
      <c r="Q1040" s="46"/>
    </row>
    <row r="1041" spans="17:17" x14ac:dyDescent="0.25">
      <c r="Q1041" s="46"/>
    </row>
    <row r="1042" spans="17:17" x14ac:dyDescent="0.25">
      <c r="Q1042" s="46"/>
    </row>
    <row r="1043" spans="17:17" x14ac:dyDescent="0.25">
      <c r="Q1043" s="46"/>
    </row>
    <row r="1044" spans="17:17" x14ac:dyDescent="0.25">
      <c r="Q1044" s="46"/>
    </row>
    <row r="1045" spans="17:17" x14ac:dyDescent="0.25">
      <c r="Q1045" s="46"/>
    </row>
    <row r="1046" spans="17:17" x14ac:dyDescent="0.25">
      <c r="Q1046" s="46"/>
    </row>
    <row r="1047" spans="17:17" x14ac:dyDescent="0.25">
      <c r="Q1047" s="46"/>
    </row>
    <row r="1048" spans="17:17" x14ac:dyDescent="0.25">
      <c r="Q1048" s="46"/>
    </row>
    <row r="1049" spans="17:17" x14ac:dyDescent="0.25">
      <c r="Q1049" s="46"/>
    </row>
    <row r="1050" spans="17:17" x14ac:dyDescent="0.25">
      <c r="Q1050" s="46"/>
    </row>
    <row r="1051" spans="17:17" x14ac:dyDescent="0.25">
      <c r="Q1051" s="46"/>
    </row>
    <row r="1052" spans="17:17" x14ac:dyDescent="0.25">
      <c r="Q1052" s="46"/>
    </row>
    <row r="1053" spans="17:17" x14ac:dyDescent="0.25">
      <c r="Q1053" s="46"/>
    </row>
    <row r="1054" spans="17:17" x14ac:dyDescent="0.25">
      <c r="Q1054" s="46"/>
    </row>
    <row r="1055" spans="17:17" x14ac:dyDescent="0.25">
      <c r="Q1055" s="46"/>
    </row>
    <row r="1056" spans="17:17" x14ac:dyDescent="0.25">
      <c r="Q1056" s="46"/>
    </row>
    <row r="1057" spans="17:17" x14ac:dyDescent="0.25">
      <c r="Q1057" s="46"/>
    </row>
    <row r="1058" spans="17:17" x14ac:dyDescent="0.25">
      <c r="Q1058" s="46"/>
    </row>
    <row r="1059" spans="17:17" x14ac:dyDescent="0.25">
      <c r="Q1059" s="46"/>
    </row>
    <row r="1060" spans="17:17" x14ac:dyDescent="0.25">
      <c r="Q1060" s="46"/>
    </row>
    <row r="1061" spans="17:17" x14ac:dyDescent="0.25">
      <c r="Q1061" s="46"/>
    </row>
    <row r="1062" spans="17:17" x14ac:dyDescent="0.25">
      <c r="Q1062" s="46"/>
    </row>
    <row r="1063" spans="17:17" x14ac:dyDescent="0.25">
      <c r="Q1063" s="46"/>
    </row>
    <row r="1064" spans="17:17" x14ac:dyDescent="0.25">
      <c r="Q1064" s="46"/>
    </row>
    <row r="1065" spans="17:17" x14ac:dyDescent="0.25">
      <c r="Q1065" s="46"/>
    </row>
    <row r="1066" spans="17:17" x14ac:dyDescent="0.25">
      <c r="Q1066" s="46"/>
    </row>
    <row r="1067" spans="17:17" x14ac:dyDescent="0.25">
      <c r="Q1067" s="46"/>
    </row>
    <row r="1068" spans="17:17" x14ac:dyDescent="0.25">
      <c r="Q1068" s="46"/>
    </row>
    <row r="1069" spans="17:17" x14ac:dyDescent="0.25">
      <c r="Q1069" s="46"/>
    </row>
    <row r="1070" spans="17:17" x14ac:dyDescent="0.25">
      <c r="Q1070" s="46"/>
    </row>
    <row r="1071" spans="17:17" x14ac:dyDescent="0.25">
      <c r="Q1071" s="46"/>
    </row>
    <row r="1072" spans="17:17" x14ac:dyDescent="0.25">
      <c r="Q1072" s="46"/>
    </row>
    <row r="1073" spans="17:17" x14ac:dyDescent="0.25">
      <c r="Q1073" s="46"/>
    </row>
    <row r="1074" spans="17:17" x14ac:dyDescent="0.25">
      <c r="Q1074" s="46"/>
    </row>
    <row r="1075" spans="17:17" x14ac:dyDescent="0.25">
      <c r="Q1075" s="46"/>
    </row>
    <row r="1076" spans="17:17" x14ac:dyDescent="0.25">
      <c r="Q1076" s="46"/>
    </row>
    <row r="1077" spans="17:17" x14ac:dyDescent="0.25">
      <c r="Q1077" s="46"/>
    </row>
    <row r="1078" spans="17:17" x14ac:dyDescent="0.25">
      <c r="Q1078" s="46"/>
    </row>
    <row r="1079" spans="17:17" x14ac:dyDescent="0.25">
      <c r="Q1079" s="46"/>
    </row>
    <row r="1080" spans="17:17" x14ac:dyDescent="0.25">
      <c r="Q1080" s="46"/>
    </row>
    <row r="1081" spans="17:17" x14ac:dyDescent="0.25">
      <c r="Q1081" s="46"/>
    </row>
    <row r="1082" spans="17:17" x14ac:dyDescent="0.25">
      <c r="Q1082" s="46"/>
    </row>
    <row r="1083" spans="17:17" x14ac:dyDescent="0.25">
      <c r="Q1083" s="46"/>
    </row>
    <row r="1084" spans="17:17" x14ac:dyDescent="0.25">
      <c r="Q1084" s="46"/>
    </row>
    <row r="1085" spans="17:17" x14ac:dyDescent="0.25">
      <c r="Q1085" s="46"/>
    </row>
    <row r="1086" spans="17:17" x14ac:dyDescent="0.25">
      <c r="Q1086" s="46"/>
    </row>
    <row r="1087" spans="17:17" x14ac:dyDescent="0.25">
      <c r="Q1087" s="46"/>
    </row>
    <row r="1088" spans="17:17" x14ac:dyDescent="0.25">
      <c r="Q1088" s="46"/>
    </row>
    <row r="1089" spans="17:17" x14ac:dyDescent="0.25">
      <c r="Q1089" s="46"/>
    </row>
    <row r="1090" spans="17:17" x14ac:dyDescent="0.25">
      <c r="Q1090" s="46"/>
    </row>
    <row r="1091" spans="17:17" x14ac:dyDescent="0.25">
      <c r="Q1091" s="46"/>
    </row>
    <row r="1092" spans="17:17" x14ac:dyDescent="0.25">
      <c r="Q1092" s="46"/>
    </row>
    <row r="1093" spans="17:17" x14ac:dyDescent="0.25">
      <c r="Q1093" s="46"/>
    </row>
    <row r="1094" spans="17:17" x14ac:dyDescent="0.25">
      <c r="Q1094" s="46"/>
    </row>
    <row r="1095" spans="17:17" x14ac:dyDescent="0.25">
      <c r="Q1095" s="46"/>
    </row>
    <row r="1096" spans="17:17" x14ac:dyDescent="0.25">
      <c r="Q1096" s="46"/>
    </row>
    <row r="1097" spans="17:17" x14ac:dyDescent="0.25">
      <c r="Q1097" s="46"/>
    </row>
    <row r="1098" spans="17:17" x14ac:dyDescent="0.25">
      <c r="Q1098" s="46"/>
    </row>
    <row r="1099" spans="17:17" x14ac:dyDescent="0.25">
      <c r="Q1099" s="46"/>
    </row>
    <row r="1100" spans="17:17" x14ac:dyDescent="0.25">
      <c r="Q1100" s="46"/>
    </row>
    <row r="1101" spans="17:17" x14ac:dyDescent="0.25">
      <c r="Q1101" s="46"/>
    </row>
    <row r="1102" spans="17:17" x14ac:dyDescent="0.25">
      <c r="Q1102" s="46"/>
    </row>
    <row r="1103" spans="17:17" x14ac:dyDescent="0.25">
      <c r="Q1103" s="46"/>
    </row>
    <row r="1104" spans="17:17" x14ac:dyDescent="0.25">
      <c r="Q1104" s="46"/>
    </row>
    <row r="1105" spans="17:17" x14ac:dyDescent="0.25">
      <c r="Q1105" s="46"/>
    </row>
    <row r="1106" spans="17:17" x14ac:dyDescent="0.25">
      <c r="Q1106" s="46"/>
    </row>
    <row r="1107" spans="17:17" x14ac:dyDescent="0.25">
      <c r="Q1107" s="46"/>
    </row>
    <row r="1108" spans="17:17" x14ac:dyDescent="0.25">
      <c r="Q1108" s="46"/>
    </row>
    <row r="1109" spans="17:17" x14ac:dyDescent="0.25">
      <c r="Q1109" s="46"/>
    </row>
    <row r="1110" spans="17:17" x14ac:dyDescent="0.25">
      <c r="Q1110" s="46"/>
    </row>
    <row r="1111" spans="17:17" x14ac:dyDescent="0.25">
      <c r="Q1111" s="46"/>
    </row>
    <row r="1112" spans="17:17" x14ac:dyDescent="0.25">
      <c r="Q1112" s="46"/>
    </row>
    <row r="1113" spans="17:17" x14ac:dyDescent="0.25">
      <c r="Q1113" s="46"/>
    </row>
    <row r="1114" spans="17:17" x14ac:dyDescent="0.25">
      <c r="Q1114" s="46"/>
    </row>
    <row r="1115" spans="17:17" x14ac:dyDescent="0.25">
      <c r="Q1115" s="46"/>
    </row>
    <row r="1116" spans="17:17" x14ac:dyDescent="0.25">
      <c r="Q1116" s="46"/>
    </row>
    <row r="1117" spans="17:17" x14ac:dyDescent="0.25">
      <c r="Q1117" s="46"/>
    </row>
    <row r="1118" spans="17:17" x14ac:dyDescent="0.25">
      <c r="Q1118" s="46"/>
    </row>
    <row r="1119" spans="17:17" x14ac:dyDescent="0.25">
      <c r="Q1119" s="46"/>
    </row>
    <row r="1120" spans="17:17" x14ac:dyDescent="0.25">
      <c r="Q1120" s="46"/>
    </row>
    <row r="1121" spans="17:17" x14ac:dyDescent="0.25">
      <c r="Q1121" s="46"/>
    </row>
    <row r="1122" spans="17:17" x14ac:dyDescent="0.25">
      <c r="Q1122" s="46"/>
    </row>
    <row r="1123" spans="17:17" x14ac:dyDescent="0.25">
      <c r="Q1123" s="46"/>
    </row>
    <row r="1124" spans="17:17" x14ac:dyDescent="0.25">
      <c r="Q1124" s="46"/>
    </row>
    <row r="1125" spans="17:17" x14ac:dyDescent="0.25">
      <c r="Q1125" s="46"/>
    </row>
    <row r="1126" spans="17:17" x14ac:dyDescent="0.25">
      <c r="Q1126" s="46"/>
    </row>
    <row r="1127" spans="17:17" x14ac:dyDescent="0.25">
      <c r="Q1127" s="46"/>
    </row>
    <row r="1128" spans="17:17" x14ac:dyDescent="0.25">
      <c r="Q1128" s="46"/>
    </row>
    <row r="1129" spans="17:17" x14ac:dyDescent="0.25">
      <c r="Q1129" s="46"/>
    </row>
    <row r="1130" spans="17:17" x14ac:dyDescent="0.25">
      <c r="Q1130" s="46"/>
    </row>
    <row r="1131" spans="17:17" x14ac:dyDescent="0.25">
      <c r="Q1131" s="46"/>
    </row>
    <row r="1132" spans="17:17" x14ac:dyDescent="0.25">
      <c r="Q1132" s="46"/>
    </row>
    <row r="1133" spans="17:17" x14ac:dyDescent="0.25">
      <c r="Q1133" s="46"/>
    </row>
    <row r="1134" spans="17:17" x14ac:dyDescent="0.25">
      <c r="Q1134" s="46"/>
    </row>
    <row r="1135" spans="17:17" x14ac:dyDescent="0.25">
      <c r="Q1135" s="46"/>
    </row>
    <row r="1136" spans="17:17" x14ac:dyDescent="0.25">
      <c r="Q1136" s="46"/>
    </row>
    <row r="1137" spans="17:17" x14ac:dyDescent="0.25">
      <c r="Q1137" s="46"/>
    </row>
    <row r="1138" spans="17:17" x14ac:dyDescent="0.25">
      <c r="Q1138" s="46"/>
    </row>
    <row r="1139" spans="17:17" x14ac:dyDescent="0.25">
      <c r="Q1139" s="46"/>
    </row>
    <row r="1140" spans="17:17" x14ac:dyDescent="0.25">
      <c r="Q1140" s="46"/>
    </row>
    <row r="1141" spans="17:17" x14ac:dyDescent="0.25">
      <c r="Q1141" s="46"/>
    </row>
    <row r="1142" spans="17:17" x14ac:dyDescent="0.25">
      <c r="Q1142" s="46"/>
    </row>
    <row r="1143" spans="17:17" x14ac:dyDescent="0.25">
      <c r="Q1143" s="46"/>
    </row>
    <row r="1144" spans="17:17" x14ac:dyDescent="0.25">
      <c r="Q1144" s="46"/>
    </row>
    <row r="1145" spans="17:17" x14ac:dyDescent="0.25">
      <c r="Q1145" s="46"/>
    </row>
    <row r="1146" spans="17:17" x14ac:dyDescent="0.25">
      <c r="Q1146" s="46"/>
    </row>
    <row r="1147" spans="17:17" x14ac:dyDescent="0.25">
      <c r="Q1147" s="46"/>
    </row>
    <row r="1148" spans="17:17" x14ac:dyDescent="0.25">
      <c r="Q1148" s="46"/>
    </row>
    <row r="1149" spans="17:17" x14ac:dyDescent="0.25">
      <c r="Q1149" s="46"/>
    </row>
    <row r="1150" spans="17:17" x14ac:dyDescent="0.25">
      <c r="Q1150" s="46"/>
    </row>
    <row r="1151" spans="17:17" x14ac:dyDescent="0.25">
      <c r="Q1151" s="46"/>
    </row>
    <row r="1152" spans="17:17" x14ac:dyDescent="0.25">
      <c r="Q1152" s="46"/>
    </row>
    <row r="1153" spans="17:17" x14ac:dyDescent="0.25">
      <c r="Q1153" s="46"/>
    </row>
    <row r="1154" spans="17:17" x14ac:dyDescent="0.25">
      <c r="Q1154" s="46"/>
    </row>
    <row r="1155" spans="17:17" x14ac:dyDescent="0.25">
      <c r="Q1155" s="46"/>
    </row>
    <row r="1156" spans="17:17" x14ac:dyDescent="0.25">
      <c r="Q1156" s="46"/>
    </row>
    <row r="1157" spans="17:17" x14ac:dyDescent="0.25">
      <c r="Q1157" s="46"/>
    </row>
    <row r="1158" spans="17:17" x14ac:dyDescent="0.25">
      <c r="Q1158" s="46"/>
    </row>
    <row r="1159" spans="17:17" x14ac:dyDescent="0.25">
      <c r="Q1159" s="46"/>
    </row>
    <row r="1160" spans="17:17" x14ac:dyDescent="0.25">
      <c r="Q1160" s="46"/>
    </row>
    <row r="1161" spans="17:17" x14ac:dyDescent="0.25">
      <c r="Q1161" s="46"/>
    </row>
    <row r="1162" spans="17:17" x14ac:dyDescent="0.25">
      <c r="Q1162" s="46"/>
    </row>
    <row r="1163" spans="17:17" x14ac:dyDescent="0.25">
      <c r="Q1163" s="46"/>
    </row>
    <row r="1164" spans="17:17" x14ac:dyDescent="0.25">
      <c r="Q1164" s="46"/>
    </row>
    <row r="1165" spans="17:17" x14ac:dyDescent="0.25">
      <c r="Q1165" s="46"/>
    </row>
    <row r="1166" spans="17:17" x14ac:dyDescent="0.25">
      <c r="Q1166" s="46"/>
    </row>
    <row r="1167" spans="17:17" x14ac:dyDescent="0.25">
      <c r="Q1167" s="46"/>
    </row>
    <row r="1168" spans="17:17" x14ac:dyDescent="0.25">
      <c r="Q1168" s="46"/>
    </row>
    <row r="1169" spans="17:17" x14ac:dyDescent="0.25">
      <c r="Q1169" s="46"/>
    </row>
    <row r="1170" spans="17:17" x14ac:dyDescent="0.25">
      <c r="Q1170" s="46"/>
    </row>
    <row r="1171" spans="17:17" x14ac:dyDescent="0.25">
      <c r="Q1171" s="46"/>
    </row>
    <row r="1172" spans="17:17" x14ac:dyDescent="0.25">
      <c r="Q1172" s="46"/>
    </row>
    <row r="1173" spans="17:17" x14ac:dyDescent="0.25">
      <c r="Q1173" s="46"/>
    </row>
    <row r="1174" spans="17:17" x14ac:dyDescent="0.25">
      <c r="Q1174" s="46"/>
    </row>
    <row r="1175" spans="17:17" x14ac:dyDescent="0.25">
      <c r="Q1175" s="46"/>
    </row>
    <row r="1176" spans="17:17" x14ac:dyDescent="0.25">
      <c r="Q1176" s="46"/>
    </row>
    <row r="1177" spans="17:17" x14ac:dyDescent="0.25">
      <c r="Q1177" s="46"/>
    </row>
    <row r="1178" spans="17:17" x14ac:dyDescent="0.25">
      <c r="Q1178" s="46"/>
    </row>
    <row r="1179" spans="17:17" x14ac:dyDescent="0.25">
      <c r="Q1179" s="46"/>
    </row>
    <row r="1180" spans="17:17" x14ac:dyDescent="0.25">
      <c r="Q1180" s="46"/>
    </row>
    <row r="1181" spans="17:17" x14ac:dyDescent="0.25">
      <c r="Q1181" s="46"/>
    </row>
    <row r="1182" spans="17:17" x14ac:dyDescent="0.25">
      <c r="Q1182" s="46"/>
    </row>
    <row r="1183" spans="17:17" x14ac:dyDescent="0.25">
      <c r="Q1183" s="46"/>
    </row>
    <row r="1184" spans="17:17" x14ac:dyDescent="0.25">
      <c r="Q1184" s="46"/>
    </row>
    <row r="1185" spans="17:17" x14ac:dyDescent="0.25">
      <c r="Q1185" s="46"/>
    </row>
    <row r="1186" spans="17:17" x14ac:dyDescent="0.25">
      <c r="Q1186" s="46"/>
    </row>
    <row r="1187" spans="17:17" x14ac:dyDescent="0.25">
      <c r="Q1187" s="46"/>
    </row>
    <row r="1188" spans="17:17" x14ac:dyDescent="0.25">
      <c r="Q1188" s="46"/>
    </row>
    <row r="1189" spans="17:17" x14ac:dyDescent="0.25">
      <c r="Q1189" s="46"/>
    </row>
    <row r="1190" spans="17:17" x14ac:dyDescent="0.25">
      <c r="Q1190" s="46"/>
    </row>
    <row r="1191" spans="17:17" x14ac:dyDescent="0.25">
      <c r="Q1191" s="46"/>
    </row>
    <row r="1192" spans="17:17" x14ac:dyDescent="0.25">
      <c r="Q1192" s="46"/>
    </row>
    <row r="1193" spans="17:17" x14ac:dyDescent="0.25">
      <c r="Q1193" s="46"/>
    </row>
    <row r="1194" spans="17:17" x14ac:dyDescent="0.25">
      <c r="Q1194" s="46"/>
    </row>
    <row r="1195" spans="17:17" x14ac:dyDescent="0.25">
      <c r="Q1195" s="46"/>
    </row>
    <row r="1196" spans="17:17" x14ac:dyDescent="0.25">
      <c r="Q1196" s="46"/>
    </row>
    <row r="1197" spans="17:17" x14ac:dyDescent="0.25">
      <c r="Q1197" s="46"/>
    </row>
    <row r="1198" spans="17:17" x14ac:dyDescent="0.25">
      <c r="Q1198" s="46"/>
    </row>
    <row r="1199" spans="17:17" x14ac:dyDescent="0.25">
      <c r="Q1199" s="46"/>
    </row>
    <row r="1200" spans="17:17" x14ac:dyDescent="0.25">
      <c r="Q1200" s="46"/>
    </row>
    <row r="1201" spans="17:17" x14ac:dyDescent="0.25">
      <c r="Q1201" s="46"/>
    </row>
    <row r="1202" spans="17:17" x14ac:dyDescent="0.25">
      <c r="Q1202" s="46"/>
    </row>
    <row r="1203" spans="17:17" x14ac:dyDescent="0.25">
      <c r="Q1203" s="46"/>
    </row>
    <row r="1204" spans="17:17" x14ac:dyDescent="0.25">
      <c r="Q1204" s="46"/>
    </row>
    <row r="1205" spans="17:17" x14ac:dyDescent="0.25">
      <c r="Q1205" s="46"/>
    </row>
    <row r="1206" spans="17:17" x14ac:dyDescent="0.25">
      <c r="Q1206" s="46"/>
    </row>
    <row r="1207" spans="17:17" x14ac:dyDescent="0.25">
      <c r="Q1207" s="46"/>
    </row>
    <row r="1208" spans="17:17" x14ac:dyDescent="0.25">
      <c r="Q1208" s="46"/>
    </row>
    <row r="1209" spans="17:17" x14ac:dyDescent="0.25">
      <c r="Q1209" s="46"/>
    </row>
    <row r="1210" spans="17:17" x14ac:dyDescent="0.25">
      <c r="Q1210" s="46"/>
    </row>
    <row r="1211" spans="17:17" x14ac:dyDescent="0.25">
      <c r="Q1211" s="46"/>
    </row>
    <row r="1212" spans="17:17" x14ac:dyDescent="0.25">
      <c r="Q1212" s="46"/>
    </row>
    <row r="1213" spans="17:17" x14ac:dyDescent="0.25">
      <c r="Q1213" s="46"/>
    </row>
    <row r="1214" spans="17:17" x14ac:dyDescent="0.25">
      <c r="Q1214" s="46"/>
    </row>
    <row r="1215" spans="17:17" x14ac:dyDescent="0.25">
      <c r="Q1215" s="46"/>
    </row>
    <row r="1216" spans="17:17" x14ac:dyDescent="0.25">
      <c r="Q1216" s="46"/>
    </row>
    <row r="1217" spans="17:17" x14ac:dyDescent="0.25">
      <c r="Q1217" s="46"/>
    </row>
    <row r="1218" spans="17:17" x14ac:dyDescent="0.25">
      <c r="Q1218" s="46"/>
    </row>
    <row r="1219" spans="17:17" x14ac:dyDescent="0.25">
      <c r="Q1219" s="46"/>
    </row>
    <row r="1220" spans="17:17" x14ac:dyDescent="0.25">
      <c r="Q1220" s="46"/>
    </row>
    <row r="1221" spans="17:17" x14ac:dyDescent="0.25">
      <c r="Q1221" s="46"/>
    </row>
    <row r="1222" spans="17:17" x14ac:dyDescent="0.25">
      <c r="Q1222" s="46"/>
    </row>
    <row r="1223" spans="17:17" x14ac:dyDescent="0.25">
      <c r="Q1223" s="46"/>
    </row>
    <row r="1224" spans="17:17" x14ac:dyDescent="0.25">
      <c r="Q1224" s="46"/>
    </row>
    <row r="1225" spans="17:17" x14ac:dyDescent="0.25">
      <c r="Q1225" s="46"/>
    </row>
    <row r="1226" spans="17:17" x14ac:dyDescent="0.25">
      <c r="Q1226" s="46"/>
    </row>
    <row r="1227" spans="17:17" x14ac:dyDescent="0.25">
      <c r="Q1227" s="46"/>
    </row>
    <row r="1228" spans="17:17" x14ac:dyDescent="0.25">
      <c r="Q1228" s="46"/>
    </row>
    <row r="1229" spans="17:17" x14ac:dyDescent="0.25">
      <c r="Q1229" s="46"/>
    </row>
    <row r="1230" spans="17:17" x14ac:dyDescent="0.25">
      <c r="Q1230" s="46"/>
    </row>
    <row r="1231" spans="17:17" x14ac:dyDescent="0.25">
      <c r="Q1231" s="46"/>
    </row>
    <row r="1232" spans="17:17" x14ac:dyDescent="0.25">
      <c r="Q1232" s="46"/>
    </row>
    <row r="1233" spans="17:17" x14ac:dyDescent="0.25">
      <c r="Q1233" s="46"/>
    </row>
    <row r="1234" spans="17:17" x14ac:dyDescent="0.25">
      <c r="Q1234" s="46"/>
    </row>
    <row r="1235" spans="17:17" x14ac:dyDescent="0.25">
      <c r="Q1235" s="46"/>
    </row>
    <row r="1236" spans="17:17" x14ac:dyDescent="0.25">
      <c r="Q1236" s="46"/>
    </row>
    <row r="1237" spans="17:17" x14ac:dyDescent="0.25">
      <c r="Q1237" s="46"/>
    </row>
    <row r="1238" spans="17:17" x14ac:dyDescent="0.25">
      <c r="Q1238" s="46"/>
    </row>
    <row r="1239" spans="17:17" x14ac:dyDescent="0.25">
      <c r="Q1239" s="46"/>
    </row>
    <row r="1240" spans="17:17" x14ac:dyDescent="0.25">
      <c r="Q1240" s="46"/>
    </row>
    <row r="1241" spans="17:17" x14ac:dyDescent="0.25">
      <c r="Q1241" s="46"/>
    </row>
    <row r="1242" spans="17:17" x14ac:dyDescent="0.25">
      <c r="Q1242" s="46"/>
    </row>
    <row r="1243" spans="17:17" x14ac:dyDescent="0.25">
      <c r="Q1243" s="46"/>
    </row>
    <row r="1244" spans="17:17" x14ac:dyDescent="0.25">
      <c r="Q1244" s="46"/>
    </row>
    <row r="1245" spans="17:17" x14ac:dyDescent="0.25">
      <c r="Q1245" s="46"/>
    </row>
    <row r="1246" spans="17:17" x14ac:dyDescent="0.25">
      <c r="Q1246" s="46"/>
    </row>
    <row r="1247" spans="17:17" x14ac:dyDescent="0.25">
      <c r="Q1247" s="46"/>
    </row>
    <row r="1248" spans="17:17" x14ac:dyDescent="0.25">
      <c r="Q1248" s="46"/>
    </row>
    <row r="1249" spans="17:17" x14ac:dyDescent="0.25">
      <c r="Q1249" s="46"/>
    </row>
    <row r="1250" spans="17:17" x14ac:dyDescent="0.25">
      <c r="Q1250" s="46"/>
    </row>
    <row r="1251" spans="17:17" x14ac:dyDescent="0.25">
      <c r="Q1251" s="46"/>
    </row>
    <row r="1252" spans="17:17" x14ac:dyDescent="0.25">
      <c r="Q1252" s="46"/>
    </row>
    <row r="1253" spans="17:17" x14ac:dyDescent="0.25">
      <c r="Q1253" s="46"/>
    </row>
    <row r="1254" spans="17:17" x14ac:dyDescent="0.25">
      <c r="Q1254" s="46"/>
    </row>
    <row r="1255" spans="17:17" x14ac:dyDescent="0.25">
      <c r="Q1255" s="46"/>
    </row>
    <row r="1256" spans="17:17" x14ac:dyDescent="0.25">
      <c r="Q1256" s="46"/>
    </row>
    <row r="1257" spans="17:17" x14ac:dyDescent="0.25">
      <c r="Q1257" s="46"/>
    </row>
    <row r="1258" spans="17:17" x14ac:dyDescent="0.25">
      <c r="Q1258" s="46"/>
    </row>
    <row r="1259" spans="17:17" x14ac:dyDescent="0.25">
      <c r="Q1259" s="46"/>
    </row>
    <row r="1260" spans="17:17" x14ac:dyDescent="0.25">
      <c r="Q1260" s="46"/>
    </row>
    <row r="1261" spans="17:17" x14ac:dyDescent="0.25">
      <c r="Q1261" s="46"/>
    </row>
    <row r="1262" spans="17:17" x14ac:dyDescent="0.25">
      <c r="Q1262" s="46"/>
    </row>
    <row r="1263" spans="17:17" x14ac:dyDescent="0.25">
      <c r="Q1263" s="46"/>
    </row>
    <row r="1264" spans="17:17" x14ac:dyDescent="0.25">
      <c r="Q1264" s="46"/>
    </row>
    <row r="1265" spans="17:17" x14ac:dyDescent="0.25">
      <c r="Q1265" s="46"/>
    </row>
    <row r="1266" spans="17:17" x14ac:dyDescent="0.25">
      <c r="Q1266" s="46"/>
    </row>
    <row r="1267" spans="17:17" x14ac:dyDescent="0.25">
      <c r="Q1267" s="46"/>
    </row>
    <row r="1268" spans="17:17" x14ac:dyDescent="0.25">
      <c r="Q1268" s="46"/>
    </row>
    <row r="1269" spans="17:17" x14ac:dyDescent="0.25">
      <c r="Q1269" s="46"/>
    </row>
    <row r="1270" spans="17:17" x14ac:dyDescent="0.25">
      <c r="Q1270" s="46"/>
    </row>
    <row r="1271" spans="17:17" x14ac:dyDescent="0.25">
      <c r="Q1271" s="46"/>
    </row>
    <row r="1272" spans="17:17" x14ac:dyDescent="0.25">
      <c r="Q1272" s="46"/>
    </row>
    <row r="1273" spans="17:17" x14ac:dyDescent="0.25">
      <c r="Q1273" s="46"/>
    </row>
    <row r="1274" spans="17:17" x14ac:dyDescent="0.25">
      <c r="Q1274" s="46"/>
    </row>
    <row r="1275" spans="17:17" x14ac:dyDescent="0.25">
      <c r="Q1275" s="46"/>
    </row>
    <row r="1276" spans="17:17" x14ac:dyDescent="0.25">
      <c r="Q1276" s="46"/>
    </row>
    <row r="1277" spans="17:17" x14ac:dyDescent="0.25">
      <c r="Q1277" s="46"/>
    </row>
    <row r="1278" spans="17:17" x14ac:dyDescent="0.25">
      <c r="Q1278" s="46"/>
    </row>
    <row r="1279" spans="17:17" x14ac:dyDescent="0.25">
      <c r="Q1279" s="46"/>
    </row>
    <row r="1280" spans="17:17" x14ac:dyDescent="0.25">
      <c r="Q1280" s="46"/>
    </row>
    <row r="1281" spans="17:17" x14ac:dyDescent="0.25">
      <c r="Q1281" s="46"/>
    </row>
    <row r="1282" spans="17:17" x14ac:dyDescent="0.25">
      <c r="Q1282" s="46"/>
    </row>
    <row r="1283" spans="17:17" x14ac:dyDescent="0.25">
      <c r="Q1283" s="46"/>
    </row>
    <row r="1284" spans="17:17" x14ac:dyDescent="0.25">
      <c r="Q1284" s="46"/>
    </row>
    <row r="1285" spans="17:17" x14ac:dyDescent="0.25">
      <c r="Q1285" s="46"/>
    </row>
    <row r="1286" spans="17:17" x14ac:dyDescent="0.25">
      <c r="Q1286" s="46"/>
    </row>
    <row r="1287" spans="17:17" x14ac:dyDescent="0.25">
      <c r="Q1287" s="46"/>
    </row>
    <row r="1288" spans="17:17" x14ac:dyDescent="0.25">
      <c r="Q1288" s="46"/>
    </row>
    <row r="1289" spans="17:17" x14ac:dyDescent="0.25">
      <c r="Q1289" s="46"/>
    </row>
    <row r="1290" spans="17:17" x14ac:dyDescent="0.25">
      <c r="Q1290" s="46"/>
    </row>
    <row r="1291" spans="17:17" x14ac:dyDescent="0.25">
      <c r="Q1291" s="46"/>
    </row>
    <row r="1292" spans="17:17" x14ac:dyDescent="0.25">
      <c r="Q1292" s="46"/>
    </row>
    <row r="1293" spans="17:17" x14ac:dyDescent="0.25">
      <c r="Q1293" s="46"/>
    </row>
    <row r="1294" spans="17:17" x14ac:dyDescent="0.25">
      <c r="Q1294" s="46"/>
    </row>
    <row r="1295" spans="17:17" x14ac:dyDescent="0.25">
      <c r="Q1295" s="46"/>
    </row>
    <row r="1296" spans="17:17" x14ac:dyDescent="0.25">
      <c r="Q1296" s="46"/>
    </row>
    <row r="1297" spans="17:17" x14ac:dyDescent="0.25">
      <c r="Q1297" s="46"/>
    </row>
    <row r="1298" spans="17:17" x14ac:dyDescent="0.25">
      <c r="Q1298" s="46"/>
    </row>
    <row r="1299" spans="17:17" x14ac:dyDescent="0.25">
      <c r="Q1299" s="46"/>
    </row>
    <row r="1300" spans="17:17" x14ac:dyDescent="0.25">
      <c r="Q1300" s="46"/>
    </row>
    <row r="1301" spans="17:17" x14ac:dyDescent="0.25">
      <c r="Q1301" s="46"/>
    </row>
    <row r="1302" spans="17:17" x14ac:dyDescent="0.25">
      <c r="Q1302" s="46"/>
    </row>
    <row r="1303" spans="17:17" x14ac:dyDescent="0.25">
      <c r="Q1303" s="46"/>
    </row>
    <row r="1304" spans="17:17" x14ac:dyDescent="0.25">
      <c r="Q1304" s="46"/>
    </row>
    <row r="1305" spans="17:17" x14ac:dyDescent="0.25">
      <c r="Q1305" s="46"/>
    </row>
    <row r="1306" spans="17:17" x14ac:dyDescent="0.25">
      <c r="Q1306" s="46"/>
    </row>
    <row r="1307" spans="17:17" x14ac:dyDescent="0.25">
      <c r="Q1307" s="46"/>
    </row>
    <row r="1308" spans="17:17" x14ac:dyDescent="0.25">
      <c r="Q1308" s="46"/>
    </row>
    <row r="1309" spans="17:17" x14ac:dyDescent="0.25">
      <c r="Q1309" s="46"/>
    </row>
    <row r="1310" spans="17:17" x14ac:dyDescent="0.25">
      <c r="Q1310" s="46"/>
    </row>
    <row r="1311" spans="17:17" x14ac:dyDescent="0.25">
      <c r="Q1311" s="46"/>
    </row>
    <row r="1312" spans="17:17" x14ac:dyDescent="0.25">
      <c r="Q1312" s="46"/>
    </row>
    <row r="1313" spans="17:17" x14ac:dyDescent="0.25">
      <c r="Q1313" s="46"/>
    </row>
    <row r="1314" spans="17:17" x14ac:dyDescent="0.25">
      <c r="Q1314" s="46"/>
    </row>
    <row r="1315" spans="17:17" x14ac:dyDescent="0.25">
      <c r="Q1315" s="46"/>
    </row>
    <row r="1316" spans="17:17" x14ac:dyDescent="0.25">
      <c r="Q1316" s="46"/>
    </row>
    <row r="1317" spans="17:17" x14ac:dyDescent="0.25">
      <c r="Q1317" s="46"/>
    </row>
    <row r="1318" spans="17:17" x14ac:dyDescent="0.25">
      <c r="Q1318" s="46"/>
    </row>
    <row r="1319" spans="17:17" x14ac:dyDescent="0.25">
      <c r="Q1319" s="46"/>
    </row>
    <row r="1320" spans="17:17" x14ac:dyDescent="0.25">
      <c r="Q1320" s="46"/>
    </row>
    <row r="1321" spans="17:17" x14ac:dyDescent="0.25">
      <c r="Q1321" s="46"/>
    </row>
    <row r="1322" spans="17:17" x14ac:dyDescent="0.25">
      <c r="Q1322" s="46"/>
    </row>
    <row r="1323" spans="17:17" x14ac:dyDescent="0.25">
      <c r="Q1323" s="46"/>
    </row>
    <row r="1324" spans="17:17" x14ac:dyDescent="0.25">
      <c r="Q1324" s="46"/>
    </row>
    <row r="1325" spans="17:17" x14ac:dyDescent="0.25">
      <c r="Q1325" s="46"/>
    </row>
    <row r="1326" spans="17:17" x14ac:dyDescent="0.25">
      <c r="Q1326" s="46"/>
    </row>
    <row r="1327" spans="17:17" x14ac:dyDescent="0.25">
      <c r="Q1327" s="46"/>
    </row>
    <row r="1328" spans="17:17" x14ac:dyDescent="0.25">
      <c r="Q1328" s="46"/>
    </row>
    <row r="1329" spans="17:17" x14ac:dyDescent="0.25">
      <c r="Q1329" s="46"/>
    </row>
    <row r="1330" spans="17:17" x14ac:dyDescent="0.25">
      <c r="Q1330" s="46"/>
    </row>
    <row r="1331" spans="17:17" x14ac:dyDescent="0.25">
      <c r="Q1331" s="46"/>
    </row>
    <row r="1332" spans="17:17" x14ac:dyDescent="0.25">
      <c r="Q1332" s="46"/>
    </row>
    <row r="1333" spans="17:17" x14ac:dyDescent="0.25">
      <c r="Q1333" s="46"/>
    </row>
    <row r="1334" spans="17:17" x14ac:dyDescent="0.25">
      <c r="Q1334" s="46"/>
    </row>
    <row r="1335" spans="17:17" x14ac:dyDescent="0.25">
      <c r="Q1335" s="46"/>
    </row>
    <row r="1336" spans="17:17" x14ac:dyDescent="0.25">
      <c r="Q1336" s="46"/>
    </row>
    <row r="1337" spans="17:17" x14ac:dyDescent="0.25">
      <c r="Q1337" s="46"/>
    </row>
    <row r="1338" spans="17:17" x14ac:dyDescent="0.25">
      <c r="Q1338" s="46"/>
    </row>
    <row r="1339" spans="17:17" x14ac:dyDescent="0.25">
      <c r="Q1339" s="46"/>
    </row>
    <row r="1340" spans="17:17" x14ac:dyDescent="0.25">
      <c r="Q1340" s="46"/>
    </row>
    <row r="1341" spans="17:17" x14ac:dyDescent="0.25">
      <c r="Q1341" s="46"/>
    </row>
    <row r="1342" spans="17:17" x14ac:dyDescent="0.25">
      <c r="Q1342" s="46"/>
    </row>
    <row r="1343" spans="17:17" x14ac:dyDescent="0.25">
      <c r="Q1343" s="46"/>
    </row>
    <row r="1344" spans="17:17" x14ac:dyDescent="0.25">
      <c r="Q1344" s="46"/>
    </row>
    <row r="1345" spans="17:17" x14ac:dyDescent="0.25">
      <c r="Q1345" s="46"/>
    </row>
    <row r="1346" spans="17:17" x14ac:dyDescent="0.25">
      <c r="Q1346" s="46"/>
    </row>
    <row r="1347" spans="17:17" x14ac:dyDescent="0.25">
      <c r="Q1347" s="46"/>
    </row>
    <row r="1348" spans="17:17" x14ac:dyDescent="0.25">
      <c r="Q1348" s="46"/>
    </row>
    <row r="1349" spans="17:17" x14ac:dyDescent="0.25">
      <c r="Q1349" s="46"/>
    </row>
    <row r="1350" spans="17:17" x14ac:dyDescent="0.25">
      <c r="Q1350" s="46"/>
    </row>
    <row r="1351" spans="17:17" x14ac:dyDescent="0.25">
      <c r="Q1351" s="46"/>
    </row>
    <row r="1352" spans="17:17" x14ac:dyDescent="0.25">
      <c r="Q1352" s="46"/>
    </row>
    <row r="1353" spans="17:17" x14ac:dyDescent="0.25">
      <c r="Q1353" s="46"/>
    </row>
    <row r="1354" spans="17:17" x14ac:dyDescent="0.25">
      <c r="Q1354" s="46"/>
    </row>
    <row r="1355" spans="17:17" x14ac:dyDescent="0.25">
      <c r="Q1355" s="46"/>
    </row>
    <row r="1356" spans="17:17" x14ac:dyDescent="0.25">
      <c r="Q1356" s="46"/>
    </row>
    <row r="1357" spans="17:17" x14ac:dyDescent="0.25">
      <c r="Q1357" s="46"/>
    </row>
    <row r="1358" spans="17:17" x14ac:dyDescent="0.25">
      <c r="Q1358" s="46"/>
    </row>
    <row r="1359" spans="17:17" x14ac:dyDescent="0.25">
      <c r="Q1359" s="46"/>
    </row>
    <row r="1360" spans="17:17" x14ac:dyDescent="0.25">
      <c r="Q1360" s="46"/>
    </row>
    <row r="1361" spans="17:17" x14ac:dyDescent="0.25">
      <c r="Q1361" s="46"/>
    </row>
    <row r="1362" spans="17:17" x14ac:dyDescent="0.25">
      <c r="Q1362" s="46"/>
    </row>
    <row r="1363" spans="17:17" x14ac:dyDescent="0.25">
      <c r="Q1363" s="46"/>
    </row>
    <row r="1364" spans="17:17" x14ac:dyDescent="0.25">
      <c r="Q1364" s="46"/>
    </row>
    <row r="1365" spans="17:17" x14ac:dyDescent="0.25">
      <c r="Q1365" s="46"/>
    </row>
    <row r="1366" spans="17:17" x14ac:dyDescent="0.25">
      <c r="Q1366" s="46"/>
    </row>
    <row r="1367" spans="17:17" x14ac:dyDescent="0.25">
      <c r="Q1367" s="46"/>
    </row>
    <row r="1368" spans="17:17" x14ac:dyDescent="0.25">
      <c r="Q1368" s="46"/>
    </row>
    <row r="1369" spans="17:17" x14ac:dyDescent="0.25">
      <c r="Q1369" s="46"/>
    </row>
    <row r="1370" spans="17:17" x14ac:dyDescent="0.25">
      <c r="Q1370" s="46"/>
    </row>
    <row r="1371" spans="17:17" x14ac:dyDescent="0.25">
      <c r="Q1371" s="46"/>
    </row>
    <row r="1372" spans="17:17" x14ac:dyDescent="0.25">
      <c r="Q1372" s="46"/>
    </row>
    <row r="1373" spans="17:17" x14ac:dyDescent="0.25">
      <c r="Q1373" s="46"/>
    </row>
    <row r="1374" spans="17:17" x14ac:dyDescent="0.25">
      <c r="Q1374" s="46"/>
    </row>
    <row r="1375" spans="17:17" x14ac:dyDescent="0.25">
      <c r="Q1375" s="46"/>
    </row>
    <row r="1376" spans="17:17" x14ac:dyDescent="0.25">
      <c r="Q1376" s="46"/>
    </row>
    <row r="1377" spans="17:17" x14ac:dyDescent="0.25">
      <c r="Q1377" s="46"/>
    </row>
    <row r="1378" spans="17:17" x14ac:dyDescent="0.25">
      <c r="Q1378" s="46"/>
    </row>
    <row r="1379" spans="17:17" x14ac:dyDescent="0.25">
      <c r="Q1379" s="46"/>
    </row>
    <row r="1380" spans="17:17" x14ac:dyDescent="0.25">
      <c r="Q1380" s="46"/>
    </row>
    <row r="1381" spans="17:17" x14ac:dyDescent="0.25">
      <c r="Q1381" s="46"/>
    </row>
    <row r="1382" spans="17:17" x14ac:dyDescent="0.25">
      <c r="Q1382" s="46"/>
    </row>
    <row r="1383" spans="17:17" x14ac:dyDescent="0.25">
      <c r="Q1383" s="46"/>
    </row>
    <row r="1384" spans="17:17" x14ac:dyDescent="0.25">
      <c r="Q1384" s="46"/>
    </row>
    <row r="1385" spans="17:17" x14ac:dyDescent="0.25">
      <c r="Q1385" s="46"/>
    </row>
    <row r="1386" spans="17:17" x14ac:dyDescent="0.25">
      <c r="Q1386" s="46"/>
    </row>
    <row r="1387" spans="17:17" x14ac:dyDescent="0.25">
      <c r="Q1387" s="46"/>
    </row>
    <row r="1388" spans="17:17" x14ac:dyDescent="0.25">
      <c r="Q1388" s="46"/>
    </row>
    <row r="1389" spans="17:17" x14ac:dyDescent="0.25">
      <c r="Q1389" s="46"/>
    </row>
    <row r="1390" spans="17:17" x14ac:dyDescent="0.25">
      <c r="Q1390" s="46"/>
    </row>
    <row r="1391" spans="17:17" x14ac:dyDescent="0.25">
      <c r="Q1391" s="46"/>
    </row>
    <row r="1392" spans="17:17" x14ac:dyDescent="0.25">
      <c r="Q1392" s="46"/>
    </row>
    <row r="1393" spans="17:17" x14ac:dyDescent="0.25">
      <c r="Q1393" s="46"/>
    </row>
    <row r="1394" spans="17:17" x14ac:dyDescent="0.25">
      <c r="Q1394" s="46"/>
    </row>
    <row r="1395" spans="17:17" x14ac:dyDescent="0.25">
      <c r="Q1395" s="46"/>
    </row>
    <row r="1396" spans="17:17" x14ac:dyDescent="0.25">
      <c r="Q1396" s="46"/>
    </row>
    <row r="1397" spans="17:17" x14ac:dyDescent="0.25">
      <c r="Q1397" s="46"/>
    </row>
    <row r="1398" spans="17:17" x14ac:dyDescent="0.25">
      <c r="Q1398" s="46"/>
    </row>
    <row r="1399" spans="17:17" x14ac:dyDescent="0.25">
      <c r="Q1399" s="46"/>
    </row>
    <row r="1400" spans="17:17" x14ac:dyDescent="0.25">
      <c r="Q1400" s="46"/>
    </row>
    <row r="1401" spans="17:17" x14ac:dyDescent="0.25">
      <c r="Q1401" s="46"/>
    </row>
    <row r="1402" spans="17:17" x14ac:dyDescent="0.25">
      <c r="Q1402" s="46"/>
    </row>
    <row r="1403" spans="17:17" x14ac:dyDescent="0.25">
      <c r="Q1403" s="46"/>
    </row>
    <row r="1404" spans="17:17" x14ac:dyDescent="0.25">
      <c r="Q1404" s="46"/>
    </row>
    <row r="1405" spans="17:17" x14ac:dyDescent="0.25">
      <c r="Q1405" s="46"/>
    </row>
    <row r="1406" spans="17:17" x14ac:dyDescent="0.25">
      <c r="Q1406" s="46"/>
    </row>
    <row r="1407" spans="17:17" x14ac:dyDescent="0.25">
      <c r="Q1407" s="46"/>
    </row>
    <row r="1408" spans="17:17" x14ac:dyDescent="0.25">
      <c r="Q1408" s="46"/>
    </row>
    <row r="1409" spans="17:17" x14ac:dyDescent="0.25">
      <c r="Q1409" s="46"/>
    </row>
    <row r="1410" spans="17:17" x14ac:dyDescent="0.25">
      <c r="Q1410" s="46"/>
    </row>
    <row r="1411" spans="17:17" x14ac:dyDescent="0.25">
      <c r="Q1411" s="46"/>
    </row>
    <row r="1412" spans="17:17" x14ac:dyDescent="0.25">
      <c r="Q1412" s="46"/>
    </row>
    <row r="1413" spans="17:17" x14ac:dyDescent="0.25">
      <c r="Q1413" s="46"/>
    </row>
    <row r="1414" spans="17:17" x14ac:dyDescent="0.25">
      <c r="Q1414" s="46"/>
    </row>
    <row r="1415" spans="17:17" x14ac:dyDescent="0.25">
      <c r="Q1415" s="46"/>
    </row>
    <row r="1416" spans="17:17" x14ac:dyDescent="0.25">
      <c r="Q1416" s="46"/>
    </row>
    <row r="1417" spans="17:17" x14ac:dyDescent="0.25">
      <c r="Q1417" s="46"/>
    </row>
    <row r="1418" spans="17:17" x14ac:dyDescent="0.25">
      <c r="Q1418" s="46"/>
    </row>
    <row r="1419" spans="17:17" x14ac:dyDescent="0.25">
      <c r="Q1419" s="46"/>
    </row>
    <row r="1420" spans="17:17" x14ac:dyDescent="0.25">
      <c r="Q1420" s="46"/>
    </row>
    <row r="1421" spans="17:17" x14ac:dyDescent="0.25">
      <c r="Q1421" s="46"/>
    </row>
    <row r="1422" spans="17:17" x14ac:dyDescent="0.25">
      <c r="Q1422" s="46"/>
    </row>
    <row r="1423" spans="17:17" x14ac:dyDescent="0.25">
      <c r="Q1423" s="46"/>
    </row>
    <row r="1424" spans="17:17" x14ac:dyDescent="0.25">
      <c r="Q1424" s="46"/>
    </row>
    <row r="1425" spans="17:17" x14ac:dyDescent="0.25">
      <c r="Q1425" s="46"/>
    </row>
    <row r="1426" spans="17:17" x14ac:dyDescent="0.25">
      <c r="Q1426" s="46"/>
    </row>
    <row r="1427" spans="17:17" x14ac:dyDescent="0.25">
      <c r="Q1427" s="46"/>
    </row>
    <row r="1428" spans="17:17" x14ac:dyDescent="0.25">
      <c r="Q1428" s="46"/>
    </row>
    <row r="1429" spans="17:17" x14ac:dyDescent="0.25">
      <c r="Q1429" s="46"/>
    </row>
    <row r="1430" spans="17:17" x14ac:dyDescent="0.25">
      <c r="Q1430" s="46"/>
    </row>
    <row r="1431" spans="17:17" x14ac:dyDescent="0.25">
      <c r="Q1431" s="46"/>
    </row>
    <row r="1432" spans="17:17" x14ac:dyDescent="0.25">
      <c r="Q1432" s="46"/>
    </row>
    <row r="1433" spans="17:17" x14ac:dyDescent="0.25">
      <c r="Q1433" s="46"/>
    </row>
    <row r="1434" spans="17:17" x14ac:dyDescent="0.25">
      <c r="Q1434" s="46"/>
    </row>
    <row r="1435" spans="17:17" x14ac:dyDescent="0.25">
      <c r="Q1435" s="46"/>
    </row>
    <row r="1436" spans="17:17" x14ac:dyDescent="0.25">
      <c r="Q1436" s="46"/>
    </row>
    <row r="1437" spans="17:17" x14ac:dyDescent="0.25">
      <c r="Q1437" s="46"/>
    </row>
    <row r="1438" spans="17:17" x14ac:dyDescent="0.25">
      <c r="Q1438" s="46"/>
    </row>
    <row r="1439" spans="17:17" x14ac:dyDescent="0.25">
      <c r="Q1439" s="46"/>
    </row>
    <row r="1440" spans="17:17" x14ac:dyDescent="0.25">
      <c r="Q1440" s="46"/>
    </row>
    <row r="1441" spans="17:17" x14ac:dyDescent="0.25">
      <c r="Q1441" s="46"/>
    </row>
    <row r="1442" spans="17:17" x14ac:dyDescent="0.25">
      <c r="Q1442" s="46"/>
    </row>
    <row r="1443" spans="17:17" x14ac:dyDescent="0.25">
      <c r="Q1443" s="46"/>
    </row>
    <row r="1444" spans="17:17" x14ac:dyDescent="0.25">
      <c r="Q1444" s="46"/>
    </row>
    <row r="1445" spans="17:17" x14ac:dyDescent="0.25">
      <c r="Q1445" s="46"/>
    </row>
    <row r="1446" spans="17:17" x14ac:dyDescent="0.25">
      <c r="Q1446" s="46"/>
    </row>
    <row r="1447" spans="17:17" x14ac:dyDescent="0.25">
      <c r="Q1447" s="46"/>
    </row>
    <row r="1448" spans="17:17" x14ac:dyDescent="0.25">
      <c r="Q1448" s="46"/>
    </row>
    <row r="1449" spans="17:17" x14ac:dyDescent="0.25">
      <c r="Q1449" s="46"/>
    </row>
    <row r="1450" spans="17:17" x14ac:dyDescent="0.25">
      <c r="Q1450" s="46"/>
    </row>
    <row r="1451" spans="17:17" x14ac:dyDescent="0.25">
      <c r="Q1451" s="46"/>
    </row>
    <row r="1452" spans="17:17" x14ac:dyDescent="0.25">
      <c r="Q1452" s="46"/>
    </row>
    <row r="1453" spans="17:17" x14ac:dyDescent="0.25">
      <c r="Q1453" s="46"/>
    </row>
    <row r="1454" spans="17:17" x14ac:dyDescent="0.25">
      <c r="Q1454" s="46"/>
    </row>
    <row r="1455" spans="17:17" x14ac:dyDescent="0.25">
      <c r="Q1455" s="46"/>
    </row>
    <row r="1456" spans="17:17" x14ac:dyDescent="0.25">
      <c r="Q1456" s="46"/>
    </row>
    <row r="1457" spans="17:17" x14ac:dyDescent="0.25">
      <c r="Q1457" s="46"/>
    </row>
    <row r="1458" spans="17:17" x14ac:dyDescent="0.25">
      <c r="Q1458" s="46"/>
    </row>
    <row r="1459" spans="17:17" x14ac:dyDescent="0.25">
      <c r="Q1459" s="46"/>
    </row>
    <row r="1460" spans="17:17" x14ac:dyDescent="0.25">
      <c r="Q1460" s="46"/>
    </row>
    <row r="1461" spans="17:17" x14ac:dyDescent="0.25">
      <c r="Q1461" s="46"/>
    </row>
    <row r="1462" spans="17:17" x14ac:dyDescent="0.25">
      <c r="Q1462" s="46"/>
    </row>
    <row r="1463" spans="17:17" x14ac:dyDescent="0.25">
      <c r="Q1463" s="46"/>
    </row>
    <row r="1464" spans="17:17" x14ac:dyDescent="0.25">
      <c r="Q1464" s="46"/>
    </row>
    <row r="1465" spans="17:17" x14ac:dyDescent="0.25">
      <c r="Q1465" s="46"/>
    </row>
    <row r="1466" spans="17:17" x14ac:dyDescent="0.25">
      <c r="Q1466" s="46"/>
    </row>
    <row r="1467" spans="17:17" x14ac:dyDescent="0.25">
      <c r="Q1467" s="46"/>
    </row>
    <row r="1468" spans="17:17" x14ac:dyDescent="0.25">
      <c r="Q1468" s="46"/>
    </row>
    <row r="1469" spans="17:17" x14ac:dyDescent="0.25">
      <c r="Q1469" s="46"/>
    </row>
    <row r="1470" spans="17:17" x14ac:dyDescent="0.25">
      <c r="Q1470" s="46"/>
    </row>
    <row r="1471" spans="17:17" x14ac:dyDescent="0.25">
      <c r="Q1471" s="46"/>
    </row>
    <row r="1472" spans="17:17" x14ac:dyDescent="0.25">
      <c r="Q1472" s="46"/>
    </row>
    <row r="1473" spans="17:17" x14ac:dyDescent="0.25">
      <c r="Q1473" s="46"/>
    </row>
    <row r="1474" spans="17:17" x14ac:dyDescent="0.25">
      <c r="Q1474" s="46"/>
    </row>
    <row r="1475" spans="17:17" x14ac:dyDescent="0.25">
      <c r="Q1475" s="46"/>
    </row>
    <row r="1476" spans="17:17" x14ac:dyDescent="0.25">
      <c r="Q1476" s="46"/>
    </row>
    <row r="1477" spans="17:17" x14ac:dyDescent="0.25">
      <c r="Q1477" s="46"/>
    </row>
    <row r="1478" spans="17:17" x14ac:dyDescent="0.25">
      <c r="Q1478" s="46"/>
    </row>
    <row r="1479" spans="17:17" x14ac:dyDescent="0.25">
      <c r="Q1479" s="46"/>
    </row>
    <row r="1480" spans="17:17" x14ac:dyDescent="0.25">
      <c r="Q1480" s="46"/>
    </row>
    <row r="1481" spans="17:17" x14ac:dyDescent="0.25">
      <c r="Q1481" s="46"/>
    </row>
    <row r="1482" spans="17:17" x14ac:dyDescent="0.25">
      <c r="Q1482" s="46"/>
    </row>
    <row r="1483" spans="17:17" x14ac:dyDescent="0.25">
      <c r="Q1483" s="46"/>
    </row>
    <row r="1484" spans="17:17" x14ac:dyDescent="0.25">
      <c r="Q1484" s="46"/>
    </row>
    <row r="1485" spans="17:17" x14ac:dyDescent="0.25">
      <c r="Q1485" s="46"/>
    </row>
    <row r="1486" spans="17:17" x14ac:dyDescent="0.25">
      <c r="Q1486" s="46"/>
    </row>
    <row r="1487" spans="17:17" x14ac:dyDescent="0.25">
      <c r="Q1487" s="46"/>
    </row>
    <row r="1488" spans="17:17" x14ac:dyDescent="0.25">
      <c r="Q1488" s="46"/>
    </row>
    <row r="1489" spans="17:17" x14ac:dyDescent="0.25">
      <c r="Q1489" s="46"/>
    </row>
    <row r="1490" spans="17:17" x14ac:dyDescent="0.25">
      <c r="Q1490" s="46"/>
    </row>
    <row r="1491" spans="17:17" x14ac:dyDescent="0.25">
      <c r="Q1491" s="46"/>
    </row>
    <row r="1492" spans="17:17" x14ac:dyDescent="0.25">
      <c r="Q1492" s="46"/>
    </row>
    <row r="1493" spans="17:17" x14ac:dyDescent="0.25">
      <c r="Q1493" s="46"/>
    </row>
    <row r="1494" spans="17:17" x14ac:dyDescent="0.25">
      <c r="Q1494" s="46"/>
    </row>
    <row r="1495" spans="17:17" x14ac:dyDescent="0.25">
      <c r="Q1495" s="46"/>
    </row>
    <row r="1496" spans="17:17" x14ac:dyDescent="0.25">
      <c r="Q1496" s="46"/>
    </row>
    <row r="1497" spans="17:17" x14ac:dyDescent="0.25">
      <c r="Q1497" s="46"/>
    </row>
    <row r="1498" spans="17:17" x14ac:dyDescent="0.25">
      <c r="Q1498" s="46"/>
    </row>
    <row r="1499" spans="17:17" x14ac:dyDescent="0.25">
      <c r="Q1499" s="46"/>
    </row>
    <row r="1500" spans="17:17" x14ac:dyDescent="0.25">
      <c r="Q1500" s="46"/>
    </row>
    <row r="1501" spans="17:17" x14ac:dyDescent="0.25">
      <c r="Q1501" s="46"/>
    </row>
    <row r="1502" spans="17:17" x14ac:dyDescent="0.25">
      <c r="Q1502" s="46"/>
    </row>
    <row r="1503" spans="17:17" x14ac:dyDescent="0.25">
      <c r="Q1503" s="46"/>
    </row>
    <row r="1504" spans="17:17" x14ac:dyDescent="0.25">
      <c r="Q1504" s="46"/>
    </row>
    <row r="1505" spans="17:17" x14ac:dyDescent="0.25">
      <c r="Q1505" s="46"/>
    </row>
    <row r="1506" spans="17:17" x14ac:dyDescent="0.25">
      <c r="Q1506" s="46"/>
    </row>
    <row r="1507" spans="17:17" x14ac:dyDescent="0.25">
      <c r="Q1507" s="46"/>
    </row>
    <row r="1508" spans="17:17" x14ac:dyDescent="0.25">
      <c r="Q1508" s="46"/>
    </row>
    <row r="1509" spans="17:17" x14ac:dyDescent="0.25">
      <c r="Q1509" s="46"/>
    </row>
    <row r="1510" spans="17:17" x14ac:dyDescent="0.25">
      <c r="Q1510" s="46"/>
    </row>
    <row r="1511" spans="17:17" x14ac:dyDescent="0.25">
      <c r="Q1511" s="46"/>
    </row>
    <row r="1512" spans="17:17" x14ac:dyDescent="0.25">
      <c r="Q1512" s="46"/>
    </row>
    <row r="1513" spans="17:17" x14ac:dyDescent="0.25">
      <c r="Q1513" s="46"/>
    </row>
    <row r="1514" spans="17:17" x14ac:dyDescent="0.25">
      <c r="Q1514" s="46"/>
    </row>
    <row r="1515" spans="17:17" x14ac:dyDescent="0.25">
      <c r="Q1515" s="46"/>
    </row>
    <row r="1516" spans="17:17" x14ac:dyDescent="0.25">
      <c r="Q1516" s="46"/>
    </row>
    <row r="1517" spans="17:17" x14ac:dyDescent="0.25">
      <c r="Q1517" s="46"/>
    </row>
    <row r="1518" spans="17:17" x14ac:dyDescent="0.25">
      <c r="Q1518" s="46"/>
    </row>
    <row r="1519" spans="17:17" x14ac:dyDescent="0.25">
      <c r="Q1519" s="46"/>
    </row>
    <row r="1520" spans="17:17" x14ac:dyDescent="0.25">
      <c r="Q1520" s="46"/>
    </row>
    <row r="1521" spans="17:17" x14ac:dyDescent="0.25">
      <c r="Q1521" s="46"/>
    </row>
    <row r="1522" spans="17:17" x14ac:dyDescent="0.25">
      <c r="Q1522" s="46"/>
    </row>
    <row r="1523" spans="17:17" x14ac:dyDescent="0.25">
      <c r="Q1523" s="46"/>
    </row>
    <row r="1524" spans="17:17" x14ac:dyDescent="0.25">
      <c r="Q1524" s="46"/>
    </row>
    <row r="1525" spans="17:17" x14ac:dyDescent="0.25">
      <c r="Q1525" s="46"/>
    </row>
    <row r="1526" spans="17:17" x14ac:dyDescent="0.25">
      <c r="Q1526" s="46"/>
    </row>
    <row r="1527" spans="17:17" x14ac:dyDescent="0.25">
      <c r="Q1527" s="46"/>
    </row>
    <row r="1528" spans="17:17" x14ac:dyDescent="0.25">
      <c r="Q1528" s="46"/>
    </row>
    <row r="1529" spans="17:17" x14ac:dyDescent="0.25">
      <c r="Q1529" s="46"/>
    </row>
    <row r="1530" spans="17:17" x14ac:dyDescent="0.25">
      <c r="Q1530" s="46"/>
    </row>
    <row r="1531" spans="17:17" x14ac:dyDescent="0.25">
      <c r="Q1531" s="46"/>
    </row>
    <row r="1532" spans="17:17" x14ac:dyDescent="0.25">
      <c r="Q1532" s="46"/>
    </row>
    <row r="1533" spans="17:17" x14ac:dyDescent="0.25">
      <c r="Q1533" s="46"/>
    </row>
    <row r="1534" spans="17:17" x14ac:dyDescent="0.25">
      <c r="Q1534" s="46"/>
    </row>
    <row r="1535" spans="17:17" x14ac:dyDescent="0.25">
      <c r="Q1535" s="46"/>
    </row>
    <row r="1536" spans="17:17" x14ac:dyDescent="0.25">
      <c r="Q1536" s="46"/>
    </row>
    <row r="1537" spans="17:17" x14ac:dyDescent="0.25">
      <c r="Q1537" s="46"/>
    </row>
    <row r="1538" spans="17:17" x14ac:dyDescent="0.25">
      <c r="Q1538" s="46"/>
    </row>
    <row r="1539" spans="17:17" x14ac:dyDescent="0.25">
      <c r="Q1539" s="46"/>
    </row>
    <row r="1540" spans="17:17" x14ac:dyDescent="0.25">
      <c r="Q1540" s="46"/>
    </row>
    <row r="1541" spans="17:17" x14ac:dyDescent="0.25">
      <c r="Q1541" s="46"/>
    </row>
    <row r="1542" spans="17:17" x14ac:dyDescent="0.25">
      <c r="Q1542" s="46"/>
    </row>
    <row r="1543" spans="17:17" x14ac:dyDescent="0.25">
      <c r="Q1543" s="46"/>
    </row>
    <row r="1544" spans="17:17" x14ac:dyDescent="0.25">
      <c r="Q1544" s="46"/>
    </row>
    <row r="1545" spans="17:17" x14ac:dyDescent="0.25">
      <c r="Q1545" s="46"/>
    </row>
    <row r="1546" spans="17:17" x14ac:dyDescent="0.25">
      <c r="Q1546" s="46"/>
    </row>
    <row r="1547" spans="17:17" x14ac:dyDescent="0.25">
      <c r="Q1547" s="46"/>
    </row>
    <row r="1548" spans="17:17" x14ac:dyDescent="0.25">
      <c r="Q1548" s="46"/>
    </row>
    <row r="1549" spans="17:17" x14ac:dyDescent="0.25">
      <c r="Q1549" s="46"/>
    </row>
    <row r="1550" spans="17:17" x14ac:dyDescent="0.25">
      <c r="Q1550" s="46"/>
    </row>
    <row r="1551" spans="17:17" x14ac:dyDescent="0.25">
      <c r="Q1551" s="46"/>
    </row>
    <row r="1552" spans="17:17" x14ac:dyDescent="0.25">
      <c r="Q1552" s="46"/>
    </row>
    <row r="1553" spans="17:17" x14ac:dyDescent="0.25">
      <c r="Q1553" s="46"/>
    </row>
    <row r="1554" spans="17:17" x14ac:dyDescent="0.25">
      <c r="Q1554" s="46"/>
    </row>
    <row r="1555" spans="17:17" x14ac:dyDescent="0.25">
      <c r="Q1555" s="46"/>
    </row>
    <row r="1556" spans="17:17" x14ac:dyDescent="0.25">
      <c r="Q1556" s="46"/>
    </row>
    <row r="1557" spans="17:17" x14ac:dyDescent="0.25">
      <c r="Q1557" s="46"/>
    </row>
    <row r="1558" spans="17:17" x14ac:dyDescent="0.25">
      <c r="Q1558" s="46"/>
    </row>
    <row r="1559" spans="17:17" x14ac:dyDescent="0.25">
      <c r="Q1559" s="46"/>
    </row>
    <row r="1560" spans="17:17" x14ac:dyDescent="0.25">
      <c r="Q1560" s="46"/>
    </row>
    <row r="1561" spans="17:17" x14ac:dyDescent="0.25">
      <c r="Q1561" s="46"/>
    </row>
    <row r="1562" spans="17:17" x14ac:dyDescent="0.25">
      <c r="Q1562" s="46"/>
    </row>
    <row r="1563" spans="17:17" x14ac:dyDescent="0.25">
      <c r="Q1563" s="46"/>
    </row>
    <row r="1564" spans="17:17" x14ac:dyDescent="0.25">
      <c r="Q1564" s="46"/>
    </row>
    <row r="1565" spans="17:17" x14ac:dyDescent="0.25">
      <c r="Q1565" s="46"/>
    </row>
    <row r="1566" spans="17:17" x14ac:dyDescent="0.25">
      <c r="Q1566" s="46"/>
    </row>
    <row r="1567" spans="17:17" x14ac:dyDescent="0.25">
      <c r="Q1567" s="46"/>
    </row>
    <row r="1568" spans="17:17" x14ac:dyDescent="0.25">
      <c r="Q1568" s="46"/>
    </row>
    <row r="1569" spans="17:17" x14ac:dyDescent="0.25">
      <c r="Q1569" s="46"/>
    </row>
    <row r="1570" spans="17:17" x14ac:dyDescent="0.25">
      <c r="Q1570" s="46"/>
    </row>
    <row r="1571" spans="17:17" x14ac:dyDescent="0.25">
      <c r="Q1571" s="46"/>
    </row>
    <row r="1572" spans="17:17" x14ac:dyDescent="0.25">
      <c r="Q1572" s="46"/>
    </row>
    <row r="1573" spans="17:17" x14ac:dyDescent="0.25">
      <c r="Q1573" s="46"/>
    </row>
    <row r="1574" spans="17:17" x14ac:dyDescent="0.25">
      <c r="Q1574" s="46"/>
    </row>
    <row r="1575" spans="17:17" x14ac:dyDescent="0.25">
      <c r="Q1575" s="46"/>
    </row>
    <row r="1576" spans="17:17" x14ac:dyDescent="0.25">
      <c r="Q1576" s="46"/>
    </row>
    <row r="1577" spans="17:17" x14ac:dyDescent="0.25">
      <c r="Q1577" s="46"/>
    </row>
    <row r="1578" spans="17:17" x14ac:dyDescent="0.25">
      <c r="Q1578" s="46"/>
    </row>
    <row r="1579" spans="17:17" x14ac:dyDescent="0.25">
      <c r="Q1579" s="46"/>
    </row>
    <row r="1580" spans="17:17" x14ac:dyDescent="0.25">
      <c r="Q1580" s="46"/>
    </row>
    <row r="1581" spans="17:17" x14ac:dyDescent="0.25">
      <c r="Q1581" s="46"/>
    </row>
    <row r="1582" spans="17:17" x14ac:dyDescent="0.25">
      <c r="Q1582" s="46"/>
    </row>
    <row r="1583" spans="17:17" x14ac:dyDescent="0.25">
      <c r="Q1583" s="46"/>
    </row>
    <row r="1584" spans="17:17" x14ac:dyDescent="0.25">
      <c r="Q1584" s="46"/>
    </row>
    <row r="1585" spans="17:17" x14ac:dyDescent="0.25">
      <c r="Q1585" s="46"/>
    </row>
    <row r="1586" spans="17:17" x14ac:dyDescent="0.25">
      <c r="Q1586" s="46"/>
    </row>
    <row r="1587" spans="17:17" x14ac:dyDescent="0.25">
      <c r="Q1587" s="46"/>
    </row>
    <row r="1588" spans="17:17" x14ac:dyDescent="0.25">
      <c r="Q1588" s="46"/>
    </row>
    <row r="1589" spans="17:17" x14ac:dyDescent="0.25">
      <c r="Q1589" s="46"/>
    </row>
    <row r="1590" spans="17:17" x14ac:dyDescent="0.25">
      <c r="Q1590" s="46"/>
    </row>
    <row r="1591" spans="17:17" x14ac:dyDescent="0.25">
      <c r="Q1591" s="46"/>
    </row>
    <row r="1592" spans="17:17" x14ac:dyDescent="0.25">
      <c r="Q1592" s="46"/>
    </row>
    <row r="1593" spans="17:17" x14ac:dyDescent="0.25">
      <c r="Q1593" s="46"/>
    </row>
    <row r="1594" spans="17:17" x14ac:dyDescent="0.25">
      <c r="Q1594" s="46"/>
    </row>
    <row r="1595" spans="17:17" x14ac:dyDescent="0.25">
      <c r="Q1595" s="46"/>
    </row>
    <row r="1596" spans="17:17" x14ac:dyDescent="0.25">
      <c r="Q1596" s="46"/>
    </row>
    <row r="1597" spans="17:17" x14ac:dyDescent="0.25">
      <c r="Q1597" s="46"/>
    </row>
    <row r="1598" spans="17:17" x14ac:dyDescent="0.25">
      <c r="Q1598" s="46"/>
    </row>
    <row r="1599" spans="17:17" x14ac:dyDescent="0.25">
      <c r="Q1599" s="46"/>
    </row>
    <row r="1600" spans="17:17" x14ac:dyDescent="0.25">
      <c r="Q1600" s="46"/>
    </row>
    <row r="1601" spans="17:17" x14ac:dyDescent="0.25">
      <c r="Q1601" s="46"/>
    </row>
    <row r="1602" spans="17:17" x14ac:dyDescent="0.25">
      <c r="Q1602" s="46"/>
    </row>
    <row r="1603" spans="17:17" x14ac:dyDescent="0.25">
      <c r="Q1603" s="46"/>
    </row>
    <row r="1604" spans="17:17" x14ac:dyDescent="0.25">
      <c r="Q1604" s="46"/>
    </row>
    <row r="1605" spans="17:17" x14ac:dyDescent="0.25">
      <c r="Q1605" s="46"/>
    </row>
    <row r="1606" spans="17:17" x14ac:dyDescent="0.25">
      <c r="Q1606" s="46"/>
    </row>
    <row r="1607" spans="17:17" x14ac:dyDescent="0.25">
      <c r="Q1607" s="46"/>
    </row>
    <row r="1608" spans="17:17" x14ac:dyDescent="0.25">
      <c r="Q1608" s="46"/>
    </row>
    <row r="1609" spans="17:17" x14ac:dyDescent="0.25">
      <c r="Q1609" s="46"/>
    </row>
    <row r="1610" spans="17:17" x14ac:dyDescent="0.25">
      <c r="Q1610" s="46"/>
    </row>
    <row r="1611" spans="17:17" x14ac:dyDescent="0.25">
      <c r="Q1611" s="46"/>
    </row>
    <row r="1612" spans="17:17" x14ac:dyDescent="0.25">
      <c r="Q1612" s="46"/>
    </row>
    <row r="1613" spans="17:17" x14ac:dyDescent="0.25">
      <c r="Q1613" s="46"/>
    </row>
    <row r="1614" spans="17:17" x14ac:dyDescent="0.25">
      <c r="Q1614" s="46"/>
    </row>
    <row r="1615" spans="17:17" x14ac:dyDescent="0.25">
      <c r="Q1615" s="46"/>
    </row>
    <row r="1616" spans="17:17" x14ac:dyDescent="0.25">
      <c r="Q1616" s="46"/>
    </row>
    <row r="1617" spans="17:17" x14ac:dyDescent="0.25">
      <c r="Q1617" s="46"/>
    </row>
    <row r="1618" spans="17:17" x14ac:dyDescent="0.25">
      <c r="Q1618" s="46"/>
    </row>
    <row r="1619" spans="17:17" x14ac:dyDescent="0.25">
      <c r="Q1619" s="46"/>
    </row>
    <row r="1620" spans="17:17" x14ac:dyDescent="0.25">
      <c r="Q1620" s="46"/>
    </row>
    <row r="1621" spans="17:17" x14ac:dyDescent="0.25">
      <c r="Q1621" s="46"/>
    </row>
    <row r="1622" spans="17:17" x14ac:dyDescent="0.25">
      <c r="Q1622" s="46"/>
    </row>
    <row r="1623" spans="17:17" x14ac:dyDescent="0.25">
      <c r="Q1623" s="46"/>
    </row>
    <row r="1624" spans="17:17" x14ac:dyDescent="0.25">
      <c r="Q1624" s="46"/>
    </row>
    <row r="1625" spans="17:17" x14ac:dyDescent="0.25">
      <c r="Q1625" s="46"/>
    </row>
    <row r="1626" spans="17:17" x14ac:dyDescent="0.25">
      <c r="Q1626" s="46"/>
    </row>
    <row r="1627" spans="17:17" x14ac:dyDescent="0.25">
      <c r="Q1627" s="46"/>
    </row>
    <row r="1628" spans="17:17" x14ac:dyDescent="0.25">
      <c r="Q1628" s="46"/>
    </row>
    <row r="1629" spans="17:17" x14ac:dyDescent="0.25">
      <c r="Q1629" s="46"/>
    </row>
    <row r="1630" spans="17:17" x14ac:dyDescent="0.25">
      <c r="Q1630" s="46"/>
    </row>
    <row r="1631" spans="17:17" x14ac:dyDescent="0.25">
      <c r="Q1631" s="46"/>
    </row>
    <row r="1632" spans="17:17" x14ac:dyDescent="0.25">
      <c r="Q1632" s="46"/>
    </row>
    <row r="1633" spans="17:17" x14ac:dyDescent="0.25">
      <c r="Q1633" s="46"/>
    </row>
    <row r="1634" spans="17:17" x14ac:dyDescent="0.25">
      <c r="Q1634" s="46"/>
    </row>
    <row r="1635" spans="17:17" x14ac:dyDescent="0.25">
      <c r="Q1635" s="46"/>
    </row>
    <row r="1636" spans="17:17" x14ac:dyDescent="0.25">
      <c r="Q1636" s="46"/>
    </row>
    <row r="1637" spans="17:17" x14ac:dyDescent="0.25">
      <c r="Q1637" s="46"/>
    </row>
    <row r="1638" spans="17:17" x14ac:dyDescent="0.25">
      <c r="Q1638" s="46"/>
    </row>
    <row r="1639" spans="17:17" x14ac:dyDescent="0.25">
      <c r="Q1639" s="46"/>
    </row>
    <row r="1640" spans="17:17" x14ac:dyDescent="0.25">
      <c r="Q1640" s="46"/>
    </row>
    <row r="1641" spans="17:17" x14ac:dyDescent="0.25">
      <c r="Q1641" s="46"/>
    </row>
    <row r="1642" spans="17:17" x14ac:dyDescent="0.25">
      <c r="Q1642" s="46"/>
    </row>
    <row r="1643" spans="17:17" x14ac:dyDescent="0.25">
      <c r="Q1643" s="46"/>
    </row>
    <row r="1644" spans="17:17" x14ac:dyDescent="0.25">
      <c r="Q1644" s="46"/>
    </row>
    <row r="1645" spans="17:17" x14ac:dyDescent="0.25">
      <c r="Q1645" s="46"/>
    </row>
    <row r="1646" spans="17:17" x14ac:dyDescent="0.25">
      <c r="Q1646" s="46"/>
    </row>
    <row r="1647" spans="17:17" x14ac:dyDescent="0.25">
      <c r="Q1647" s="46"/>
    </row>
    <row r="1648" spans="17:17" x14ac:dyDescent="0.25">
      <c r="Q1648" s="46"/>
    </row>
    <row r="1649" spans="17:17" x14ac:dyDescent="0.25">
      <c r="Q1649" s="46"/>
    </row>
    <row r="1650" spans="17:17" x14ac:dyDescent="0.25">
      <c r="Q1650" s="46"/>
    </row>
    <row r="1651" spans="17:17" x14ac:dyDescent="0.25">
      <c r="Q1651" s="46"/>
    </row>
    <row r="1652" spans="17:17" x14ac:dyDescent="0.25">
      <c r="Q1652" s="46"/>
    </row>
    <row r="1653" spans="17:17" x14ac:dyDescent="0.25">
      <c r="Q1653" s="46"/>
    </row>
    <row r="1654" spans="17:17" x14ac:dyDescent="0.25">
      <c r="Q1654" s="46"/>
    </row>
    <row r="1655" spans="17:17" x14ac:dyDescent="0.25">
      <c r="Q1655" s="46"/>
    </row>
    <row r="1656" spans="17:17" x14ac:dyDescent="0.25">
      <c r="Q1656" s="46"/>
    </row>
    <row r="1657" spans="17:17" x14ac:dyDescent="0.25">
      <c r="Q1657" s="46"/>
    </row>
    <row r="1658" spans="17:17" x14ac:dyDescent="0.25">
      <c r="Q1658" s="46"/>
    </row>
    <row r="1659" spans="17:17" x14ac:dyDescent="0.25">
      <c r="Q1659" s="46"/>
    </row>
    <row r="1660" spans="17:17" x14ac:dyDescent="0.25">
      <c r="Q1660" s="46"/>
    </row>
    <row r="1661" spans="17:17" x14ac:dyDescent="0.25">
      <c r="Q1661" s="46"/>
    </row>
    <row r="1662" spans="17:17" x14ac:dyDescent="0.25">
      <c r="Q1662" s="46"/>
    </row>
    <row r="1663" spans="17:17" x14ac:dyDescent="0.25">
      <c r="Q1663" s="46"/>
    </row>
    <row r="1664" spans="17:17" x14ac:dyDescent="0.25">
      <c r="Q1664" s="46"/>
    </row>
    <row r="1665" spans="17:17" x14ac:dyDescent="0.25">
      <c r="Q1665" s="46"/>
    </row>
    <row r="1666" spans="17:17" x14ac:dyDescent="0.25">
      <c r="Q1666" s="46"/>
    </row>
    <row r="1667" spans="17:17" x14ac:dyDescent="0.25">
      <c r="Q1667" s="46"/>
    </row>
    <row r="1668" spans="17:17" x14ac:dyDescent="0.25">
      <c r="Q1668" s="46"/>
    </row>
    <row r="1669" spans="17:17" x14ac:dyDescent="0.25">
      <c r="Q1669" s="46"/>
    </row>
    <row r="1670" spans="17:17" x14ac:dyDescent="0.25">
      <c r="Q1670" s="46"/>
    </row>
    <row r="1671" spans="17:17" x14ac:dyDescent="0.25">
      <c r="Q1671" s="46"/>
    </row>
    <row r="1672" spans="17:17" x14ac:dyDescent="0.25">
      <c r="Q1672" s="46"/>
    </row>
    <row r="1673" spans="17:17" x14ac:dyDescent="0.25">
      <c r="Q1673" s="46"/>
    </row>
    <row r="1674" spans="17:17" x14ac:dyDescent="0.25">
      <c r="Q1674" s="46"/>
    </row>
    <row r="1675" spans="17:17" x14ac:dyDescent="0.25">
      <c r="Q1675" s="46"/>
    </row>
    <row r="1676" spans="17:17" x14ac:dyDescent="0.25">
      <c r="Q1676" s="46"/>
    </row>
    <row r="1677" spans="17:17" x14ac:dyDescent="0.25">
      <c r="Q1677" s="46"/>
    </row>
    <row r="1678" spans="17:17" x14ac:dyDescent="0.25">
      <c r="Q1678" s="46"/>
    </row>
    <row r="1679" spans="17:17" x14ac:dyDescent="0.25">
      <c r="Q1679" s="46"/>
    </row>
    <row r="1680" spans="17:17" x14ac:dyDescent="0.25">
      <c r="Q1680" s="46"/>
    </row>
    <row r="1681" spans="17:17" x14ac:dyDescent="0.25">
      <c r="Q1681" s="46"/>
    </row>
    <row r="1682" spans="17:17" x14ac:dyDescent="0.25">
      <c r="Q1682" s="46"/>
    </row>
    <row r="1683" spans="17:17" x14ac:dyDescent="0.25">
      <c r="Q1683" s="46"/>
    </row>
    <row r="1684" spans="17:17" x14ac:dyDescent="0.25">
      <c r="Q1684" s="46"/>
    </row>
    <row r="1685" spans="17:17" x14ac:dyDescent="0.25">
      <c r="Q1685" s="46"/>
    </row>
    <row r="1686" spans="17:17" x14ac:dyDescent="0.25">
      <c r="Q1686" s="46"/>
    </row>
    <row r="1687" spans="17:17" x14ac:dyDescent="0.25">
      <c r="Q1687" s="46"/>
    </row>
    <row r="1688" spans="17:17" x14ac:dyDescent="0.25">
      <c r="Q1688" s="46"/>
    </row>
    <row r="1689" spans="17:17" x14ac:dyDescent="0.25">
      <c r="Q1689" s="46"/>
    </row>
    <row r="1690" spans="17:17" x14ac:dyDescent="0.25">
      <c r="Q1690" s="46"/>
    </row>
    <row r="1691" spans="17:17" x14ac:dyDescent="0.25">
      <c r="Q1691" s="46"/>
    </row>
    <row r="1692" spans="17:17" x14ac:dyDescent="0.25">
      <c r="Q1692" s="46"/>
    </row>
    <row r="1693" spans="17:17" x14ac:dyDescent="0.25">
      <c r="Q1693" s="46"/>
    </row>
    <row r="1694" spans="17:17" x14ac:dyDescent="0.25">
      <c r="Q1694" s="46"/>
    </row>
    <row r="1695" spans="17:17" x14ac:dyDescent="0.25">
      <c r="Q1695" s="46"/>
    </row>
    <row r="1696" spans="17:17" x14ac:dyDescent="0.25">
      <c r="Q1696" s="46"/>
    </row>
    <row r="1697" spans="17:17" x14ac:dyDescent="0.25">
      <c r="Q1697" s="46"/>
    </row>
    <row r="1698" spans="17:17" x14ac:dyDescent="0.25">
      <c r="Q1698" s="46"/>
    </row>
    <row r="1699" spans="17:17" x14ac:dyDescent="0.25">
      <c r="Q1699" s="46"/>
    </row>
    <row r="1700" spans="17:17" x14ac:dyDescent="0.25">
      <c r="Q1700" s="46"/>
    </row>
    <row r="1701" spans="17:17" x14ac:dyDescent="0.25">
      <c r="Q1701" s="46"/>
    </row>
    <row r="1702" spans="17:17" x14ac:dyDescent="0.25">
      <c r="Q1702" s="46"/>
    </row>
    <row r="1703" spans="17:17" x14ac:dyDescent="0.25">
      <c r="Q1703" s="46"/>
    </row>
    <row r="1704" spans="17:17" x14ac:dyDescent="0.25">
      <c r="Q1704" s="46"/>
    </row>
    <row r="1705" spans="17:17" x14ac:dyDescent="0.25">
      <c r="Q1705" s="46"/>
    </row>
    <row r="1706" spans="17:17" x14ac:dyDescent="0.25">
      <c r="Q1706" s="46"/>
    </row>
    <row r="1707" spans="17:17" x14ac:dyDescent="0.25">
      <c r="Q1707" s="46"/>
    </row>
    <row r="1708" spans="17:17" x14ac:dyDescent="0.25">
      <c r="Q1708" s="46"/>
    </row>
    <row r="1709" spans="17:17" x14ac:dyDescent="0.25">
      <c r="Q1709" s="46"/>
    </row>
    <row r="1710" spans="17:17" x14ac:dyDescent="0.25">
      <c r="Q1710" s="46"/>
    </row>
    <row r="1711" spans="17:17" x14ac:dyDescent="0.25">
      <c r="Q1711" s="46"/>
    </row>
    <row r="1712" spans="17:17" x14ac:dyDescent="0.25">
      <c r="Q1712" s="46"/>
    </row>
    <row r="1713" spans="17:17" x14ac:dyDescent="0.25">
      <c r="Q1713" s="46"/>
    </row>
    <row r="1714" spans="17:17" x14ac:dyDescent="0.25">
      <c r="Q1714" s="46"/>
    </row>
    <row r="1715" spans="17:17" x14ac:dyDescent="0.25">
      <c r="Q1715" s="46"/>
    </row>
    <row r="1716" spans="17:17" x14ac:dyDescent="0.25">
      <c r="Q1716" s="46"/>
    </row>
    <row r="1717" spans="17:17" x14ac:dyDescent="0.25">
      <c r="Q1717" s="46"/>
    </row>
    <row r="1718" spans="17:17" x14ac:dyDescent="0.25">
      <c r="Q1718" s="46"/>
    </row>
    <row r="1719" spans="17:17" x14ac:dyDescent="0.25">
      <c r="Q1719" s="46"/>
    </row>
    <row r="1720" spans="17:17" x14ac:dyDescent="0.25">
      <c r="Q1720" s="46"/>
    </row>
    <row r="1721" spans="17:17" x14ac:dyDescent="0.25">
      <c r="Q1721" s="46"/>
    </row>
    <row r="1722" spans="17:17" x14ac:dyDescent="0.25">
      <c r="Q1722" s="46"/>
    </row>
    <row r="1723" spans="17:17" x14ac:dyDescent="0.25">
      <c r="Q1723" s="46"/>
    </row>
    <row r="1724" spans="17:17" x14ac:dyDescent="0.25">
      <c r="Q1724" s="46"/>
    </row>
    <row r="1725" spans="17:17" x14ac:dyDescent="0.25">
      <c r="Q1725" s="46"/>
    </row>
    <row r="1726" spans="17:17" x14ac:dyDescent="0.25">
      <c r="Q1726" s="46"/>
    </row>
    <row r="1727" spans="17:17" x14ac:dyDescent="0.25">
      <c r="Q1727" s="46"/>
    </row>
    <row r="1728" spans="17:17" x14ac:dyDescent="0.25">
      <c r="Q1728" s="46"/>
    </row>
    <row r="1729" spans="17:17" x14ac:dyDescent="0.25">
      <c r="Q1729" s="46"/>
    </row>
    <row r="1730" spans="17:17" x14ac:dyDescent="0.25">
      <c r="Q1730" s="46"/>
    </row>
    <row r="1731" spans="17:17" x14ac:dyDescent="0.25">
      <c r="Q1731" s="46"/>
    </row>
    <row r="1732" spans="17:17" x14ac:dyDescent="0.25">
      <c r="Q1732" s="46"/>
    </row>
    <row r="1733" spans="17:17" x14ac:dyDescent="0.25">
      <c r="Q1733" s="46"/>
    </row>
    <row r="1734" spans="17:17" x14ac:dyDescent="0.25">
      <c r="Q1734" s="46"/>
    </row>
    <row r="1735" spans="17:17" x14ac:dyDescent="0.25">
      <c r="Q1735" s="46"/>
    </row>
    <row r="1736" spans="17:17" x14ac:dyDescent="0.25">
      <c r="Q1736" s="46"/>
    </row>
    <row r="1737" spans="17:17" x14ac:dyDescent="0.25">
      <c r="Q1737" s="46"/>
    </row>
    <row r="1738" spans="17:17" x14ac:dyDescent="0.25">
      <c r="Q1738" s="46"/>
    </row>
    <row r="1739" spans="17:17" x14ac:dyDescent="0.25">
      <c r="Q1739" s="46"/>
    </row>
    <row r="1740" spans="17:17" x14ac:dyDescent="0.25">
      <c r="Q1740" s="46"/>
    </row>
    <row r="1741" spans="17:17" x14ac:dyDescent="0.25">
      <c r="Q1741" s="46"/>
    </row>
    <row r="1742" spans="17:17" x14ac:dyDescent="0.25">
      <c r="Q1742" s="46"/>
    </row>
    <row r="1743" spans="17:17" x14ac:dyDescent="0.25">
      <c r="Q1743" s="46"/>
    </row>
    <row r="1744" spans="17:17" x14ac:dyDescent="0.25">
      <c r="Q1744" s="46"/>
    </row>
    <row r="1745" spans="17:17" x14ac:dyDescent="0.25">
      <c r="Q1745" s="46"/>
    </row>
    <row r="1746" spans="17:17" x14ac:dyDescent="0.25">
      <c r="Q1746" s="46"/>
    </row>
    <row r="1747" spans="17:17" x14ac:dyDescent="0.25">
      <c r="Q1747" s="46"/>
    </row>
    <row r="1748" spans="17:17" x14ac:dyDescent="0.25">
      <c r="Q1748" s="46"/>
    </row>
    <row r="1749" spans="17:17" x14ac:dyDescent="0.25">
      <c r="Q1749" s="46"/>
    </row>
    <row r="1750" spans="17:17" x14ac:dyDescent="0.25">
      <c r="Q1750" s="46"/>
    </row>
    <row r="1751" spans="17:17" x14ac:dyDescent="0.25">
      <c r="Q1751" s="46"/>
    </row>
    <row r="1752" spans="17:17" x14ac:dyDescent="0.25">
      <c r="Q1752" s="46"/>
    </row>
    <row r="1753" spans="17:17" x14ac:dyDescent="0.25">
      <c r="Q1753" s="46"/>
    </row>
    <row r="1754" spans="17:17" x14ac:dyDescent="0.25">
      <c r="Q1754" s="46"/>
    </row>
    <row r="1755" spans="17:17" x14ac:dyDescent="0.25">
      <c r="Q1755" s="46"/>
    </row>
    <row r="1756" spans="17:17" x14ac:dyDescent="0.25">
      <c r="Q1756" s="46"/>
    </row>
    <row r="1757" spans="17:17" x14ac:dyDescent="0.25">
      <c r="Q1757" s="46"/>
    </row>
    <row r="1758" spans="17:17" x14ac:dyDescent="0.25">
      <c r="Q1758" s="46"/>
    </row>
    <row r="1759" spans="17:17" x14ac:dyDescent="0.25">
      <c r="Q1759" s="46"/>
    </row>
    <row r="1760" spans="17:17" x14ac:dyDescent="0.25">
      <c r="Q1760" s="46"/>
    </row>
    <row r="1761" spans="17:17" x14ac:dyDescent="0.25">
      <c r="Q1761" s="46"/>
    </row>
    <row r="1762" spans="17:17" x14ac:dyDescent="0.25">
      <c r="Q1762" s="46"/>
    </row>
    <row r="1763" spans="17:17" x14ac:dyDescent="0.25">
      <c r="Q1763" s="46"/>
    </row>
    <row r="1764" spans="17:17" x14ac:dyDescent="0.25">
      <c r="Q1764" s="46"/>
    </row>
    <row r="1765" spans="17:17" x14ac:dyDescent="0.25">
      <c r="Q1765" s="46"/>
    </row>
    <row r="1766" spans="17:17" x14ac:dyDescent="0.25">
      <c r="Q1766" s="46"/>
    </row>
    <row r="1767" spans="17:17" x14ac:dyDescent="0.25">
      <c r="Q1767" s="46"/>
    </row>
    <row r="1768" spans="17:17" x14ac:dyDescent="0.25">
      <c r="Q1768" s="46"/>
    </row>
    <row r="1769" spans="17:17" x14ac:dyDescent="0.25">
      <c r="Q1769" s="46"/>
    </row>
    <row r="1770" spans="17:17" x14ac:dyDescent="0.25">
      <c r="Q1770" s="46"/>
    </row>
    <row r="1771" spans="17:17" x14ac:dyDescent="0.25">
      <c r="Q1771" s="46"/>
    </row>
    <row r="1772" spans="17:17" x14ac:dyDescent="0.25">
      <c r="Q1772" s="46"/>
    </row>
    <row r="1773" spans="17:17" x14ac:dyDescent="0.25">
      <c r="Q1773" s="46"/>
    </row>
    <row r="1774" spans="17:17" x14ac:dyDescent="0.25">
      <c r="Q1774" s="46"/>
    </row>
    <row r="1775" spans="17:17" x14ac:dyDescent="0.25">
      <c r="Q1775" s="46"/>
    </row>
    <row r="1776" spans="17:17" x14ac:dyDescent="0.25">
      <c r="Q1776" s="46"/>
    </row>
    <row r="1777" spans="17:17" x14ac:dyDescent="0.25">
      <c r="Q1777" s="46"/>
    </row>
    <row r="1778" spans="17:17" x14ac:dyDescent="0.25">
      <c r="Q1778" s="46"/>
    </row>
    <row r="1779" spans="17:17" x14ac:dyDescent="0.25">
      <c r="Q1779" s="46"/>
    </row>
    <row r="1780" spans="17:17" x14ac:dyDescent="0.25">
      <c r="Q1780" s="46"/>
    </row>
    <row r="1781" spans="17:17" x14ac:dyDescent="0.25">
      <c r="Q1781" s="46"/>
    </row>
    <row r="1782" spans="17:17" x14ac:dyDescent="0.25">
      <c r="Q1782" s="46"/>
    </row>
    <row r="1783" spans="17:17" x14ac:dyDescent="0.25">
      <c r="Q1783" s="46"/>
    </row>
    <row r="1784" spans="17:17" x14ac:dyDescent="0.25">
      <c r="Q1784" s="46"/>
    </row>
    <row r="1785" spans="17:17" x14ac:dyDescent="0.25">
      <c r="Q1785" s="46"/>
    </row>
    <row r="1786" spans="17:17" x14ac:dyDescent="0.25">
      <c r="Q1786" s="46"/>
    </row>
    <row r="1787" spans="17:17" x14ac:dyDescent="0.25">
      <c r="Q1787" s="46"/>
    </row>
    <row r="1788" spans="17:17" x14ac:dyDescent="0.25">
      <c r="Q1788" s="46"/>
    </row>
    <row r="1789" spans="17:17" x14ac:dyDescent="0.25">
      <c r="Q1789" s="46"/>
    </row>
    <row r="1790" spans="17:17" x14ac:dyDescent="0.25">
      <c r="Q1790" s="46"/>
    </row>
    <row r="1791" spans="17:17" x14ac:dyDescent="0.25">
      <c r="Q1791" s="46"/>
    </row>
    <row r="1792" spans="17:17" x14ac:dyDescent="0.25">
      <c r="Q1792" s="46"/>
    </row>
    <row r="1793" spans="17:17" x14ac:dyDescent="0.25">
      <c r="Q1793" s="46"/>
    </row>
    <row r="1794" spans="17:17" x14ac:dyDescent="0.25">
      <c r="Q1794" s="46"/>
    </row>
    <row r="1795" spans="17:17" x14ac:dyDescent="0.25">
      <c r="Q1795" s="46"/>
    </row>
    <row r="1796" spans="17:17" x14ac:dyDescent="0.25">
      <c r="Q1796" s="46"/>
    </row>
    <row r="1797" spans="17:17" x14ac:dyDescent="0.25">
      <c r="Q1797" s="46"/>
    </row>
    <row r="1798" spans="17:17" x14ac:dyDescent="0.25">
      <c r="Q1798" s="46"/>
    </row>
    <row r="1799" spans="17:17" x14ac:dyDescent="0.25">
      <c r="Q1799" s="46"/>
    </row>
    <row r="1800" spans="17:17" x14ac:dyDescent="0.25">
      <c r="Q1800" s="46"/>
    </row>
    <row r="1801" spans="17:17" x14ac:dyDescent="0.25">
      <c r="Q1801" s="46"/>
    </row>
    <row r="1802" spans="17:17" x14ac:dyDescent="0.25">
      <c r="Q1802" s="46"/>
    </row>
    <row r="1803" spans="17:17" x14ac:dyDescent="0.25">
      <c r="Q1803" s="46"/>
    </row>
    <row r="1804" spans="17:17" x14ac:dyDescent="0.25">
      <c r="Q1804" s="46"/>
    </row>
    <row r="1805" spans="17:17" x14ac:dyDescent="0.25">
      <c r="Q1805" s="46"/>
    </row>
    <row r="1806" spans="17:17" x14ac:dyDescent="0.25">
      <c r="Q1806" s="46"/>
    </row>
    <row r="1807" spans="17:17" x14ac:dyDescent="0.25">
      <c r="Q1807" s="46"/>
    </row>
    <row r="1808" spans="17:17" x14ac:dyDescent="0.25">
      <c r="Q1808" s="46"/>
    </row>
    <row r="1809" spans="17:17" x14ac:dyDescent="0.25">
      <c r="Q1809" s="46"/>
    </row>
    <row r="1810" spans="17:17" x14ac:dyDescent="0.25">
      <c r="Q1810" s="46"/>
    </row>
    <row r="1811" spans="17:17" x14ac:dyDescent="0.25">
      <c r="Q1811" s="46"/>
    </row>
    <row r="1812" spans="17:17" x14ac:dyDescent="0.25">
      <c r="Q1812" s="46"/>
    </row>
    <row r="1813" spans="17:17" x14ac:dyDescent="0.25">
      <c r="Q1813" s="46"/>
    </row>
    <row r="1814" spans="17:17" x14ac:dyDescent="0.25">
      <c r="Q1814" s="46"/>
    </row>
    <row r="1815" spans="17:17" x14ac:dyDescent="0.25">
      <c r="Q1815" s="46"/>
    </row>
    <row r="1816" spans="17:17" x14ac:dyDescent="0.25">
      <c r="Q1816" s="46"/>
    </row>
    <row r="1817" spans="17:17" x14ac:dyDescent="0.25">
      <c r="Q1817" s="46"/>
    </row>
    <row r="1818" spans="17:17" x14ac:dyDescent="0.25">
      <c r="Q1818" s="46"/>
    </row>
    <row r="1819" spans="17:17" x14ac:dyDescent="0.25">
      <c r="Q1819" s="46"/>
    </row>
    <row r="1820" spans="17:17" x14ac:dyDescent="0.25">
      <c r="Q1820" s="46"/>
    </row>
    <row r="1821" spans="17:17" x14ac:dyDescent="0.25">
      <c r="Q1821" s="46"/>
    </row>
    <row r="1822" spans="17:17" x14ac:dyDescent="0.25">
      <c r="Q1822" s="46"/>
    </row>
    <row r="1823" spans="17:17" x14ac:dyDescent="0.25">
      <c r="Q1823" s="46"/>
    </row>
    <row r="1824" spans="17:17" x14ac:dyDescent="0.25">
      <c r="Q1824" s="46"/>
    </row>
    <row r="1825" spans="17:17" x14ac:dyDescent="0.25">
      <c r="Q1825" s="46"/>
    </row>
    <row r="1826" spans="17:17" x14ac:dyDescent="0.25">
      <c r="Q1826" s="46"/>
    </row>
    <row r="1827" spans="17:17" x14ac:dyDescent="0.25">
      <c r="Q1827" s="46"/>
    </row>
    <row r="1828" spans="17:17" x14ac:dyDescent="0.25">
      <c r="Q1828" s="46"/>
    </row>
    <row r="1829" spans="17:17" x14ac:dyDescent="0.25">
      <c r="Q1829" s="46"/>
    </row>
    <row r="1830" spans="17:17" x14ac:dyDescent="0.25">
      <c r="Q1830" s="46"/>
    </row>
    <row r="1831" spans="17:17" x14ac:dyDescent="0.25">
      <c r="Q1831" s="46"/>
    </row>
    <row r="1832" spans="17:17" x14ac:dyDescent="0.25">
      <c r="Q1832" s="46"/>
    </row>
    <row r="1833" spans="17:17" x14ac:dyDescent="0.25">
      <c r="Q1833" s="46"/>
    </row>
    <row r="1834" spans="17:17" x14ac:dyDescent="0.25">
      <c r="Q1834" s="46"/>
    </row>
    <row r="1835" spans="17:17" x14ac:dyDescent="0.25">
      <c r="Q1835" s="46"/>
    </row>
    <row r="1836" spans="17:17" x14ac:dyDescent="0.25">
      <c r="Q1836" s="46"/>
    </row>
    <row r="1837" spans="17:17" x14ac:dyDescent="0.25">
      <c r="Q1837" s="46"/>
    </row>
    <row r="1838" spans="17:17" x14ac:dyDescent="0.25">
      <c r="Q1838" s="46"/>
    </row>
    <row r="1839" spans="17:17" x14ac:dyDescent="0.25">
      <c r="Q1839" s="46"/>
    </row>
    <row r="1840" spans="17:17" x14ac:dyDescent="0.25">
      <c r="Q1840" s="46"/>
    </row>
    <row r="1841" spans="17:17" x14ac:dyDescent="0.25">
      <c r="Q1841" s="46"/>
    </row>
    <row r="1842" spans="17:17" x14ac:dyDescent="0.25">
      <c r="Q1842" s="46"/>
    </row>
    <row r="1843" spans="17:17" x14ac:dyDescent="0.25">
      <c r="Q1843" s="46"/>
    </row>
    <row r="1844" spans="17:17" x14ac:dyDescent="0.25">
      <c r="Q1844" s="46"/>
    </row>
    <row r="1845" spans="17:17" x14ac:dyDescent="0.25">
      <c r="Q1845" s="46"/>
    </row>
    <row r="1846" spans="17:17" x14ac:dyDescent="0.25">
      <c r="Q1846" s="46"/>
    </row>
    <row r="1847" spans="17:17" x14ac:dyDescent="0.25">
      <c r="Q1847" s="46"/>
    </row>
    <row r="1848" spans="17:17" x14ac:dyDescent="0.25">
      <c r="Q1848" s="46"/>
    </row>
    <row r="1849" spans="17:17" x14ac:dyDescent="0.25">
      <c r="Q1849" s="46"/>
    </row>
    <row r="1850" spans="17:17" x14ac:dyDescent="0.25">
      <c r="Q1850" s="46"/>
    </row>
    <row r="1851" spans="17:17" x14ac:dyDescent="0.25">
      <c r="Q1851" s="46"/>
    </row>
    <row r="1852" spans="17:17" x14ac:dyDescent="0.25">
      <c r="Q1852" s="46"/>
    </row>
    <row r="1853" spans="17:17" x14ac:dyDescent="0.25">
      <c r="Q1853" s="46"/>
    </row>
    <row r="1854" spans="17:17" x14ac:dyDescent="0.25">
      <c r="Q1854" s="46"/>
    </row>
    <row r="1855" spans="17:17" x14ac:dyDescent="0.25">
      <c r="Q1855" s="46"/>
    </row>
    <row r="1856" spans="17:17" x14ac:dyDescent="0.25">
      <c r="Q1856" s="46"/>
    </row>
    <row r="1857" spans="17:17" x14ac:dyDescent="0.25">
      <c r="Q1857" s="46"/>
    </row>
    <row r="1858" spans="17:17" x14ac:dyDescent="0.25">
      <c r="Q1858" s="46"/>
    </row>
    <row r="1859" spans="17:17" x14ac:dyDescent="0.25">
      <c r="Q1859" s="46"/>
    </row>
    <row r="1860" spans="17:17" x14ac:dyDescent="0.25">
      <c r="Q1860" s="46"/>
    </row>
    <row r="1861" spans="17:17" x14ac:dyDescent="0.25">
      <c r="Q1861" s="46"/>
    </row>
    <row r="1862" spans="17:17" x14ac:dyDescent="0.25">
      <c r="Q1862" s="46"/>
    </row>
    <row r="1863" spans="17:17" x14ac:dyDescent="0.25">
      <c r="Q1863" s="46"/>
    </row>
    <row r="1864" spans="17:17" x14ac:dyDescent="0.25">
      <c r="Q1864" s="46"/>
    </row>
    <row r="1865" spans="17:17" x14ac:dyDescent="0.25">
      <c r="Q1865" s="46"/>
    </row>
    <row r="1866" spans="17:17" x14ac:dyDescent="0.25">
      <c r="Q1866" s="46"/>
    </row>
    <row r="1867" spans="17:17" x14ac:dyDescent="0.25">
      <c r="Q1867" s="46"/>
    </row>
    <row r="1868" spans="17:17" x14ac:dyDescent="0.25">
      <c r="Q1868" s="46"/>
    </row>
    <row r="1869" spans="17:17" x14ac:dyDescent="0.25">
      <c r="Q1869" s="46"/>
    </row>
    <row r="1870" spans="17:17" x14ac:dyDescent="0.25">
      <c r="Q1870" s="46"/>
    </row>
    <row r="1871" spans="17:17" x14ac:dyDescent="0.25">
      <c r="Q1871" s="46"/>
    </row>
    <row r="1872" spans="17:17" x14ac:dyDescent="0.25">
      <c r="Q1872" s="46"/>
    </row>
    <row r="1873" spans="17:17" x14ac:dyDescent="0.25">
      <c r="Q1873" s="46"/>
    </row>
    <row r="1874" spans="17:17" x14ac:dyDescent="0.25">
      <c r="Q1874" s="46"/>
    </row>
    <row r="1875" spans="17:17" x14ac:dyDescent="0.25">
      <c r="Q1875" s="46"/>
    </row>
    <row r="1876" spans="17:17" x14ac:dyDescent="0.25">
      <c r="Q1876" s="46"/>
    </row>
    <row r="1877" spans="17:17" x14ac:dyDescent="0.25">
      <c r="Q1877" s="46"/>
    </row>
    <row r="1878" spans="17:17" x14ac:dyDescent="0.25">
      <c r="Q1878" s="46"/>
    </row>
    <row r="1879" spans="17:17" x14ac:dyDescent="0.25">
      <c r="Q1879" s="46"/>
    </row>
    <row r="1880" spans="17:17" x14ac:dyDescent="0.25">
      <c r="Q1880" s="46"/>
    </row>
    <row r="1881" spans="17:17" x14ac:dyDescent="0.25">
      <c r="Q1881" s="46"/>
    </row>
    <row r="1882" spans="17:17" x14ac:dyDescent="0.25">
      <c r="Q1882" s="46"/>
    </row>
    <row r="1883" spans="17:17" x14ac:dyDescent="0.25">
      <c r="Q1883" s="46"/>
    </row>
    <row r="1884" spans="17:17" x14ac:dyDescent="0.25">
      <c r="Q1884" s="46"/>
    </row>
    <row r="1885" spans="17:17" x14ac:dyDescent="0.25">
      <c r="Q1885" s="46"/>
    </row>
    <row r="1886" spans="17:17" x14ac:dyDescent="0.25">
      <c r="Q1886" s="46"/>
    </row>
    <row r="1887" spans="17:17" x14ac:dyDescent="0.25">
      <c r="Q1887" s="46"/>
    </row>
    <row r="1888" spans="17:17" x14ac:dyDescent="0.25">
      <c r="Q1888" s="46"/>
    </row>
    <row r="1889" spans="17:17" x14ac:dyDescent="0.25">
      <c r="Q1889" s="46"/>
    </row>
    <row r="1890" spans="17:17" x14ac:dyDescent="0.25">
      <c r="Q1890" s="46"/>
    </row>
    <row r="1891" spans="17:17" x14ac:dyDescent="0.25">
      <c r="Q1891" s="46"/>
    </row>
    <row r="1892" spans="17:17" x14ac:dyDescent="0.25">
      <c r="Q1892" s="46"/>
    </row>
    <row r="1893" spans="17:17" x14ac:dyDescent="0.25">
      <c r="Q1893" s="46"/>
    </row>
    <row r="1894" spans="17:17" x14ac:dyDescent="0.25">
      <c r="Q1894" s="46"/>
    </row>
    <row r="1895" spans="17:17" x14ac:dyDescent="0.25">
      <c r="Q1895" s="46"/>
    </row>
    <row r="1896" spans="17:17" x14ac:dyDescent="0.25">
      <c r="Q1896" s="46"/>
    </row>
    <row r="1897" spans="17:17" x14ac:dyDescent="0.25">
      <c r="Q1897" s="46"/>
    </row>
    <row r="1898" spans="17:17" x14ac:dyDescent="0.25">
      <c r="Q1898" s="46"/>
    </row>
    <row r="1899" spans="17:17" x14ac:dyDescent="0.25">
      <c r="Q1899" s="46"/>
    </row>
    <row r="1900" spans="17:17" x14ac:dyDescent="0.25">
      <c r="Q1900" s="46"/>
    </row>
    <row r="1901" spans="17:17" x14ac:dyDescent="0.25">
      <c r="Q1901" s="46"/>
    </row>
    <row r="1902" spans="17:17" x14ac:dyDescent="0.25">
      <c r="Q1902" s="46"/>
    </row>
    <row r="1903" spans="17:17" x14ac:dyDescent="0.25">
      <c r="Q1903" s="46"/>
    </row>
    <row r="1904" spans="17:17" x14ac:dyDescent="0.25">
      <c r="Q1904" s="46"/>
    </row>
    <row r="1905" spans="17:17" x14ac:dyDescent="0.25">
      <c r="Q1905" s="46"/>
    </row>
    <row r="1906" spans="17:17" x14ac:dyDescent="0.25">
      <c r="Q1906" s="46"/>
    </row>
    <row r="1907" spans="17:17" x14ac:dyDescent="0.25">
      <c r="Q1907" s="46"/>
    </row>
    <row r="1908" spans="17:17" x14ac:dyDescent="0.25">
      <c r="Q1908" s="46"/>
    </row>
    <row r="1909" spans="17:17" x14ac:dyDescent="0.25">
      <c r="Q1909" s="46"/>
    </row>
    <row r="1910" spans="17:17" x14ac:dyDescent="0.25">
      <c r="Q1910" s="46"/>
    </row>
    <row r="1911" spans="17:17" x14ac:dyDescent="0.25">
      <c r="Q1911" s="46"/>
    </row>
    <row r="1912" spans="17:17" x14ac:dyDescent="0.25">
      <c r="Q1912" s="46"/>
    </row>
    <row r="1913" spans="17:17" x14ac:dyDescent="0.25">
      <c r="Q1913" s="46"/>
    </row>
    <row r="1914" spans="17:17" x14ac:dyDescent="0.25">
      <c r="Q1914" s="46"/>
    </row>
    <row r="1915" spans="17:17" x14ac:dyDescent="0.25">
      <c r="Q1915" s="46"/>
    </row>
    <row r="1916" spans="17:17" x14ac:dyDescent="0.25">
      <c r="Q1916" s="46"/>
    </row>
    <row r="1917" spans="17:17" x14ac:dyDescent="0.25">
      <c r="Q1917" s="46"/>
    </row>
    <row r="1918" spans="17:17" x14ac:dyDescent="0.25">
      <c r="Q1918" s="46"/>
    </row>
    <row r="1919" spans="17:17" x14ac:dyDescent="0.25">
      <c r="Q1919" s="46"/>
    </row>
    <row r="1920" spans="17:17" x14ac:dyDescent="0.25">
      <c r="Q1920" s="46"/>
    </row>
    <row r="1921" spans="17:17" x14ac:dyDescent="0.25">
      <c r="Q1921" s="46"/>
    </row>
    <row r="1922" spans="17:17" x14ac:dyDescent="0.25">
      <c r="Q1922" s="46"/>
    </row>
    <row r="1923" spans="17:17" x14ac:dyDescent="0.25">
      <c r="Q1923" s="46"/>
    </row>
    <row r="1924" spans="17:17" x14ac:dyDescent="0.25">
      <c r="Q1924" s="46"/>
    </row>
    <row r="1925" spans="17:17" x14ac:dyDescent="0.25">
      <c r="Q1925" s="46"/>
    </row>
    <row r="1926" spans="17:17" x14ac:dyDescent="0.25">
      <c r="Q1926" s="46"/>
    </row>
    <row r="1927" spans="17:17" x14ac:dyDescent="0.25">
      <c r="Q1927" s="46"/>
    </row>
    <row r="1928" spans="17:17" x14ac:dyDescent="0.25">
      <c r="Q1928" s="46"/>
    </row>
    <row r="1929" spans="17:17" x14ac:dyDescent="0.25">
      <c r="Q1929" s="46"/>
    </row>
    <row r="1930" spans="17:17" x14ac:dyDescent="0.25">
      <c r="Q1930" s="46"/>
    </row>
    <row r="1931" spans="17:17" x14ac:dyDescent="0.25">
      <c r="Q1931" s="46"/>
    </row>
    <row r="1932" spans="17:17" x14ac:dyDescent="0.25">
      <c r="Q1932" s="46"/>
    </row>
    <row r="1933" spans="17:17" x14ac:dyDescent="0.25">
      <c r="Q1933" s="46"/>
    </row>
    <row r="1934" spans="17:17" x14ac:dyDescent="0.25">
      <c r="Q1934" s="46"/>
    </row>
    <row r="1935" spans="17:17" x14ac:dyDescent="0.25">
      <c r="Q1935" s="46"/>
    </row>
    <row r="1936" spans="17:17" x14ac:dyDescent="0.25">
      <c r="Q1936" s="46"/>
    </row>
    <row r="1937" spans="17:17" x14ac:dyDescent="0.25">
      <c r="Q1937" s="46"/>
    </row>
    <row r="1938" spans="17:17" x14ac:dyDescent="0.25">
      <c r="Q1938" s="46"/>
    </row>
    <row r="1939" spans="17:17" x14ac:dyDescent="0.25">
      <c r="Q1939" s="46"/>
    </row>
    <row r="1940" spans="17:17" x14ac:dyDescent="0.25">
      <c r="Q1940" s="46"/>
    </row>
    <row r="1941" spans="17:17" x14ac:dyDescent="0.25">
      <c r="Q1941" s="46"/>
    </row>
    <row r="1942" spans="17:17" x14ac:dyDescent="0.25">
      <c r="Q1942" s="46"/>
    </row>
    <row r="1943" spans="17:17" x14ac:dyDescent="0.25">
      <c r="Q1943" s="46"/>
    </row>
    <row r="1944" spans="17:17" x14ac:dyDescent="0.25">
      <c r="Q1944" s="46"/>
    </row>
    <row r="1945" spans="17:17" x14ac:dyDescent="0.25">
      <c r="Q1945" s="46"/>
    </row>
    <row r="1946" spans="17:17" x14ac:dyDescent="0.25">
      <c r="Q1946" s="46"/>
    </row>
    <row r="1947" spans="17:17" x14ac:dyDescent="0.25">
      <c r="Q1947" s="46"/>
    </row>
    <row r="1948" spans="17:17" x14ac:dyDescent="0.25">
      <c r="Q1948" s="46"/>
    </row>
    <row r="1949" spans="17:17" x14ac:dyDescent="0.25">
      <c r="Q1949" s="46"/>
    </row>
    <row r="1950" spans="17:17" x14ac:dyDescent="0.25">
      <c r="Q1950" s="46"/>
    </row>
    <row r="1951" spans="17:17" x14ac:dyDescent="0.25">
      <c r="Q1951" s="46"/>
    </row>
    <row r="1952" spans="17:17" x14ac:dyDescent="0.25">
      <c r="Q1952" s="46"/>
    </row>
    <row r="1953" spans="17:17" x14ac:dyDescent="0.25">
      <c r="Q1953" s="46"/>
    </row>
    <row r="1954" spans="17:17" x14ac:dyDescent="0.25">
      <c r="Q1954" s="46"/>
    </row>
    <row r="1955" spans="17:17" x14ac:dyDescent="0.25">
      <c r="Q1955" s="46"/>
    </row>
    <row r="1956" spans="17:17" x14ac:dyDescent="0.25">
      <c r="Q1956" s="46"/>
    </row>
    <row r="1957" spans="17:17" x14ac:dyDescent="0.25">
      <c r="Q1957" s="46"/>
    </row>
    <row r="1958" spans="17:17" x14ac:dyDescent="0.25">
      <c r="Q1958" s="46"/>
    </row>
    <row r="1959" spans="17:17" x14ac:dyDescent="0.25">
      <c r="Q1959" s="46"/>
    </row>
    <row r="1960" spans="17:17" x14ac:dyDescent="0.25">
      <c r="Q1960" s="46"/>
    </row>
    <row r="1961" spans="17:17" x14ac:dyDescent="0.25">
      <c r="Q1961" s="46"/>
    </row>
    <row r="1962" spans="17:17" x14ac:dyDescent="0.25">
      <c r="Q1962" s="46"/>
    </row>
    <row r="1963" spans="17:17" x14ac:dyDescent="0.25">
      <c r="Q1963" s="46"/>
    </row>
    <row r="1964" spans="17:17" x14ac:dyDescent="0.25">
      <c r="Q1964" s="46"/>
    </row>
    <row r="1965" spans="17:17" x14ac:dyDescent="0.25">
      <c r="Q1965" s="46"/>
    </row>
    <row r="1966" spans="17:17" x14ac:dyDescent="0.25">
      <c r="Q1966" s="46"/>
    </row>
    <row r="1967" spans="17:17" x14ac:dyDescent="0.25">
      <c r="Q1967" s="46"/>
    </row>
    <row r="1968" spans="17:17" x14ac:dyDescent="0.25">
      <c r="Q1968" s="46"/>
    </row>
    <row r="1969" spans="17:17" x14ac:dyDescent="0.25">
      <c r="Q1969" s="46"/>
    </row>
    <row r="1970" spans="17:17" x14ac:dyDescent="0.25">
      <c r="Q1970" s="46"/>
    </row>
    <row r="1971" spans="17:17" x14ac:dyDescent="0.25">
      <c r="Q1971" s="46"/>
    </row>
    <row r="1972" spans="17:17" x14ac:dyDescent="0.25">
      <c r="Q1972" s="46"/>
    </row>
    <row r="1973" spans="17:17" x14ac:dyDescent="0.25">
      <c r="Q1973" s="46"/>
    </row>
    <row r="1974" spans="17:17" x14ac:dyDescent="0.25">
      <c r="Q1974" s="46"/>
    </row>
    <row r="1975" spans="17:17" x14ac:dyDescent="0.25">
      <c r="Q1975" s="46"/>
    </row>
    <row r="1976" spans="17:17" x14ac:dyDescent="0.25">
      <c r="Q1976" s="46"/>
    </row>
    <row r="1977" spans="17:17" x14ac:dyDescent="0.25">
      <c r="Q1977" s="46"/>
    </row>
    <row r="1978" spans="17:17" x14ac:dyDescent="0.25">
      <c r="Q1978" s="46"/>
    </row>
    <row r="1979" spans="17:17" x14ac:dyDescent="0.25">
      <c r="Q1979" s="46"/>
    </row>
    <row r="1980" spans="17:17" x14ac:dyDescent="0.25">
      <c r="Q1980" s="46"/>
    </row>
    <row r="1981" spans="17:17" x14ac:dyDescent="0.25">
      <c r="Q1981" s="46"/>
    </row>
    <row r="1982" spans="17:17" x14ac:dyDescent="0.25">
      <c r="Q1982" s="46"/>
    </row>
    <row r="1983" spans="17:17" x14ac:dyDescent="0.25">
      <c r="Q1983" s="46"/>
    </row>
    <row r="1984" spans="17:17" x14ac:dyDescent="0.25">
      <c r="Q1984" s="46"/>
    </row>
    <row r="1985" spans="17:17" x14ac:dyDescent="0.25">
      <c r="Q1985" s="46"/>
    </row>
    <row r="1986" spans="17:17" x14ac:dyDescent="0.25">
      <c r="Q1986" s="46"/>
    </row>
    <row r="1987" spans="17:17" x14ac:dyDescent="0.25">
      <c r="Q1987" s="46"/>
    </row>
    <row r="1988" spans="17:17" x14ac:dyDescent="0.25">
      <c r="Q1988" s="46"/>
    </row>
    <row r="1989" spans="17:17" x14ac:dyDescent="0.25">
      <c r="Q1989" s="46"/>
    </row>
    <row r="1990" spans="17:17" x14ac:dyDescent="0.25">
      <c r="Q1990" s="46"/>
    </row>
    <row r="1991" spans="17:17" x14ac:dyDescent="0.25">
      <c r="Q1991" s="46"/>
    </row>
    <row r="1992" spans="17:17" x14ac:dyDescent="0.25">
      <c r="Q1992" s="46"/>
    </row>
    <row r="1993" spans="17:17" x14ac:dyDescent="0.25">
      <c r="Q1993" s="46"/>
    </row>
    <row r="1994" spans="17:17" x14ac:dyDescent="0.25">
      <c r="Q1994" s="46"/>
    </row>
    <row r="1995" spans="17:17" x14ac:dyDescent="0.25">
      <c r="Q1995" s="46"/>
    </row>
    <row r="1996" spans="17:17" x14ac:dyDescent="0.25">
      <c r="Q1996" s="46"/>
    </row>
    <row r="1997" spans="17:17" x14ac:dyDescent="0.25">
      <c r="Q1997" s="46"/>
    </row>
    <row r="1998" spans="17:17" x14ac:dyDescent="0.25">
      <c r="Q1998" s="46"/>
    </row>
    <row r="1999" spans="17:17" x14ac:dyDescent="0.25">
      <c r="Q1999" s="46"/>
    </row>
    <row r="2000" spans="17:17" x14ac:dyDescent="0.25">
      <c r="Q2000" s="46"/>
    </row>
  </sheetData>
  <phoneticPr fontId="5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U277"/>
  <sheetViews>
    <sheetView topLeftCell="F276" workbookViewId="0"/>
  </sheetViews>
  <sheetFormatPr defaultRowHeight="15" x14ac:dyDescent="0.25"/>
  <cols>
    <col min="1" max="1" width="9.140625" style="33"/>
    <col min="2" max="2" width="13.7109375" style="44" customWidth="1"/>
    <col min="3" max="3" width="11.42578125" style="45" bestFit="1" customWidth="1"/>
    <col min="4" max="4" width="16.85546875" style="21" customWidth="1"/>
    <col min="5" max="5" width="14.5703125" style="21" bestFit="1" customWidth="1"/>
    <col min="6" max="6" width="15.28515625" style="33" bestFit="1" customWidth="1"/>
    <col min="7" max="7" width="15.28515625" style="21" bestFit="1" customWidth="1"/>
    <col min="8" max="8" width="13.140625" style="33" bestFit="1" customWidth="1"/>
    <col min="9" max="9" width="10.85546875" style="33" bestFit="1" customWidth="1"/>
    <col min="10" max="10" width="11.7109375" style="33" hidden="1" customWidth="1"/>
    <col min="11" max="12" width="16.7109375" style="21" hidden="1" customWidth="1"/>
    <col min="13" max="13" width="9.28515625" style="33" hidden="1" customWidth="1"/>
    <col min="14" max="14" width="11" style="46" hidden="1" customWidth="1"/>
    <col min="15" max="15" width="11.42578125" style="46" hidden="1" customWidth="1"/>
    <col min="16" max="16" width="8.85546875" style="46" hidden="1" customWidth="1"/>
    <col min="17" max="17" width="10.140625" style="46" hidden="1" customWidth="1"/>
    <col min="18" max="18" width="13.85546875" style="47" hidden="1" customWidth="1"/>
    <col min="19" max="19" width="13.42578125" style="33" bestFit="1" customWidth="1"/>
    <col min="20" max="20" width="12.28515625" style="33" bestFit="1" customWidth="1"/>
    <col min="21" max="21" width="10.140625" style="21" bestFit="1" customWidth="1"/>
    <col min="22" max="16384" width="9.140625" style="43"/>
  </cols>
  <sheetData>
    <row r="1" spans="1:21" x14ac:dyDescent="0.25">
      <c r="A1" s="33" t="s">
        <v>18</v>
      </c>
      <c r="B1" s="34" t="s">
        <v>22</v>
      </c>
      <c r="C1" s="35" t="s">
        <v>19</v>
      </c>
      <c r="D1" s="36" t="s">
        <v>21</v>
      </c>
      <c r="E1" s="36" t="s">
        <v>23</v>
      </c>
      <c r="F1" s="37" t="s">
        <v>24</v>
      </c>
      <c r="G1" s="36" t="s">
        <v>25</v>
      </c>
      <c r="H1" s="37" t="s">
        <v>26</v>
      </c>
      <c r="I1" s="37" t="s">
        <v>27</v>
      </c>
      <c r="J1" s="37" t="s">
        <v>28</v>
      </c>
      <c r="K1" s="38" t="s">
        <v>29</v>
      </c>
      <c r="L1" s="38" t="s">
        <v>30</v>
      </c>
      <c r="M1" s="39" t="s">
        <v>31</v>
      </c>
      <c r="N1" s="40" t="s">
        <v>32</v>
      </c>
      <c r="O1" s="40" t="s">
        <v>33</v>
      </c>
      <c r="P1" s="40" t="s">
        <v>34</v>
      </c>
      <c r="Q1" s="40" t="s">
        <v>35</v>
      </c>
      <c r="R1" s="42" t="s">
        <v>36</v>
      </c>
      <c r="S1" s="39" t="s">
        <v>37</v>
      </c>
      <c r="T1" s="39" t="s">
        <v>38</v>
      </c>
      <c r="U1" s="41" t="s">
        <v>39</v>
      </c>
    </row>
    <row r="2" spans="1:21" x14ac:dyDescent="0.25">
      <c r="A2" s="33">
        <v>2013</v>
      </c>
      <c r="B2" s="44">
        <v>41453</v>
      </c>
      <c r="C2" s="45">
        <v>0.87361111111111101</v>
      </c>
      <c r="D2" s="21" t="s">
        <v>52</v>
      </c>
      <c r="E2" s="21" t="s">
        <v>220</v>
      </c>
      <c r="F2" s="33">
        <v>2256</v>
      </c>
      <c r="G2" s="21" t="s">
        <v>249</v>
      </c>
      <c r="H2" s="33">
        <v>12</v>
      </c>
      <c r="I2" s="33">
        <v>0</v>
      </c>
      <c r="J2" s="33">
        <v>0</v>
      </c>
      <c r="K2" s="21" t="s">
        <v>282</v>
      </c>
      <c r="L2" s="21" t="s">
        <v>283</v>
      </c>
      <c r="N2" s="46">
        <v>41.5</v>
      </c>
      <c r="O2" s="46">
        <v>25.83</v>
      </c>
      <c r="P2" s="46" t="s">
        <v>257</v>
      </c>
      <c r="Q2" s="46">
        <v>67.33</v>
      </c>
      <c r="R2" s="47" t="s">
        <v>55</v>
      </c>
      <c r="S2" s="33" t="s">
        <v>257</v>
      </c>
      <c r="T2" s="33" t="s">
        <v>257</v>
      </c>
      <c r="U2" s="21" t="s">
        <v>257</v>
      </c>
    </row>
    <row r="3" spans="1:21" x14ac:dyDescent="0.25">
      <c r="A3" s="33">
        <v>2013</v>
      </c>
      <c r="B3" s="44">
        <v>41455</v>
      </c>
      <c r="C3" s="45">
        <v>0.32291666666666669</v>
      </c>
      <c r="D3" s="21" t="s">
        <v>257</v>
      </c>
      <c r="E3" s="21" t="s">
        <v>217</v>
      </c>
      <c r="F3" s="33">
        <v>1</v>
      </c>
      <c r="G3" s="21" t="s">
        <v>290</v>
      </c>
      <c r="H3" s="33">
        <v>1</v>
      </c>
      <c r="I3" s="33">
        <v>0</v>
      </c>
      <c r="J3" s="33">
        <v>0</v>
      </c>
      <c r="K3" s="21" t="s">
        <v>284</v>
      </c>
      <c r="L3" s="21" t="s">
        <v>285</v>
      </c>
      <c r="N3" s="46" t="s">
        <v>257</v>
      </c>
      <c r="O3" s="46" t="s">
        <v>257</v>
      </c>
      <c r="P3" s="46" t="s">
        <v>257</v>
      </c>
      <c r="Q3" s="46" t="s">
        <v>257</v>
      </c>
      <c r="R3" s="47" t="s">
        <v>55</v>
      </c>
      <c r="S3" s="33" t="s">
        <v>257</v>
      </c>
      <c r="T3" s="33" t="s">
        <v>257</v>
      </c>
      <c r="U3" s="21" t="s">
        <v>257</v>
      </c>
    </row>
    <row r="4" spans="1:21" x14ac:dyDescent="0.25">
      <c r="A4" s="33">
        <v>2013</v>
      </c>
      <c r="B4" s="44">
        <v>41456</v>
      </c>
      <c r="C4" s="45" t="s">
        <v>257</v>
      </c>
      <c r="D4" s="21" t="s">
        <v>52</v>
      </c>
      <c r="E4" s="21" t="s">
        <v>257</v>
      </c>
      <c r="F4" s="33" t="s">
        <v>257</v>
      </c>
      <c r="G4" s="21" t="s">
        <v>249</v>
      </c>
      <c r="H4" s="33" t="s">
        <v>257</v>
      </c>
      <c r="I4" s="33" t="s">
        <v>257</v>
      </c>
      <c r="J4" s="33" t="s">
        <v>257</v>
      </c>
      <c r="K4" s="21" t="s">
        <v>286</v>
      </c>
      <c r="L4" s="21" t="s">
        <v>287</v>
      </c>
      <c r="N4" s="46" t="s">
        <v>257</v>
      </c>
      <c r="O4" s="46" t="s">
        <v>257</v>
      </c>
      <c r="P4" s="46" t="s">
        <v>257</v>
      </c>
      <c r="Q4" s="46" t="s">
        <v>257</v>
      </c>
      <c r="R4" s="47" t="s">
        <v>55</v>
      </c>
      <c r="S4" s="33" t="s">
        <v>257</v>
      </c>
      <c r="T4" s="33" t="s">
        <v>257</v>
      </c>
      <c r="U4" s="21" t="s">
        <v>270</v>
      </c>
    </row>
    <row r="5" spans="1:21" x14ac:dyDescent="0.25">
      <c r="A5" s="33">
        <v>2013</v>
      </c>
      <c r="B5" s="44">
        <v>41457</v>
      </c>
      <c r="C5" s="45">
        <v>0.33333333333333331</v>
      </c>
      <c r="D5" s="21" t="s">
        <v>52</v>
      </c>
      <c r="E5" s="21" t="s">
        <v>257</v>
      </c>
      <c r="F5" s="33" t="s">
        <v>257</v>
      </c>
      <c r="G5" s="21" t="s">
        <v>249</v>
      </c>
      <c r="H5" s="33">
        <v>1</v>
      </c>
      <c r="I5" s="33">
        <v>0</v>
      </c>
      <c r="J5" s="33">
        <v>0</v>
      </c>
      <c r="K5" s="21" t="s">
        <v>288</v>
      </c>
      <c r="L5" s="21" t="s">
        <v>289</v>
      </c>
      <c r="N5" s="46" t="s">
        <v>257</v>
      </c>
      <c r="O5" s="46" t="s">
        <v>257</v>
      </c>
      <c r="P5" s="46" t="s">
        <v>257</v>
      </c>
      <c r="Q5" s="46" t="s">
        <v>257</v>
      </c>
      <c r="R5" s="47" t="s">
        <v>53</v>
      </c>
      <c r="S5" s="33" t="s">
        <v>257</v>
      </c>
      <c r="T5" s="33" t="s">
        <v>257</v>
      </c>
      <c r="U5" s="21" t="s">
        <v>257</v>
      </c>
    </row>
    <row r="6" spans="1:21" x14ac:dyDescent="0.25">
      <c r="A6" s="33">
        <v>2013</v>
      </c>
      <c r="B6" s="44">
        <v>41461</v>
      </c>
      <c r="C6" s="45" t="s">
        <v>257</v>
      </c>
      <c r="D6" s="21" t="s">
        <v>52</v>
      </c>
      <c r="E6" s="21" t="s">
        <v>257</v>
      </c>
      <c r="F6" s="33" t="s">
        <v>257</v>
      </c>
      <c r="G6" s="21" t="s">
        <v>249</v>
      </c>
      <c r="H6" s="33">
        <v>1</v>
      </c>
      <c r="I6" s="33">
        <v>0</v>
      </c>
      <c r="J6" s="33">
        <v>0</v>
      </c>
      <c r="K6" s="21" t="s">
        <v>286</v>
      </c>
      <c r="L6" s="21" t="s">
        <v>287</v>
      </c>
      <c r="N6" s="46" t="s">
        <v>257</v>
      </c>
      <c r="O6" s="46" t="s">
        <v>257</v>
      </c>
      <c r="P6" s="46" t="s">
        <v>257</v>
      </c>
      <c r="Q6" s="46" t="s">
        <v>257</v>
      </c>
      <c r="R6" s="47" t="s">
        <v>55</v>
      </c>
      <c r="S6" s="33" t="s">
        <v>257</v>
      </c>
      <c r="T6" s="33" t="s">
        <v>257</v>
      </c>
      <c r="U6" s="21" t="s">
        <v>257</v>
      </c>
    </row>
    <row r="7" spans="1:21" x14ac:dyDescent="0.25">
      <c r="A7" s="33">
        <v>2013</v>
      </c>
      <c r="B7" s="44">
        <v>41462</v>
      </c>
      <c r="C7" s="45">
        <v>0.47916666666666669</v>
      </c>
      <c r="D7" s="21" t="s">
        <v>52</v>
      </c>
      <c r="E7" s="21" t="s">
        <v>257</v>
      </c>
      <c r="F7" s="33" t="s">
        <v>257</v>
      </c>
      <c r="G7" s="21" t="s">
        <v>249</v>
      </c>
      <c r="H7" s="33">
        <v>3</v>
      </c>
      <c r="I7" s="33">
        <v>0</v>
      </c>
      <c r="J7" s="33">
        <v>0</v>
      </c>
      <c r="K7" s="21" t="s">
        <v>282</v>
      </c>
      <c r="L7" s="21" t="s">
        <v>293</v>
      </c>
      <c r="N7" s="46">
        <v>54.43</v>
      </c>
      <c r="O7" s="46">
        <v>40.75</v>
      </c>
      <c r="P7" s="46" t="s">
        <v>257</v>
      </c>
      <c r="Q7" s="46">
        <v>95.18</v>
      </c>
      <c r="R7" s="47" t="s">
        <v>55</v>
      </c>
      <c r="S7" s="33" t="s">
        <v>257</v>
      </c>
      <c r="T7" s="33" t="s">
        <v>257</v>
      </c>
      <c r="U7" s="21" t="s">
        <v>271</v>
      </c>
    </row>
    <row r="8" spans="1:21" x14ac:dyDescent="0.25">
      <c r="A8" s="33">
        <v>2013</v>
      </c>
      <c r="B8" s="44">
        <v>41465</v>
      </c>
      <c r="C8" s="45">
        <v>0.9194444444444444</v>
      </c>
      <c r="D8" s="21" t="s">
        <v>46</v>
      </c>
      <c r="E8" s="21" t="s">
        <v>257</v>
      </c>
      <c r="F8" s="33" t="s">
        <v>257</v>
      </c>
      <c r="G8" s="21" t="s">
        <v>249</v>
      </c>
      <c r="H8" s="33">
        <v>8</v>
      </c>
      <c r="I8" s="33">
        <v>0</v>
      </c>
      <c r="J8" s="33">
        <v>0</v>
      </c>
      <c r="K8" s="21" t="s">
        <v>294</v>
      </c>
      <c r="L8" s="21" t="s">
        <v>295</v>
      </c>
      <c r="N8" s="46">
        <v>142.83000000000001</v>
      </c>
      <c r="O8" s="46" t="s">
        <v>257</v>
      </c>
      <c r="P8" s="46" t="s">
        <v>257</v>
      </c>
      <c r="Q8" s="46">
        <v>142.83000000000001</v>
      </c>
      <c r="R8" s="47" t="s">
        <v>55</v>
      </c>
      <c r="S8" s="33" t="s">
        <v>257</v>
      </c>
      <c r="T8" s="33" t="s">
        <v>257</v>
      </c>
      <c r="U8" s="21" t="s">
        <v>272</v>
      </c>
    </row>
    <row r="9" spans="1:21" x14ac:dyDescent="0.25">
      <c r="A9" s="33">
        <v>2013</v>
      </c>
      <c r="B9" s="44">
        <v>41466</v>
      </c>
      <c r="C9" s="45">
        <v>0.45694444444444443</v>
      </c>
      <c r="D9" s="21" t="s">
        <v>46</v>
      </c>
      <c r="E9" s="21" t="s">
        <v>213</v>
      </c>
      <c r="F9" s="33">
        <v>1200</v>
      </c>
      <c r="G9" s="21" t="s">
        <v>249</v>
      </c>
      <c r="H9" s="33">
        <v>2</v>
      </c>
      <c r="I9" s="33">
        <v>0</v>
      </c>
      <c r="J9" s="33">
        <v>0</v>
      </c>
      <c r="K9" s="21" t="s">
        <v>296</v>
      </c>
      <c r="L9" s="21" t="s">
        <v>297</v>
      </c>
      <c r="N9" s="46">
        <v>64.680000000000007</v>
      </c>
      <c r="O9" s="46">
        <v>82.49</v>
      </c>
      <c r="P9" s="46" t="s">
        <v>257</v>
      </c>
      <c r="Q9" s="46">
        <v>147.17000000000002</v>
      </c>
      <c r="R9" s="47" t="s">
        <v>54</v>
      </c>
      <c r="S9" s="33" t="s">
        <v>257</v>
      </c>
      <c r="T9" s="33" t="s">
        <v>257</v>
      </c>
      <c r="U9" s="21" t="s">
        <v>274</v>
      </c>
    </row>
    <row r="10" spans="1:21" x14ac:dyDescent="0.25">
      <c r="A10" s="33">
        <v>2013</v>
      </c>
      <c r="B10" s="44">
        <v>41466</v>
      </c>
      <c r="C10" s="45">
        <v>0.45694444444444443</v>
      </c>
      <c r="D10" s="21" t="s">
        <v>46</v>
      </c>
      <c r="E10" s="21" t="s">
        <v>213</v>
      </c>
      <c r="F10" s="33">
        <v>1200</v>
      </c>
      <c r="G10" s="21" t="s">
        <v>249</v>
      </c>
      <c r="H10" s="33">
        <v>2</v>
      </c>
      <c r="I10" s="33">
        <v>0</v>
      </c>
      <c r="J10" s="33">
        <v>0</v>
      </c>
      <c r="K10" s="21" t="s">
        <v>296</v>
      </c>
      <c r="L10" s="21" t="s">
        <v>297</v>
      </c>
      <c r="N10" s="46" t="s">
        <v>257</v>
      </c>
      <c r="O10" s="46" t="s">
        <v>257</v>
      </c>
      <c r="P10" s="46" t="s">
        <v>257</v>
      </c>
      <c r="Q10" s="46" t="s">
        <v>257</v>
      </c>
      <c r="R10" s="47" t="s">
        <v>53</v>
      </c>
      <c r="S10" s="33" t="s">
        <v>257</v>
      </c>
      <c r="T10" s="33" t="s">
        <v>257</v>
      </c>
      <c r="U10" s="21" t="s">
        <v>273</v>
      </c>
    </row>
    <row r="11" spans="1:21" x14ac:dyDescent="0.25">
      <c r="A11" s="33">
        <v>2013</v>
      </c>
      <c r="B11" s="44">
        <v>41469</v>
      </c>
      <c r="C11" s="45">
        <v>0.90486111111111101</v>
      </c>
      <c r="D11" s="21" t="s">
        <v>46</v>
      </c>
      <c r="E11" s="21" t="s">
        <v>257</v>
      </c>
      <c r="F11" s="33" t="s">
        <v>257</v>
      </c>
      <c r="G11" s="21" t="s">
        <v>249</v>
      </c>
      <c r="H11" s="33">
        <v>9</v>
      </c>
      <c r="I11" s="33">
        <v>0</v>
      </c>
      <c r="J11" s="33">
        <v>0</v>
      </c>
      <c r="K11" s="21" t="s">
        <v>298</v>
      </c>
      <c r="L11" s="21" t="s">
        <v>299</v>
      </c>
      <c r="N11" s="46">
        <v>222</v>
      </c>
      <c r="O11" s="46">
        <v>82</v>
      </c>
      <c r="P11" s="46" t="s">
        <v>257</v>
      </c>
      <c r="Q11" s="46">
        <v>304</v>
      </c>
      <c r="R11" s="47" t="s">
        <v>54</v>
      </c>
      <c r="S11" s="33" t="s">
        <v>257</v>
      </c>
      <c r="T11" s="33" t="s">
        <v>257</v>
      </c>
      <c r="U11" s="21" t="s">
        <v>272</v>
      </c>
    </row>
    <row r="12" spans="1:21" x14ac:dyDescent="0.25">
      <c r="A12" s="33">
        <v>2013</v>
      </c>
      <c r="B12" s="44">
        <v>41471</v>
      </c>
      <c r="C12" s="45">
        <v>0.88263888888888886</v>
      </c>
      <c r="D12" s="21" t="s">
        <v>46</v>
      </c>
      <c r="E12" s="21" t="s">
        <v>257</v>
      </c>
      <c r="F12" s="33" t="s">
        <v>257</v>
      </c>
      <c r="G12" s="21" t="s">
        <v>249</v>
      </c>
      <c r="H12" s="33">
        <v>6</v>
      </c>
      <c r="I12" s="33">
        <v>0</v>
      </c>
      <c r="J12" s="33">
        <v>0</v>
      </c>
      <c r="K12" s="21" t="s">
        <v>300</v>
      </c>
      <c r="L12" s="21" t="s">
        <v>301</v>
      </c>
      <c r="N12" s="46">
        <v>36</v>
      </c>
      <c r="O12" s="46" t="s">
        <v>257</v>
      </c>
      <c r="P12" s="46" t="s">
        <v>257</v>
      </c>
      <c r="Q12" s="46">
        <v>36</v>
      </c>
      <c r="R12" s="47" t="s">
        <v>55</v>
      </c>
      <c r="S12" s="33" t="s">
        <v>257</v>
      </c>
      <c r="T12" s="33" t="s">
        <v>257</v>
      </c>
      <c r="U12" s="21" t="s">
        <v>275</v>
      </c>
    </row>
    <row r="13" spans="1:21" x14ac:dyDescent="0.25">
      <c r="A13" s="33">
        <v>2013</v>
      </c>
      <c r="B13" s="44">
        <v>41471</v>
      </c>
      <c r="C13" s="45">
        <v>0.9</v>
      </c>
      <c r="D13" s="21" t="s">
        <v>46</v>
      </c>
      <c r="E13" s="21" t="s">
        <v>257</v>
      </c>
      <c r="F13" s="33" t="s">
        <v>257</v>
      </c>
      <c r="G13" s="21" t="s">
        <v>249</v>
      </c>
      <c r="H13" s="33">
        <v>6</v>
      </c>
      <c r="I13" s="33">
        <v>0</v>
      </c>
      <c r="J13" s="33">
        <v>0</v>
      </c>
      <c r="K13" s="21" t="s">
        <v>302</v>
      </c>
      <c r="L13" s="21" t="s">
        <v>303</v>
      </c>
      <c r="N13" s="46">
        <v>48.6</v>
      </c>
      <c r="O13" s="46" t="s">
        <v>257</v>
      </c>
      <c r="P13" s="46" t="s">
        <v>257</v>
      </c>
      <c r="Q13" s="46">
        <v>48.6</v>
      </c>
      <c r="R13" s="47" t="s">
        <v>55</v>
      </c>
      <c r="S13" s="33" t="s">
        <v>257</v>
      </c>
      <c r="T13" s="33" t="s">
        <v>257</v>
      </c>
      <c r="U13" s="21" t="s">
        <v>276</v>
      </c>
    </row>
    <row r="14" spans="1:21" x14ac:dyDescent="0.25">
      <c r="A14" s="33">
        <v>2013</v>
      </c>
      <c r="B14" s="44">
        <v>41471</v>
      </c>
      <c r="C14" s="45">
        <v>0.92083333333333339</v>
      </c>
      <c r="D14" s="21" t="s">
        <v>46</v>
      </c>
      <c r="E14" s="21" t="s">
        <v>257</v>
      </c>
      <c r="F14" s="33" t="s">
        <v>257</v>
      </c>
      <c r="G14" s="21" t="s">
        <v>249</v>
      </c>
      <c r="H14" s="33">
        <v>6</v>
      </c>
      <c r="I14" s="33">
        <v>0</v>
      </c>
      <c r="J14" s="33">
        <v>0</v>
      </c>
      <c r="K14" s="21" t="s">
        <v>302</v>
      </c>
      <c r="L14" s="21" t="s">
        <v>303</v>
      </c>
      <c r="N14" s="46">
        <v>72.739999999999995</v>
      </c>
      <c r="O14" s="46" t="s">
        <v>257</v>
      </c>
      <c r="P14" s="46" t="s">
        <v>257</v>
      </c>
      <c r="Q14" s="46">
        <v>72.739999999999995</v>
      </c>
      <c r="R14" s="47" t="s">
        <v>55</v>
      </c>
      <c r="S14" s="33" t="s">
        <v>257</v>
      </c>
      <c r="T14" s="33" t="s">
        <v>257</v>
      </c>
      <c r="U14" s="21" t="s">
        <v>277</v>
      </c>
    </row>
    <row r="15" spans="1:21" x14ac:dyDescent="0.25">
      <c r="A15" s="33">
        <v>2013</v>
      </c>
      <c r="B15" s="44">
        <v>41472</v>
      </c>
      <c r="C15" s="45">
        <v>0.82916666666666661</v>
      </c>
      <c r="D15" s="21" t="s">
        <v>46</v>
      </c>
      <c r="E15" s="21" t="s">
        <v>257</v>
      </c>
      <c r="F15" s="33" t="s">
        <v>257</v>
      </c>
      <c r="G15" s="21" t="s">
        <v>249</v>
      </c>
      <c r="H15" s="33">
        <v>8</v>
      </c>
      <c r="I15" s="33">
        <v>0</v>
      </c>
      <c r="J15" s="33">
        <v>0</v>
      </c>
      <c r="K15" s="21" t="s">
        <v>294</v>
      </c>
      <c r="L15" s="21" t="s">
        <v>295</v>
      </c>
      <c r="N15" s="46">
        <v>84.34</v>
      </c>
      <c r="O15" s="46" t="s">
        <v>257</v>
      </c>
      <c r="P15" s="46" t="s">
        <v>257</v>
      </c>
      <c r="Q15" s="46">
        <v>84.34</v>
      </c>
      <c r="R15" s="47" t="s">
        <v>55</v>
      </c>
      <c r="S15" s="33" t="s">
        <v>257</v>
      </c>
      <c r="T15" s="33" t="s">
        <v>257</v>
      </c>
      <c r="U15" s="21" t="s">
        <v>278</v>
      </c>
    </row>
    <row r="16" spans="1:21" x14ac:dyDescent="0.25">
      <c r="A16" s="33">
        <v>2013</v>
      </c>
      <c r="B16" s="44">
        <v>41472</v>
      </c>
      <c r="C16" s="45">
        <v>0.89166666666666661</v>
      </c>
      <c r="D16" s="21" t="s">
        <v>46</v>
      </c>
      <c r="E16" s="21" t="s">
        <v>257</v>
      </c>
      <c r="F16" s="33" t="s">
        <v>257</v>
      </c>
      <c r="G16" s="21" t="s">
        <v>249</v>
      </c>
      <c r="H16" s="33">
        <v>8</v>
      </c>
      <c r="I16" s="33">
        <v>0</v>
      </c>
      <c r="J16" s="33">
        <v>0</v>
      </c>
      <c r="K16" s="21" t="s">
        <v>294</v>
      </c>
      <c r="L16" s="21" t="s">
        <v>295</v>
      </c>
      <c r="N16" s="46">
        <v>130.12</v>
      </c>
      <c r="O16" s="46" t="s">
        <v>257</v>
      </c>
      <c r="P16" s="46" t="s">
        <v>257</v>
      </c>
      <c r="Q16" s="46">
        <v>130.12</v>
      </c>
      <c r="R16" s="47" t="s">
        <v>55</v>
      </c>
      <c r="S16" s="33" t="s">
        <v>257</v>
      </c>
      <c r="T16" s="33" t="s">
        <v>257</v>
      </c>
      <c r="U16" s="21" t="s">
        <v>279</v>
      </c>
    </row>
    <row r="17" spans="1:21" x14ac:dyDescent="0.25">
      <c r="A17" s="33">
        <v>2013</v>
      </c>
      <c r="B17" s="44">
        <v>41473</v>
      </c>
      <c r="C17" s="45">
        <v>0.85277777777777775</v>
      </c>
      <c r="D17" s="21" t="s">
        <v>46</v>
      </c>
      <c r="E17" s="21" t="s">
        <v>257</v>
      </c>
      <c r="F17" s="33" t="s">
        <v>257</v>
      </c>
      <c r="G17" s="21" t="s">
        <v>249</v>
      </c>
      <c r="H17" s="33">
        <v>6</v>
      </c>
      <c r="I17" s="33">
        <v>0</v>
      </c>
      <c r="J17" s="33">
        <v>0</v>
      </c>
      <c r="K17" s="21" t="s">
        <v>294</v>
      </c>
      <c r="L17" s="21" t="s">
        <v>295</v>
      </c>
      <c r="N17" s="46">
        <v>106.8</v>
      </c>
      <c r="O17" s="46" t="s">
        <v>257</v>
      </c>
      <c r="P17" s="46" t="s">
        <v>257</v>
      </c>
      <c r="Q17" s="46">
        <v>106.8</v>
      </c>
      <c r="R17" s="47" t="s">
        <v>55</v>
      </c>
      <c r="S17" s="33" t="s">
        <v>257</v>
      </c>
      <c r="T17" s="33" t="s">
        <v>257</v>
      </c>
      <c r="U17" s="21" t="s">
        <v>280</v>
      </c>
    </row>
    <row r="18" spans="1:21" x14ac:dyDescent="0.25">
      <c r="A18" s="33">
        <v>2013</v>
      </c>
      <c r="B18" s="44">
        <v>41476</v>
      </c>
      <c r="C18" s="45">
        <v>0.42222222222222222</v>
      </c>
      <c r="D18" s="21" t="s">
        <v>46</v>
      </c>
      <c r="E18" s="21" t="s">
        <v>257</v>
      </c>
      <c r="F18" s="33" t="s">
        <v>257</v>
      </c>
      <c r="G18" s="21" t="s">
        <v>249</v>
      </c>
      <c r="H18" s="33">
        <v>13</v>
      </c>
      <c r="I18" s="33">
        <v>0</v>
      </c>
      <c r="J18" s="33">
        <v>0</v>
      </c>
      <c r="K18" s="21" t="s">
        <v>257</v>
      </c>
      <c r="L18" s="21" t="s">
        <v>257</v>
      </c>
      <c r="N18" s="46">
        <v>65</v>
      </c>
      <c r="O18" s="46">
        <v>28.62</v>
      </c>
      <c r="P18" s="46" t="s">
        <v>257</v>
      </c>
      <c r="Q18" s="46">
        <v>93.62</v>
      </c>
      <c r="R18" s="47" t="s">
        <v>55</v>
      </c>
      <c r="S18" s="33" t="s">
        <v>257</v>
      </c>
      <c r="T18" s="33" t="s">
        <v>257</v>
      </c>
      <c r="U18" s="21" t="s">
        <v>281</v>
      </c>
    </row>
    <row r="19" spans="1:21" x14ac:dyDescent="0.25">
      <c r="A19" s="33">
        <v>2013</v>
      </c>
      <c r="B19" s="44">
        <v>41473</v>
      </c>
      <c r="C19" s="45">
        <v>0.84027777777777779</v>
      </c>
      <c r="D19" s="21" t="s">
        <v>46</v>
      </c>
      <c r="E19" s="21" t="s">
        <v>257</v>
      </c>
      <c r="F19" s="33" t="s">
        <v>257</v>
      </c>
      <c r="G19" s="21" t="s">
        <v>249</v>
      </c>
      <c r="H19" s="33" t="s">
        <v>257</v>
      </c>
      <c r="I19" s="33">
        <v>0</v>
      </c>
      <c r="J19" s="33">
        <v>0</v>
      </c>
      <c r="K19" s="21" t="s">
        <v>300</v>
      </c>
      <c r="L19" s="21" t="s">
        <v>304</v>
      </c>
      <c r="N19" s="46">
        <v>51.59</v>
      </c>
      <c r="O19" s="46" t="s">
        <v>257</v>
      </c>
      <c r="P19" s="46">
        <v>9.8000000000000007</v>
      </c>
      <c r="Q19" s="46">
        <v>51.59</v>
      </c>
      <c r="R19" s="47" t="s">
        <v>55</v>
      </c>
      <c r="S19" s="33" t="s">
        <v>257</v>
      </c>
      <c r="T19" s="33" t="s">
        <v>257</v>
      </c>
      <c r="U19" s="21" t="s">
        <v>291</v>
      </c>
    </row>
    <row r="20" spans="1:21" x14ac:dyDescent="0.25">
      <c r="A20" s="33">
        <v>2013</v>
      </c>
      <c r="B20" s="44">
        <v>41483</v>
      </c>
      <c r="C20" s="45">
        <v>0.45277777777777778</v>
      </c>
      <c r="D20" s="21" t="s">
        <v>47</v>
      </c>
      <c r="E20" s="21" t="s">
        <v>236</v>
      </c>
      <c r="F20" s="33">
        <v>500</v>
      </c>
      <c r="G20" s="21" t="s">
        <v>249</v>
      </c>
      <c r="H20" s="33">
        <v>3</v>
      </c>
      <c r="I20" s="33">
        <v>0</v>
      </c>
      <c r="J20" s="33">
        <v>0</v>
      </c>
      <c r="K20" s="21" t="s">
        <v>300</v>
      </c>
      <c r="L20" s="21" t="s">
        <v>301</v>
      </c>
      <c r="N20" s="46">
        <v>40.35</v>
      </c>
      <c r="O20" s="46" t="s">
        <v>257</v>
      </c>
      <c r="P20" s="46">
        <v>8.9</v>
      </c>
      <c r="Q20" s="46">
        <v>40.35</v>
      </c>
      <c r="R20" s="47" t="s">
        <v>53</v>
      </c>
      <c r="S20" s="33" t="s">
        <v>257</v>
      </c>
      <c r="T20" s="33" t="s">
        <v>257</v>
      </c>
      <c r="U20" s="21" t="s">
        <v>292</v>
      </c>
    </row>
    <row r="21" spans="1:21" x14ac:dyDescent="0.25">
      <c r="A21" s="33">
        <v>2013</v>
      </c>
      <c r="B21" s="44">
        <v>41467</v>
      </c>
      <c r="C21" s="45">
        <v>0.61597222222222225</v>
      </c>
      <c r="D21" s="21" t="s">
        <v>51</v>
      </c>
      <c r="E21" s="21" t="s">
        <v>305</v>
      </c>
      <c r="F21" s="33" t="s">
        <v>257</v>
      </c>
      <c r="G21" s="21" t="s">
        <v>306</v>
      </c>
      <c r="H21" s="33">
        <v>14</v>
      </c>
      <c r="I21" s="33" t="s">
        <v>257</v>
      </c>
      <c r="J21" s="33" t="s">
        <v>257</v>
      </c>
      <c r="K21" s="21" t="s">
        <v>335</v>
      </c>
      <c r="L21" s="21" t="s">
        <v>336</v>
      </c>
      <c r="N21" s="46" t="s">
        <v>257</v>
      </c>
      <c r="O21" s="46" t="s">
        <v>257</v>
      </c>
      <c r="P21" s="46" t="s">
        <v>257</v>
      </c>
      <c r="Q21" s="46" t="s">
        <v>257</v>
      </c>
      <c r="R21" s="47" t="s">
        <v>257</v>
      </c>
      <c r="S21" s="33" t="s">
        <v>257</v>
      </c>
      <c r="T21" s="33" t="s">
        <v>257</v>
      </c>
      <c r="U21" s="21" t="s">
        <v>308</v>
      </c>
    </row>
    <row r="22" spans="1:21" x14ac:dyDescent="0.25">
      <c r="A22" s="33">
        <v>2013</v>
      </c>
      <c r="B22" s="44">
        <v>41467</v>
      </c>
      <c r="C22" s="45">
        <v>0.77083333333333337</v>
      </c>
      <c r="D22" s="21" t="s">
        <v>51</v>
      </c>
      <c r="E22" s="21" t="s">
        <v>257</v>
      </c>
      <c r="F22" s="33" t="s">
        <v>257</v>
      </c>
      <c r="G22" s="21" t="s">
        <v>306</v>
      </c>
      <c r="H22" s="33">
        <v>1</v>
      </c>
      <c r="I22" s="33" t="s">
        <v>257</v>
      </c>
      <c r="J22" s="33" t="s">
        <v>257</v>
      </c>
      <c r="K22" s="21" t="s">
        <v>288</v>
      </c>
      <c r="L22" s="21" t="s">
        <v>337</v>
      </c>
      <c r="N22" s="46">
        <v>38</v>
      </c>
      <c r="O22" s="46">
        <v>41</v>
      </c>
      <c r="P22" s="46">
        <v>79</v>
      </c>
      <c r="Q22" s="46">
        <v>79</v>
      </c>
      <c r="R22" s="47" t="s">
        <v>257</v>
      </c>
      <c r="S22" s="33" t="s">
        <v>257</v>
      </c>
      <c r="T22" s="33" t="s">
        <v>257</v>
      </c>
      <c r="U22" s="21" t="s">
        <v>309</v>
      </c>
    </row>
    <row r="23" spans="1:21" x14ac:dyDescent="0.25">
      <c r="A23" s="33">
        <v>2013</v>
      </c>
      <c r="B23" s="44">
        <v>41453</v>
      </c>
      <c r="C23" s="45">
        <v>0.86805555555555547</v>
      </c>
      <c r="D23" s="21" t="s">
        <v>46</v>
      </c>
      <c r="E23" s="21" t="s">
        <v>310</v>
      </c>
      <c r="F23" s="33" t="s">
        <v>257</v>
      </c>
      <c r="G23" s="21" t="s">
        <v>248</v>
      </c>
      <c r="H23" s="33">
        <v>3</v>
      </c>
      <c r="I23" s="33">
        <v>0</v>
      </c>
      <c r="J23" s="33">
        <v>0</v>
      </c>
      <c r="K23" s="21" t="s">
        <v>338</v>
      </c>
      <c r="L23" s="21" t="s">
        <v>339</v>
      </c>
      <c r="N23" s="46">
        <v>16.510000000000002</v>
      </c>
      <c r="O23" s="46">
        <v>3.48</v>
      </c>
      <c r="P23" s="46">
        <v>1</v>
      </c>
      <c r="Q23" s="46">
        <v>19.990000000000002</v>
      </c>
      <c r="R23" s="47" t="s">
        <v>55</v>
      </c>
      <c r="S23" s="33" t="s">
        <v>257</v>
      </c>
      <c r="T23" s="33" t="s">
        <v>257</v>
      </c>
      <c r="U23" s="21" t="s">
        <v>314</v>
      </c>
    </row>
    <row r="24" spans="1:21" x14ac:dyDescent="0.25">
      <c r="A24" s="33">
        <v>2013</v>
      </c>
      <c r="B24" s="44">
        <v>41454</v>
      </c>
      <c r="C24" s="45">
        <v>0.38055555555555554</v>
      </c>
      <c r="D24" s="21" t="s">
        <v>46</v>
      </c>
      <c r="E24" s="21" t="s">
        <v>257</v>
      </c>
      <c r="F24" s="33" t="s">
        <v>257</v>
      </c>
      <c r="G24" s="21" t="s">
        <v>248</v>
      </c>
      <c r="H24" s="33">
        <v>4</v>
      </c>
      <c r="I24" s="33">
        <v>0</v>
      </c>
      <c r="J24" s="33">
        <v>0</v>
      </c>
      <c r="K24" s="21" t="s">
        <v>340</v>
      </c>
      <c r="L24" s="21" t="s">
        <v>341</v>
      </c>
      <c r="N24" s="46">
        <v>424</v>
      </c>
      <c r="O24" s="46">
        <v>65.5</v>
      </c>
      <c r="P24" s="46">
        <v>21</v>
      </c>
      <c r="Q24" s="46">
        <v>489.5</v>
      </c>
      <c r="R24" s="47" t="s">
        <v>54</v>
      </c>
      <c r="S24" s="33" t="s">
        <v>257</v>
      </c>
      <c r="T24" s="33" t="s">
        <v>257</v>
      </c>
      <c r="U24" s="21" t="s">
        <v>315</v>
      </c>
    </row>
    <row r="25" spans="1:21" x14ac:dyDescent="0.25">
      <c r="A25" s="33">
        <v>2013</v>
      </c>
      <c r="B25" s="44">
        <v>41455</v>
      </c>
      <c r="C25" s="45">
        <v>0.3666666666666667</v>
      </c>
      <c r="D25" s="21" t="s">
        <v>46</v>
      </c>
      <c r="E25" s="21" t="s">
        <v>257</v>
      </c>
      <c r="F25" s="33" t="s">
        <v>257</v>
      </c>
      <c r="G25" s="21" t="s">
        <v>248</v>
      </c>
      <c r="H25" s="33">
        <v>3</v>
      </c>
      <c r="I25" s="33">
        <v>0</v>
      </c>
      <c r="J25" s="33">
        <v>1</v>
      </c>
      <c r="K25" s="21" t="s">
        <v>288</v>
      </c>
      <c r="L25" s="21" t="s">
        <v>342</v>
      </c>
      <c r="N25" s="46">
        <v>38.03</v>
      </c>
      <c r="O25" s="46">
        <v>64.540000000000006</v>
      </c>
      <c r="P25" s="46">
        <v>1.4</v>
      </c>
      <c r="Q25" s="46">
        <v>102.57000000000001</v>
      </c>
      <c r="R25" s="47" t="s">
        <v>53</v>
      </c>
      <c r="S25" s="33" t="s">
        <v>257</v>
      </c>
      <c r="T25" s="33" t="s">
        <v>257</v>
      </c>
      <c r="U25" s="21" t="s">
        <v>257</v>
      </c>
    </row>
    <row r="26" spans="1:21" x14ac:dyDescent="0.25">
      <c r="A26" s="33">
        <v>2013</v>
      </c>
      <c r="B26" s="44">
        <v>41455</v>
      </c>
      <c r="C26" s="45">
        <v>0.46388888888888885</v>
      </c>
      <c r="D26" s="21" t="s">
        <v>46</v>
      </c>
      <c r="E26" s="21" t="s">
        <v>213</v>
      </c>
      <c r="F26" s="33">
        <v>1400</v>
      </c>
      <c r="G26" s="21" t="s">
        <v>248</v>
      </c>
      <c r="H26" s="33">
        <v>3</v>
      </c>
      <c r="I26" s="33">
        <v>0</v>
      </c>
      <c r="J26" s="33">
        <v>0</v>
      </c>
      <c r="K26" s="21" t="s">
        <v>288</v>
      </c>
      <c r="L26" s="21" t="s">
        <v>343</v>
      </c>
      <c r="N26" s="46">
        <v>50.83</v>
      </c>
      <c r="O26" s="46">
        <v>84.92</v>
      </c>
      <c r="P26" s="46">
        <v>4</v>
      </c>
      <c r="Q26" s="46">
        <v>135.75</v>
      </c>
      <c r="R26" s="47" t="s">
        <v>54</v>
      </c>
      <c r="S26" s="33" t="s">
        <v>257</v>
      </c>
      <c r="T26" s="33" t="s">
        <v>257</v>
      </c>
      <c r="U26" s="21" t="s">
        <v>257</v>
      </c>
    </row>
    <row r="27" spans="1:21" x14ac:dyDescent="0.25">
      <c r="A27" s="33">
        <v>2013</v>
      </c>
      <c r="B27" s="44">
        <v>41455</v>
      </c>
      <c r="C27" s="45">
        <v>0.47569444444444442</v>
      </c>
      <c r="D27" s="21" t="s">
        <v>46</v>
      </c>
      <c r="E27" s="21" t="s">
        <v>213</v>
      </c>
      <c r="F27" s="33">
        <v>900</v>
      </c>
      <c r="G27" s="21" t="s">
        <v>248</v>
      </c>
      <c r="H27" s="33">
        <v>3</v>
      </c>
      <c r="I27" s="33">
        <v>0</v>
      </c>
      <c r="J27" s="33">
        <v>0</v>
      </c>
      <c r="K27" s="21" t="s">
        <v>288</v>
      </c>
      <c r="L27" s="21" t="s">
        <v>343</v>
      </c>
      <c r="N27" s="46">
        <v>51.57</v>
      </c>
      <c r="O27" s="46">
        <v>82.83</v>
      </c>
      <c r="P27" s="46">
        <v>5.0999999999999996</v>
      </c>
      <c r="Q27" s="46">
        <v>134.4</v>
      </c>
      <c r="R27" s="47" t="s">
        <v>54</v>
      </c>
      <c r="S27" s="33" t="s">
        <v>257</v>
      </c>
      <c r="T27" s="33" t="s">
        <v>257</v>
      </c>
      <c r="U27" s="21" t="s">
        <v>257</v>
      </c>
    </row>
    <row r="28" spans="1:21" x14ac:dyDescent="0.25">
      <c r="A28" s="33">
        <v>2013</v>
      </c>
      <c r="B28" s="44">
        <v>41455</v>
      </c>
      <c r="C28" s="45">
        <v>0.9458333333333333</v>
      </c>
      <c r="D28" s="21" t="s">
        <v>46</v>
      </c>
      <c r="E28" s="21" t="s">
        <v>257</v>
      </c>
      <c r="F28" s="33" t="s">
        <v>257</v>
      </c>
      <c r="G28" s="21" t="s">
        <v>248</v>
      </c>
      <c r="H28" s="33">
        <v>5</v>
      </c>
      <c r="I28" s="33">
        <v>0</v>
      </c>
      <c r="J28" s="33">
        <v>0</v>
      </c>
      <c r="K28" s="21" t="s">
        <v>344</v>
      </c>
      <c r="L28" s="21" t="s">
        <v>345</v>
      </c>
      <c r="N28" s="46">
        <v>252</v>
      </c>
      <c r="O28" s="46">
        <v>40</v>
      </c>
      <c r="P28" s="46">
        <v>74</v>
      </c>
      <c r="Q28" s="46">
        <v>292</v>
      </c>
      <c r="R28" s="47" t="s">
        <v>55</v>
      </c>
      <c r="S28" s="33" t="s">
        <v>257</v>
      </c>
      <c r="T28" s="33" t="s">
        <v>257</v>
      </c>
      <c r="U28" s="21" t="s">
        <v>257</v>
      </c>
    </row>
    <row r="29" spans="1:21" x14ac:dyDescent="0.25">
      <c r="A29" s="33">
        <v>2013</v>
      </c>
      <c r="B29" s="44">
        <v>41456</v>
      </c>
      <c r="C29" s="45">
        <v>0.44375000000000003</v>
      </c>
      <c r="D29" s="21" t="s">
        <v>46</v>
      </c>
      <c r="E29" s="21" t="s">
        <v>257</v>
      </c>
      <c r="F29" s="33" t="s">
        <v>257</v>
      </c>
      <c r="G29" s="21" t="s">
        <v>248</v>
      </c>
      <c r="H29" s="33">
        <v>5</v>
      </c>
      <c r="I29" s="33">
        <v>0</v>
      </c>
      <c r="J29" s="33">
        <v>0</v>
      </c>
      <c r="K29" s="21" t="s">
        <v>288</v>
      </c>
      <c r="L29" s="21" t="s">
        <v>343</v>
      </c>
      <c r="N29" s="46">
        <v>57.7</v>
      </c>
      <c r="O29" s="46">
        <v>78.56</v>
      </c>
      <c r="P29" s="46">
        <v>3.8</v>
      </c>
      <c r="Q29" s="46">
        <v>136.26</v>
      </c>
      <c r="R29" s="47" t="s">
        <v>54</v>
      </c>
      <c r="S29" s="33" t="s">
        <v>257</v>
      </c>
      <c r="T29" s="33" t="s">
        <v>257</v>
      </c>
      <c r="U29" s="21" t="s">
        <v>316</v>
      </c>
    </row>
    <row r="30" spans="1:21" x14ac:dyDescent="0.25">
      <c r="A30" s="33">
        <v>2013</v>
      </c>
      <c r="B30" s="44">
        <v>41456</v>
      </c>
      <c r="C30" s="45">
        <v>0.45902777777777781</v>
      </c>
      <c r="D30" s="21" t="s">
        <v>46</v>
      </c>
      <c r="E30" s="21" t="s">
        <v>257</v>
      </c>
      <c r="F30" s="33" t="s">
        <v>257</v>
      </c>
      <c r="G30" s="21" t="s">
        <v>248</v>
      </c>
      <c r="H30" s="33">
        <v>5</v>
      </c>
      <c r="I30" s="33">
        <v>0</v>
      </c>
      <c r="J30" s="33">
        <v>0</v>
      </c>
      <c r="K30" s="21" t="s">
        <v>288</v>
      </c>
      <c r="L30" s="21" t="s">
        <v>343</v>
      </c>
      <c r="N30" s="46">
        <v>51</v>
      </c>
      <c r="O30" s="46">
        <v>70</v>
      </c>
      <c r="P30" s="46">
        <v>4.0999999999999996</v>
      </c>
      <c r="Q30" s="46">
        <v>121</v>
      </c>
      <c r="R30" s="47" t="s">
        <v>54</v>
      </c>
      <c r="S30" s="33" t="s">
        <v>257</v>
      </c>
      <c r="T30" s="33" t="s">
        <v>257</v>
      </c>
      <c r="U30" s="21" t="s">
        <v>316</v>
      </c>
    </row>
    <row r="31" spans="1:21" x14ac:dyDescent="0.25">
      <c r="A31" s="33">
        <v>2013</v>
      </c>
      <c r="B31" s="44">
        <v>41458</v>
      </c>
      <c r="C31" s="45">
        <v>0.47152777777777777</v>
      </c>
      <c r="D31" s="21" t="s">
        <v>46</v>
      </c>
      <c r="E31" s="21" t="s">
        <v>213</v>
      </c>
      <c r="F31" s="33">
        <v>2050</v>
      </c>
      <c r="G31" s="21" t="s">
        <v>248</v>
      </c>
      <c r="H31" s="33">
        <v>2</v>
      </c>
      <c r="I31" s="33">
        <v>0</v>
      </c>
      <c r="J31" s="33">
        <v>1</v>
      </c>
      <c r="K31" s="21" t="s">
        <v>296</v>
      </c>
      <c r="L31" s="21" t="s">
        <v>346</v>
      </c>
      <c r="N31" s="46">
        <v>50.5</v>
      </c>
      <c r="O31" s="46">
        <v>56</v>
      </c>
      <c r="P31" s="46">
        <v>4.5</v>
      </c>
      <c r="Q31" s="46">
        <v>106.5</v>
      </c>
      <c r="R31" s="47" t="s">
        <v>55</v>
      </c>
      <c r="S31" s="33" t="s">
        <v>257</v>
      </c>
      <c r="T31" s="33" t="s">
        <v>257</v>
      </c>
      <c r="U31" s="21" t="s">
        <v>257</v>
      </c>
    </row>
    <row r="32" spans="1:21" x14ac:dyDescent="0.25">
      <c r="A32" s="33">
        <v>2013</v>
      </c>
      <c r="B32" s="44">
        <v>41458</v>
      </c>
      <c r="C32" s="45">
        <v>0.48402777777777778</v>
      </c>
      <c r="D32" s="21" t="s">
        <v>46</v>
      </c>
      <c r="E32" s="21" t="s">
        <v>257</v>
      </c>
      <c r="F32" s="33" t="s">
        <v>257</v>
      </c>
      <c r="G32" s="21" t="s">
        <v>248</v>
      </c>
      <c r="H32" s="33">
        <v>2</v>
      </c>
      <c r="I32" s="33">
        <v>0</v>
      </c>
      <c r="J32" s="33">
        <v>1</v>
      </c>
      <c r="K32" s="21" t="s">
        <v>296</v>
      </c>
      <c r="L32" s="21" t="s">
        <v>346</v>
      </c>
      <c r="N32" s="46">
        <v>43</v>
      </c>
      <c r="O32" s="46">
        <v>51</v>
      </c>
      <c r="P32" s="46">
        <v>3.4</v>
      </c>
      <c r="Q32" s="46">
        <v>94</v>
      </c>
      <c r="R32" s="47" t="s">
        <v>55</v>
      </c>
      <c r="S32" s="33" t="s">
        <v>257</v>
      </c>
      <c r="T32" s="33" t="s">
        <v>257</v>
      </c>
      <c r="U32" s="21" t="s">
        <v>257</v>
      </c>
    </row>
    <row r="33" spans="1:21" x14ac:dyDescent="0.25">
      <c r="A33" s="33">
        <v>2013</v>
      </c>
      <c r="B33" s="44">
        <v>41458</v>
      </c>
      <c r="C33" s="45" t="s">
        <v>257</v>
      </c>
      <c r="D33" s="21" t="s">
        <v>46</v>
      </c>
      <c r="E33" s="21" t="s">
        <v>257</v>
      </c>
      <c r="F33" s="33" t="s">
        <v>257</v>
      </c>
      <c r="G33" s="21" t="s">
        <v>248</v>
      </c>
      <c r="H33" s="33">
        <v>1</v>
      </c>
      <c r="I33" s="33">
        <v>0</v>
      </c>
      <c r="J33" s="33">
        <v>0</v>
      </c>
      <c r="K33" s="21" t="s">
        <v>347</v>
      </c>
      <c r="L33" s="21" t="s">
        <v>348</v>
      </c>
      <c r="N33" s="46">
        <v>257</v>
      </c>
      <c r="O33" s="46">
        <v>122</v>
      </c>
      <c r="P33" s="46">
        <v>7.2</v>
      </c>
      <c r="Q33" s="46">
        <v>379</v>
      </c>
      <c r="R33" s="47" t="s">
        <v>55</v>
      </c>
      <c r="S33" s="33" t="s">
        <v>257</v>
      </c>
      <c r="T33" s="33" t="s">
        <v>257</v>
      </c>
      <c r="U33" s="21" t="s">
        <v>317</v>
      </c>
    </row>
    <row r="34" spans="1:21" x14ac:dyDescent="0.25">
      <c r="A34" s="33">
        <v>2013</v>
      </c>
      <c r="B34" s="44">
        <v>41458</v>
      </c>
      <c r="C34" s="45">
        <v>0.875</v>
      </c>
      <c r="D34" s="21" t="s">
        <v>46</v>
      </c>
      <c r="E34" s="21" t="s">
        <v>213</v>
      </c>
      <c r="F34" s="33" t="s">
        <v>257</v>
      </c>
      <c r="G34" s="21" t="s">
        <v>248</v>
      </c>
      <c r="H34" s="33">
        <v>3</v>
      </c>
      <c r="I34" s="33">
        <v>1</v>
      </c>
      <c r="J34" s="33">
        <v>1</v>
      </c>
      <c r="K34" s="21" t="s">
        <v>294</v>
      </c>
      <c r="L34" s="21" t="s">
        <v>295</v>
      </c>
      <c r="N34" s="46">
        <v>73</v>
      </c>
      <c r="O34" s="46">
        <v>0</v>
      </c>
      <c r="P34" s="46" t="s">
        <v>257</v>
      </c>
      <c r="Q34" s="46">
        <v>73</v>
      </c>
      <c r="R34" s="47" t="s">
        <v>55</v>
      </c>
      <c r="S34" s="33" t="s">
        <v>257</v>
      </c>
      <c r="T34" s="33" t="s">
        <v>257</v>
      </c>
      <c r="U34" s="21" t="s">
        <v>318</v>
      </c>
    </row>
    <row r="35" spans="1:21" x14ac:dyDescent="0.25">
      <c r="A35" s="33">
        <v>2013</v>
      </c>
      <c r="B35" s="44">
        <v>41458</v>
      </c>
      <c r="C35" s="45">
        <v>0.93055555555555547</v>
      </c>
      <c r="D35" s="21" t="s">
        <v>46</v>
      </c>
      <c r="E35" s="21" t="s">
        <v>310</v>
      </c>
      <c r="F35" s="33" t="s">
        <v>257</v>
      </c>
      <c r="G35" s="21" t="s">
        <v>248</v>
      </c>
      <c r="H35" s="33">
        <v>3</v>
      </c>
      <c r="I35" s="33">
        <v>0</v>
      </c>
      <c r="J35" s="33">
        <v>0</v>
      </c>
      <c r="K35" s="21" t="s">
        <v>349</v>
      </c>
      <c r="L35" s="21" t="s">
        <v>350</v>
      </c>
      <c r="N35" s="46">
        <v>25</v>
      </c>
      <c r="O35" s="46">
        <v>0</v>
      </c>
      <c r="P35" s="46">
        <v>1</v>
      </c>
      <c r="Q35" s="46">
        <v>25</v>
      </c>
      <c r="R35" s="47" t="s">
        <v>55</v>
      </c>
      <c r="S35" s="33">
        <v>1715292.1191340194</v>
      </c>
      <c r="T35" s="33">
        <v>372859.23795185634</v>
      </c>
      <c r="U35" s="21" t="s">
        <v>319</v>
      </c>
    </row>
    <row r="36" spans="1:21" x14ac:dyDescent="0.25">
      <c r="A36" s="33">
        <v>2013</v>
      </c>
      <c r="B36" s="44">
        <v>41459</v>
      </c>
      <c r="C36" s="45" t="s">
        <v>257</v>
      </c>
      <c r="D36" s="21" t="s">
        <v>46</v>
      </c>
      <c r="E36" s="21" t="s">
        <v>257</v>
      </c>
      <c r="F36" s="33" t="s">
        <v>257</v>
      </c>
      <c r="G36" s="21" t="s">
        <v>248</v>
      </c>
      <c r="H36" s="33">
        <v>1</v>
      </c>
      <c r="I36" s="33" t="s">
        <v>257</v>
      </c>
      <c r="J36" s="33" t="s">
        <v>257</v>
      </c>
      <c r="K36" s="21" t="s">
        <v>351</v>
      </c>
      <c r="L36" s="21" t="s">
        <v>352</v>
      </c>
      <c r="N36" s="46">
        <v>568</v>
      </c>
      <c r="O36" s="46">
        <v>267</v>
      </c>
      <c r="P36" s="46">
        <v>20</v>
      </c>
      <c r="Q36" s="46">
        <v>835</v>
      </c>
      <c r="R36" s="47" t="s">
        <v>54</v>
      </c>
      <c r="S36" s="33" t="s">
        <v>257</v>
      </c>
      <c r="T36" s="33" t="s">
        <v>257</v>
      </c>
      <c r="U36" s="21" t="s">
        <v>320</v>
      </c>
    </row>
    <row r="37" spans="1:21" x14ac:dyDescent="0.25">
      <c r="A37" s="33">
        <v>2013</v>
      </c>
      <c r="B37" s="44">
        <v>41460</v>
      </c>
      <c r="C37" s="45">
        <v>0.36041666666666666</v>
      </c>
      <c r="D37" s="21" t="s">
        <v>46</v>
      </c>
      <c r="E37" s="21" t="s">
        <v>257</v>
      </c>
      <c r="F37" s="33" t="s">
        <v>257</v>
      </c>
      <c r="G37" s="21" t="s">
        <v>248</v>
      </c>
      <c r="H37" s="33">
        <v>9</v>
      </c>
      <c r="I37" s="33">
        <v>0</v>
      </c>
      <c r="J37" s="33">
        <v>0</v>
      </c>
      <c r="K37" s="21" t="s">
        <v>288</v>
      </c>
      <c r="L37" s="21" t="s">
        <v>343</v>
      </c>
      <c r="N37" s="46">
        <v>51</v>
      </c>
      <c r="O37" s="46">
        <v>86</v>
      </c>
      <c r="P37" s="46">
        <v>4.8</v>
      </c>
      <c r="Q37" s="46">
        <v>137</v>
      </c>
      <c r="R37" s="47" t="s">
        <v>53</v>
      </c>
      <c r="S37" s="33">
        <v>1714226.3847371915</v>
      </c>
      <c r="T37" s="33">
        <v>372853.34203464328</v>
      </c>
      <c r="U37" s="21" t="s">
        <v>321</v>
      </c>
    </row>
    <row r="38" spans="1:21" x14ac:dyDescent="0.25">
      <c r="A38" s="33">
        <v>2013</v>
      </c>
      <c r="B38" s="44">
        <v>41460</v>
      </c>
      <c r="C38" s="45">
        <v>0.93888888888888899</v>
      </c>
      <c r="D38" s="21" t="s">
        <v>46</v>
      </c>
      <c r="E38" s="21" t="s">
        <v>257</v>
      </c>
      <c r="F38" s="33" t="s">
        <v>257</v>
      </c>
      <c r="G38" s="21" t="s">
        <v>248</v>
      </c>
      <c r="H38" s="33">
        <v>2</v>
      </c>
      <c r="I38" s="33">
        <v>0</v>
      </c>
      <c r="J38" s="33">
        <v>0</v>
      </c>
      <c r="K38" s="21" t="s">
        <v>302</v>
      </c>
      <c r="L38" s="21" t="s">
        <v>303</v>
      </c>
      <c r="N38" s="46">
        <v>53.6</v>
      </c>
      <c r="O38" s="46">
        <v>0</v>
      </c>
      <c r="P38" s="46">
        <v>15.8</v>
      </c>
      <c r="Q38" s="46">
        <v>53.6</v>
      </c>
      <c r="R38" s="47" t="s">
        <v>54</v>
      </c>
      <c r="S38" s="33" t="s">
        <v>257</v>
      </c>
      <c r="T38" s="33" t="s">
        <v>257</v>
      </c>
      <c r="U38" s="21" t="s">
        <v>257</v>
      </c>
    </row>
    <row r="39" spans="1:21" x14ac:dyDescent="0.25">
      <c r="A39" s="33">
        <v>2013</v>
      </c>
      <c r="B39" s="44">
        <v>41461</v>
      </c>
      <c r="C39" s="45">
        <v>0.57291666666666663</v>
      </c>
      <c r="D39" s="21" t="s">
        <v>46</v>
      </c>
      <c r="E39" s="21" t="s">
        <v>214</v>
      </c>
      <c r="F39" s="33" t="s">
        <v>257</v>
      </c>
      <c r="G39" s="21" t="s">
        <v>248</v>
      </c>
      <c r="H39" s="33">
        <v>4</v>
      </c>
      <c r="I39" s="33">
        <v>0</v>
      </c>
      <c r="J39" s="33">
        <v>0</v>
      </c>
      <c r="K39" s="21" t="s">
        <v>353</v>
      </c>
      <c r="L39" s="21" t="s">
        <v>354</v>
      </c>
      <c r="N39" s="46">
        <v>677</v>
      </c>
      <c r="O39" s="46">
        <v>308</v>
      </c>
      <c r="P39" s="46">
        <v>118</v>
      </c>
      <c r="Q39" s="46">
        <v>985</v>
      </c>
      <c r="R39" s="47" t="s">
        <v>54</v>
      </c>
      <c r="S39" s="33" t="s">
        <v>257</v>
      </c>
      <c r="T39" s="33" t="s">
        <v>257</v>
      </c>
      <c r="U39" s="21" t="s">
        <v>257</v>
      </c>
    </row>
    <row r="40" spans="1:21" x14ac:dyDescent="0.25">
      <c r="A40" s="33">
        <v>2013</v>
      </c>
      <c r="B40" s="44">
        <v>41461</v>
      </c>
      <c r="C40" s="45">
        <v>0.59027777777777779</v>
      </c>
      <c r="D40" s="21" t="s">
        <v>46</v>
      </c>
      <c r="E40" s="21" t="s">
        <v>257</v>
      </c>
      <c r="F40" s="33" t="s">
        <v>257</v>
      </c>
      <c r="G40" s="21" t="s">
        <v>248</v>
      </c>
      <c r="H40" s="33">
        <v>4</v>
      </c>
      <c r="I40" s="33">
        <v>0</v>
      </c>
      <c r="J40" s="33">
        <v>0</v>
      </c>
      <c r="K40" s="21" t="s">
        <v>355</v>
      </c>
      <c r="L40" s="21" t="s">
        <v>356</v>
      </c>
      <c r="N40" s="46">
        <v>182</v>
      </c>
      <c r="O40" s="46">
        <v>100</v>
      </c>
      <c r="P40" s="46">
        <v>6.6</v>
      </c>
      <c r="Q40" s="46">
        <v>282</v>
      </c>
      <c r="R40" s="47" t="s">
        <v>55</v>
      </c>
      <c r="S40" s="33" t="s">
        <v>257</v>
      </c>
      <c r="T40" s="33" t="s">
        <v>257</v>
      </c>
      <c r="U40" s="21" t="s">
        <v>257</v>
      </c>
    </row>
    <row r="41" spans="1:21" x14ac:dyDescent="0.25">
      <c r="A41" s="33">
        <v>2013</v>
      </c>
      <c r="B41" s="44">
        <v>41462</v>
      </c>
      <c r="C41" s="45">
        <v>0.375</v>
      </c>
      <c r="D41" s="21" t="s">
        <v>46</v>
      </c>
      <c r="E41" s="21" t="s">
        <v>213</v>
      </c>
      <c r="F41" s="33" t="s">
        <v>257</v>
      </c>
      <c r="G41" s="21" t="s">
        <v>248</v>
      </c>
      <c r="H41" s="33">
        <v>10</v>
      </c>
      <c r="I41" s="33">
        <v>0</v>
      </c>
      <c r="J41" s="33">
        <v>1</v>
      </c>
      <c r="K41" s="21" t="s">
        <v>296</v>
      </c>
      <c r="L41" s="21" t="s">
        <v>346</v>
      </c>
      <c r="N41" s="46">
        <v>63</v>
      </c>
      <c r="O41" s="46">
        <v>71</v>
      </c>
      <c r="P41" s="46">
        <v>13</v>
      </c>
      <c r="Q41" s="46">
        <v>134</v>
      </c>
      <c r="R41" s="47" t="s">
        <v>53</v>
      </c>
      <c r="S41" s="33">
        <v>1714967.8670483415</v>
      </c>
      <c r="T41" s="33">
        <v>373143.5024383064</v>
      </c>
      <c r="U41" s="21" t="s">
        <v>257</v>
      </c>
    </row>
    <row r="42" spans="1:21" x14ac:dyDescent="0.25">
      <c r="A42" s="33">
        <v>2013</v>
      </c>
      <c r="B42" s="44">
        <v>41462</v>
      </c>
      <c r="C42" s="45">
        <v>0.48194444444444445</v>
      </c>
      <c r="D42" s="21" t="s">
        <v>46</v>
      </c>
      <c r="E42" s="21" t="s">
        <v>257</v>
      </c>
      <c r="F42" s="33" t="s">
        <v>257</v>
      </c>
      <c r="G42" s="21" t="s">
        <v>248</v>
      </c>
      <c r="H42" s="33">
        <v>10</v>
      </c>
      <c r="I42" s="33">
        <v>0</v>
      </c>
      <c r="J42" s="33">
        <v>1</v>
      </c>
      <c r="K42" s="21" t="s">
        <v>288</v>
      </c>
      <c r="L42" s="21" t="s">
        <v>343</v>
      </c>
      <c r="N42" s="46">
        <v>51</v>
      </c>
      <c r="O42" s="46">
        <v>89</v>
      </c>
      <c r="P42" s="46">
        <v>4.7</v>
      </c>
      <c r="Q42" s="46">
        <v>140</v>
      </c>
      <c r="R42" s="47" t="s">
        <v>54</v>
      </c>
      <c r="S42" s="33">
        <v>1714431.6582181717</v>
      </c>
      <c r="T42" s="33">
        <v>373077.96598832455</v>
      </c>
      <c r="U42" s="21" t="s">
        <v>257</v>
      </c>
    </row>
    <row r="43" spans="1:21" x14ac:dyDescent="0.25">
      <c r="A43" s="33">
        <v>2013</v>
      </c>
      <c r="B43" s="44">
        <v>41462</v>
      </c>
      <c r="C43" s="45">
        <v>0.875</v>
      </c>
      <c r="D43" s="21" t="s">
        <v>46</v>
      </c>
      <c r="E43" s="21" t="s">
        <v>312</v>
      </c>
      <c r="F43" s="33" t="s">
        <v>257</v>
      </c>
      <c r="G43" s="21" t="s">
        <v>248</v>
      </c>
      <c r="H43" s="33" t="s">
        <v>257</v>
      </c>
      <c r="I43" s="33" t="s">
        <v>257</v>
      </c>
      <c r="J43" s="33" t="s">
        <v>257</v>
      </c>
      <c r="K43" s="21" t="s">
        <v>300</v>
      </c>
      <c r="L43" s="21" t="s">
        <v>301</v>
      </c>
      <c r="N43" s="46">
        <v>36.4</v>
      </c>
      <c r="O43" s="46">
        <v>0</v>
      </c>
      <c r="P43" s="46">
        <v>3.2</v>
      </c>
      <c r="Q43" s="46">
        <v>36.4</v>
      </c>
      <c r="R43" s="47" t="s">
        <v>53</v>
      </c>
      <c r="S43" s="33" t="s">
        <v>257</v>
      </c>
      <c r="T43" s="33" t="s">
        <v>257</v>
      </c>
      <c r="U43" s="21" t="s">
        <v>322</v>
      </c>
    </row>
    <row r="44" spans="1:21" x14ac:dyDescent="0.25">
      <c r="A44" s="33">
        <v>2013</v>
      </c>
      <c r="B44" s="44">
        <v>41463</v>
      </c>
      <c r="C44" s="45">
        <v>0.46180555555555558</v>
      </c>
      <c r="D44" s="21" t="s">
        <v>46</v>
      </c>
      <c r="E44" s="21" t="s">
        <v>214</v>
      </c>
      <c r="F44" s="33" t="s">
        <v>257</v>
      </c>
      <c r="G44" s="21" t="s">
        <v>248</v>
      </c>
      <c r="H44" s="33">
        <v>9</v>
      </c>
      <c r="I44" s="33">
        <v>0</v>
      </c>
      <c r="J44" s="33">
        <v>0</v>
      </c>
      <c r="K44" s="21" t="s">
        <v>296</v>
      </c>
      <c r="L44" s="21" t="s">
        <v>297</v>
      </c>
      <c r="N44" s="46" t="s">
        <v>257</v>
      </c>
      <c r="O44" s="46" t="s">
        <v>257</v>
      </c>
      <c r="P44" s="46" t="s">
        <v>257</v>
      </c>
      <c r="Q44" s="46" t="s">
        <v>257</v>
      </c>
      <c r="R44" s="47" t="s">
        <v>55</v>
      </c>
      <c r="S44" s="33" t="s">
        <v>257</v>
      </c>
      <c r="T44" s="33" t="s">
        <v>257</v>
      </c>
      <c r="U44" s="21" t="s">
        <v>323</v>
      </c>
    </row>
    <row r="45" spans="1:21" x14ac:dyDescent="0.25">
      <c r="A45" s="33">
        <v>2013</v>
      </c>
      <c r="B45" s="44">
        <v>41463</v>
      </c>
      <c r="C45" s="45">
        <v>0.46736111111111112</v>
      </c>
      <c r="D45" s="21" t="s">
        <v>46</v>
      </c>
      <c r="E45" s="21" t="s">
        <v>214</v>
      </c>
      <c r="F45" s="33" t="s">
        <v>257</v>
      </c>
      <c r="G45" s="21" t="s">
        <v>248</v>
      </c>
      <c r="H45" s="33">
        <v>9</v>
      </c>
      <c r="I45" s="33">
        <v>0</v>
      </c>
      <c r="J45" s="33">
        <v>0</v>
      </c>
      <c r="K45" s="21" t="s">
        <v>296</v>
      </c>
      <c r="L45" s="21" t="s">
        <v>297</v>
      </c>
      <c r="N45" s="46" t="s">
        <v>257</v>
      </c>
      <c r="O45" s="46" t="s">
        <v>257</v>
      </c>
      <c r="P45" s="46" t="s">
        <v>257</v>
      </c>
      <c r="Q45" s="46" t="s">
        <v>257</v>
      </c>
      <c r="R45" s="47" t="s">
        <v>55</v>
      </c>
      <c r="S45" s="33" t="s">
        <v>257</v>
      </c>
      <c r="T45" s="33" t="s">
        <v>257</v>
      </c>
      <c r="U45" s="21" t="s">
        <v>323</v>
      </c>
    </row>
    <row r="46" spans="1:21" x14ac:dyDescent="0.25">
      <c r="A46" s="33">
        <v>2013</v>
      </c>
      <c r="B46" s="44">
        <v>41465</v>
      </c>
      <c r="C46" s="45">
        <v>0.86388888888888893</v>
      </c>
      <c r="D46" s="21" t="s">
        <v>47</v>
      </c>
      <c r="E46" s="21" t="s">
        <v>237</v>
      </c>
      <c r="F46" s="33">
        <v>200</v>
      </c>
      <c r="G46" s="21" t="s">
        <v>248</v>
      </c>
      <c r="H46" s="33">
        <v>2</v>
      </c>
      <c r="I46" s="33">
        <v>0</v>
      </c>
      <c r="J46" s="33">
        <v>0</v>
      </c>
      <c r="K46" s="21" t="s">
        <v>282</v>
      </c>
      <c r="L46" s="21" t="s">
        <v>357</v>
      </c>
      <c r="N46" s="46">
        <v>41.4</v>
      </c>
      <c r="O46" s="46">
        <v>44</v>
      </c>
      <c r="P46" s="46">
        <v>1.7</v>
      </c>
      <c r="Q46" s="46">
        <v>85.4</v>
      </c>
      <c r="R46" s="47" t="s">
        <v>257</v>
      </c>
      <c r="S46" s="33" t="s">
        <v>257</v>
      </c>
      <c r="T46" s="33" t="s">
        <v>257</v>
      </c>
      <c r="U46" s="21" t="s">
        <v>257</v>
      </c>
    </row>
    <row r="47" spans="1:21" x14ac:dyDescent="0.25">
      <c r="A47" s="33">
        <v>2013</v>
      </c>
      <c r="B47" s="44">
        <v>41466</v>
      </c>
      <c r="C47" s="45">
        <v>0.87638888888888899</v>
      </c>
      <c r="D47" s="21" t="s">
        <v>47</v>
      </c>
      <c r="E47" s="21" t="s">
        <v>313</v>
      </c>
      <c r="F47" s="33" t="s">
        <v>257</v>
      </c>
      <c r="G47" s="21" t="s">
        <v>248</v>
      </c>
      <c r="H47" s="33">
        <v>10</v>
      </c>
      <c r="I47" s="33">
        <v>0</v>
      </c>
      <c r="J47" s="33">
        <v>0</v>
      </c>
      <c r="K47" s="21" t="s">
        <v>300</v>
      </c>
      <c r="L47" s="21" t="s">
        <v>301</v>
      </c>
      <c r="N47" s="46">
        <v>48.4</v>
      </c>
      <c r="O47" s="46">
        <v>0</v>
      </c>
      <c r="P47" s="46">
        <v>10.199999999999999</v>
      </c>
      <c r="Q47" s="46">
        <v>48.4</v>
      </c>
      <c r="R47" s="47" t="s">
        <v>257</v>
      </c>
      <c r="S47" s="33" t="s">
        <v>257</v>
      </c>
      <c r="T47" s="33" t="s">
        <v>257</v>
      </c>
      <c r="U47" s="21" t="s">
        <v>324</v>
      </c>
    </row>
    <row r="48" spans="1:21" x14ac:dyDescent="0.25">
      <c r="A48" s="33">
        <v>2013</v>
      </c>
      <c r="B48" s="44">
        <v>41466</v>
      </c>
      <c r="C48" s="45">
        <v>0.90277777777777779</v>
      </c>
      <c r="D48" s="21" t="s">
        <v>47</v>
      </c>
      <c r="E48" s="21" t="s">
        <v>313</v>
      </c>
      <c r="F48" s="33" t="s">
        <v>257</v>
      </c>
      <c r="G48" s="21" t="s">
        <v>248</v>
      </c>
      <c r="H48" s="33">
        <v>10</v>
      </c>
      <c r="I48" s="33">
        <v>0</v>
      </c>
      <c r="J48" s="33">
        <v>0</v>
      </c>
      <c r="K48" s="21" t="s">
        <v>358</v>
      </c>
      <c r="L48" s="21" t="s">
        <v>359</v>
      </c>
      <c r="N48" s="46">
        <v>18.100000000000001</v>
      </c>
      <c r="O48" s="46">
        <v>2.6</v>
      </c>
      <c r="P48" s="46">
        <v>0.6</v>
      </c>
      <c r="Q48" s="46">
        <v>20.700000000000003</v>
      </c>
      <c r="R48" s="47" t="s">
        <v>257</v>
      </c>
      <c r="S48" s="33" t="s">
        <v>257</v>
      </c>
      <c r="T48" s="33" t="s">
        <v>257</v>
      </c>
      <c r="U48" s="21" t="s">
        <v>325</v>
      </c>
    </row>
    <row r="49" spans="1:21" x14ac:dyDescent="0.25">
      <c r="A49" s="33">
        <v>2013</v>
      </c>
      <c r="B49" s="44">
        <v>41466</v>
      </c>
      <c r="C49" s="45">
        <v>0.90416666666666667</v>
      </c>
      <c r="D49" s="21" t="s">
        <v>47</v>
      </c>
      <c r="E49" s="21" t="s">
        <v>313</v>
      </c>
      <c r="F49" s="33" t="s">
        <v>257</v>
      </c>
      <c r="G49" s="21" t="s">
        <v>248</v>
      </c>
      <c r="H49" s="33">
        <v>10</v>
      </c>
      <c r="I49" s="33">
        <v>0</v>
      </c>
      <c r="J49" s="33">
        <v>0</v>
      </c>
      <c r="K49" s="21" t="s">
        <v>338</v>
      </c>
      <c r="L49" s="21" t="s">
        <v>339</v>
      </c>
      <c r="N49" s="46">
        <v>15.6</v>
      </c>
      <c r="O49" s="46">
        <v>3.8</v>
      </c>
      <c r="P49" s="46">
        <v>0.5</v>
      </c>
      <c r="Q49" s="46">
        <v>19.399999999999999</v>
      </c>
      <c r="R49" s="47" t="s">
        <v>257</v>
      </c>
      <c r="S49" s="33" t="s">
        <v>257</v>
      </c>
      <c r="T49" s="33" t="s">
        <v>257</v>
      </c>
      <c r="U49" s="21" t="s">
        <v>326</v>
      </c>
    </row>
    <row r="50" spans="1:21" x14ac:dyDescent="0.25">
      <c r="A50" s="33">
        <v>2013</v>
      </c>
      <c r="B50" s="44">
        <v>41468</v>
      </c>
      <c r="C50" s="45">
        <v>0.54861111111111105</v>
      </c>
      <c r="D50" s="21" t="s">
        <v>47</v>
      </c>
      <c r="E50" s="21" t="s">
        <v>235</v>
      </c>
      <c r="F50" s="33">
        <v>1500</v>
      </c>
      <c r="G50" s="21" t="s">
        <v>248</v>
      </c>
      <c r="H50" s="33">
        <v>2</v>
      </c>
      <c r="I50" s="33">
        <v>0</v>
      </c>
      <c r="J50" s="33">
        <v>0</v>
      </c>
      <c r="K50" s="21" t="s">
        <v>300</v>
      </c>
      <c r="L50" s="21" t="s">
        <v>301</v>
      </c>
      <c r="N50" s="46">
        <v>42</v>
      </c>
      <c r="O50" s="46">
        <v>0</v>
      </c>
      <c r="P50" s="46">
        <v>6</v>
      </c>
      <c r="Q50" s="46">
        <v>42</v>
      </c>
      <c r="R50" s="47" t="s">
        <v>257</v>
      </c>
      <c r="S50" s="33" t="s">
        <v>257</v>
      </c>
      <c r="T50" s="33" t="s">
        <v>257</v>
      </c>
      <c r="U50" s="21" t="s">
        <v>327</v>
      </c>
    </row>
    <row r="51" spans="1:21" x14ac:dyDescent="0.25">
      <c r="A51" s="33">
        <v>2013</v>
      </c>
      <c r="B51" s="44">
        <v>41469</v>
      </c>
      <c r="C51" s="45">
        <v>0.86805555555555547</v>
      </c>
      <c r="D51" s="21" t="s">
        <v>47</v>
      </c>
      <c r="E51" s="21" t="s">
        <v>237</v>
      </c>
      <c r="F51" s="33">
        <v>300</v>
      </c>
      <c r="G51" s="21" t="s">
        <v>248</v>
      </c>
      <c r="H51" s="33">
        <v>7</v>
      </c>
      <c r="I51" s="33">
        <v>0</v>
      </c>
      <c r="J51" s="33">
        <v>0</v>
      </c>
      <c r="K51" s="21" t="s">
        <v>300</v>
      </c>
      <c r="L51" s="21" t="s">
        <v>301</v>
      </c>
      <c r="N51" s="46">
        <v>28.8</v>
      </c>
      <c r="O51" s="46">
        <v>0</v>
      </c>
      <c r="P51" s="46">
        <v>2.2000000000000002</v>
      </c>
      <c r="Q51" s="46">
        <v>28.8</v>
      </c>
      <c r="R51" s="47" t="s">
        <v>257</v>
      </c>
      <c r="S51" s="33" t="s">
        <v>257</v>
      </c>
      <c r="T51" s="33" t="s">
        <v>257</v>
      </c>
      <c r="U51" s="21" t="s">
        <v>328</v>
      </c>
    </row>
    <row r="52" spans="1:21" x14ac:dyDescent="0.25">
      <c r="A52" s="33">
        <v>2013</v>
      </c>
      <c r="B52" s="44">
        <v>41469</v>
      </c>
      <c r="C52" s="45">
        <v>0.89583333333333337</v>
      </c>
      <c r="D52" s="21" t="s">
        <v>47</v>
      </c>
      <c r="E52" s="21" t="s">
        <v>237</v>
      </c>
      <c r="F52" s="33">
        <v>50</v>
      </c>
      <c r="G52" s="21" t="s">
        <v>248</v>
      </c>
      <c r="H52" s="33">
        <v>7</v>
      </c>
      <c r="I52" s="33">
        <v>0</v>
      </c>
      <c r="J52" s="33">
        <v>0</v>
      </c>
      <c r="K52" s="21" t="s">
        <v>282</v>
      </c>
      <c r="L52" s="21" t="s">
        <v>293</v>
      </c>
      <c r="N52" s="46">
        <v>42.2</v>
      </c>
      <c r="O52" s="46">
        <v>41</v>
      </c>
      <c r="P52" s="46">
        <v>2.1</v>
      </c>
      <c r="Q52" s="46">
        <v>83.2</v>
      </c>
      <c r="R52" s="47" t="s">
        <v>257</v>
      </c>
      <c r="S52" s="33" t="s">
        <v>257</v>
      </c>
      <c r="T52" s="33" t="s">
        <v>257</v>
      </c>
      <c r="U52" s="21" t="s">
        <v>329</v>
      </c>
    </row>
    <row r="53" spans="1:21" x14ac:dyDescent="0.25">
      <c r="A53" s="33">
        <v>2013</v>
      </c>
      <c r="B53" s="44">
        <v>41469</v>
      </c>
      <c r="C53" s="45">
        <v>0.92361111111111116</v>
      </c>
      <c r="D53" s="21" t="s">
        <v>47</v>
      </c>
      <c r="E53" s="21" t="s">
        <v>313</v>
      </c>
      <c r="F53" s="33" t="s">
        <v>257</v>
      </c>
      <c r="G53" s="21" t="s">
        <v>248</v>
      </c>
      <c r="H53" s="33">
        <v>7</v>
      </c>
      <c r="I53" s="33">
        <v>0</v>
      </c>
      <c r="J53" s="33">
        <v>0</v>
      </c>
      <c r="K53" s="21" t="s">
        <v>300</v>
      </c>
      <c r="L53" s="21" t="s">
        <v>301</v>
      </c>
      <c r="N53" s="46">
        <v>46.5</v>
      </c>
      <c r="O53" s="46">
        <v>0</v>
      </c>
      <c r="P53" s="46">
        <v>9.6</v>
      </c>
      <c r="Q53" s="46">
        <v>46.5</v>
      </c>
      <c r="R53" s="47" t="s">
        <v>257</v>
      </c>
      <c r="S53" s="33" t="s">
        <v>257</v>
      </c>
      <c r="T53" s="33" t="s">
        <v>257</v>
      </c>
      <c r="U53" s="21" t="s">
        <v>330</v>
      </c>
    </row>
    <row r="54" spans="1:21" x14ac:dyDescent="0.25">
      <c r="A54" s="33">
        <v>2013</v>
      </c>
      <c r="B54" s="44">
        <v>41470</v>
      </c>
      <c r="C54" s="45">
        <v>0.86805555555555547</v>
      </c>
      <c r="D54" s="21" t="s">
        <v>47</v>
      </c>
      <c r="E54" s="21" t="s">
        <v>313</v>
      </c>
      <c r="F54" s="33" t="s">
        <v>257</v>
      </c>
      <c r="G54" s="21" t="s">
        <v>248</v>
      </c>
      <c r="H54" s="33">
        <v>10</v>
      </c>
      <c r="I54" s="33">
        <v>0</v>
      </c>
      <c r="J54" s="33">
        <v>0</v>
      </c>
      <c r="K54" s="21" t="s">
        <v>358</v>
      </c>
      <c r="L54" s="21" t="s">
        <v>359</v>
      </c>
      <c r="N54" s="46">
        <v>39.799999999999997</v>
      </c>
      <c r="O54" s="46">
        <v>0</v>
      </c>
      <c r="P54" s="46">
        <v>8</v>
      </c>
      <c r="Q54" s="46">
        <v>39.799999999999997</v>
      </c>
      <c r="R54" s="47" t="s">
        <v>53</v>
      </c>
      <c r="S54" s="33" t="s">
        <v>257</v>
      </c>
      <c r="T54" s="33" t="s">
        <v>257</v>
      </c>
      <c r="U54" s="21" t="s">
        <v>331</v>
      </c>
    </row>
    <row r="55" spans="1:21" x14ac:dyDescent="0.25">
      <c r="A55" s="33">
        <v>2013</v>
      </c>
      <c r="B55" s="44">
        <v>41470</v>
      </c>
      <c r="C55" s="45">
        <v>0.86805555555555547</v>
      </c>
      <c r="D55" s="21" t="s">
        <v>47</v>
      </c>
      <c r="E55" s="21" t="s">
        <v>313</v>
      </c>
      <c r="F55" s="33" t="s">
        <v>257</v>
      </c>
      <c r="G55" s="21" t="s">
        <v>248</v>
      </c>
      <c r="H55" s="33">
        <v>10</v>
      </c>
      <c r="I55" s="33">
        <v>0</v>
      </c>
      <c r="J55" s="33">
        <v>0</v>
      </c>
      <c r="K55" s="21" t="s">
        <v>338</v>
      </c>
      <c r="L55" s="21" t="s">
        <v>339</v>
      </c>
      <c r="N55" s="46">
        <v>14</v>
      </c>
      <c r="O55" s="46">
        <v>8.6999999999999993</v>
      </c>
      <c r="P55" s="46">
        <v>0.2</v>
      </c>
      <c r="Q55" s="46">
        <v>22.7</v>
      </c>
      <c r="R55" s="47" t="s">
        <v>257</v>
      </c>
      <c r="S55" s="33" t="s">
        <v>257</v>
      </c>
      <c r="T55" s="33" t="s">
        <v>257</v>
      </c>
      <c r="U55" s="21" t="s">
        <v>332</v>
      </c>
    </row>
    <row r="56" spans="1:21" x14ac:dyDescent="0.25">
      <c r="A56" s="33">
        <v>2013</v>
      </c>
      <c r="B56" s="44">
        <v>41473</v>
      </c>
      <c r="C56" s="45">
        <v>0.47916666666666669</v>
      </c>
      <c r="D56" s="21" t="s">
        <v>47</v>
      </c>
      <c r="E56" s="21" t="s">
        <v>236</v>
      </c>
      <c r="F56" s="33">
        <v>150</v>
      </c>
      <c r="G56" s="21" t="s">
        <v>248</v>
      </c>
      <c r="H56" s="33">
        <v>2</v>
      </c>
      <c r="I56" s="33">
        <v>0</v>
      </c>
      <c r="J56" s="33">
        <v>0</v>
      </c>
      <c r="K56" s="21" t="s">
        <v>347</v>
      </c>
      <c r="L56" s="21" t="s">
        <v>348</v>
      </c>
      <c r="N56" s="46">
        <v>746</v>
      </c>
      <c r="O56" s="46">
        <v>348</v>
      </c>
      <c r="P56" s="46">
        <v>130</v>
      </c>
      <c r="Q56" s="46">
        <v>1094</v>
      </c>
      <c r="R56" s="47" t="s">
        <v>53</v>
      </c>
      <c r="S56" s="33" t="s">
        <v>257</v>
      </c>
      <c r="T56" s="33" t="s">
        <v>257</v>
      </c>
      <c r="U56" s="21" t="s">
        <v>257</v>
      </c>
    </row>
    <row r="57" spans="1:21" x14ac:dyDescent="0.25">
      <c r="A57" s="33">
        <v>2013</v>
      </c>
      <c r="B57" s="44">
        <v>41473</v>
      </c>
      <c r="C57" s="45">
        <v>0.54861111111111105</v>
      </c>
      <c r="D57" s="21" t="s">
        <v>47</v>
      </c>
      <c r="E57" s="21" t="s">
        <v>234</v>
      </c>
      <c r="F57" s="33">
        <v>100</v>
      </c>
      <c r="G57" s="21" t="s">
        <v>248</v>
      </c>
      <c r="H57" s="33">
        <v>10</v>
      </c>
      <c r="I57" s="33">
        <v>0</v>
      </c>
      <c r="J57" s="33">
        <v>0</v>
      </c>
      <c r="K57" s="21" t="s">
        <v>360</v>
      </c>
      <c r="L57" s="21" t="s">
        <v>361</v>
      </c>
      <c r="N57" s="46" t="s">
        <v>257</v>
      </c>
      <c r="O57" s="46" t="s">
        <v>257</v>
      </c>
      <c r="P57" s="46" t="s">
        <v>257</v>
      </c>
      <c r="Q57" s="46" t="s">
        <v>257</v>
      </c>
      <c r="R57" s="47" t="s">
        <v>257</v>
      </c>
      <c r="S57" s="33" t="s">
        <v>257</v>
      </c>
      <c r="T57" s="33" t="s">
        <v>257</v>
      </c>
      <c r="U57" s="21" t="s">
        <v>257</v>
      </c>
    </row>
    <row r="58" spans="1:21" x14ac:dyDescent="0.25">
      <c r="A58" s="33">
        <v>2013</v>
      </c>
      <c r="B58" s="44">
        <v>41474</v>
      </c>
      <c r="C58" s="45">
        <v>0.8125</v>
      </c>
      <c r="D58" s="21" t="s">
        <v>47</v>
      </c>
      <c r="E58" s="21" t="s">
        <v>257</v>
      </c>
      <c r="F58" s="33" t="s">
        <v>257</v>
      </c>
      <c r="G58" s="21" t="s">
        <v>248</v>
      </c>
      <c r="H58" s="33">
        <v>1</v>
      </c>
      <c r="I58" s="33">
        <v>0</v>
      </c>
      <c r="J58" s="33">
        <v>0</v>
      </c>
      <c r="K58" s="21" t="s">
        <v>300</v>
      </c>
      <c r="L58" s="21" t="s">
        <v>301</v>
      </c>
      <c r="N58" s="46">
        <v>39</v>
      </c>
      <c r="O58" s="46">
        <v>0</v>
      </c>
      <c r="P58" s="46">
        <v>4.9000000000000004</v>
      </c>
      <c r="Q58" s="46">
        <v>39</v>
      </c>
      <c r="R58" s="47" t="s">
        <v>257</v>
      </c>
      <c r="S58" s="33" t="s">
        <v>257</v>
      </c>
      <c r="T58" s="33" t="s">
        <v>257</v>
      </c>
      <c r="U58" s="21" t="s">
        <v>333</v>
      </c>
    </row>
    <row r="59" spans="1:21" x14ac:dyDescent="0.25">
      <c r="A59" s="33">
        <v>2013</v>
      </c>
      <c r="B59" s="44">
        <v>41476</v>
      </c>
      <c r="C59" s="45">
        <v>0.59027777777777779</v>
      </c>
      <c r="D59" s="21" t="s">
        <v>47</v>
      </c>
      <c r="E59" s="21" t="s">
        <v>234</v>
      </c>
      <c r="F59" s="33">
        <v>1400</v>
      </c>
      <c r="G59" s="21" t="s">
        <v>248</v>
      </c>
      <c r="H59" s="33">
        <v>2</v>
      </c>
      <c r="I59" s="33">
        <v>0</v>
      </c>
      <c r="J59" s="33">
        <v>0</v>
      </c>
      <c r="K59" s="21" t="s">
        <v>347</v>
      </c>
      <c r="L59" s="21" t="s">
        <v>348</v>
      </c>
      <c r="N59" s="46">
        <v>768</v>
      </c>
      <c r="O59" s="46">
        <v>342</v>
      </c>
      <c r="P59" s="46">
        <v>200</v>
      </c>
      <c r="Q59" s="46">
        <v>1110</v>
      </c>
      <c r="R59" s="47" t="s">
        <v>53</v>
      </c>
      <c r="S59" s="33" t="s">
        <v>257</v>
      </c>
      <c r="T59" s="33" t="s">
        <v>257</v>
      </c>
      <c r="U59" s="21" t="s">
        <v>257</v>
      </c>
    </row>
    <row r="60" spans="1:21" x14ac:dyDescent="0.25">
      <c r="A60" s="33">
        <v>2013</v>
      </c>
      <c r="B60" s="44">
        <v>41477</v>
      </c>
      <c r="C60" s="45">
        <v>0.89583333333333337</v>
      </c>
      <c r="D60" s="21" t="s">
        <v>47</v>
      </c>
      <c r="E60" s="21" t="s">
        <v>257</v>
      </c>
      <c r="F60" s="33" t="s">
        <v>257</v>
      </c>
      <c r="G60" s="21" t="s">
        <v>248</v>
      </c>
      <c r="H60" s="33">
        <v>1</v>
      </c>
      <c r="I60" s="33">
        <v>0</v>
      </c>
      <c r="J60" s="33">
        <v>0</v>
      </c>
      <c r="K60" s="21" t="s">
        <v>288</v>
      </c>
      <c r="L60" s="21" t="s">
        <v>362</v>
      </c>
      <c r="N60" s="46">
        <v>39.799999999999997</v>
      </c>
      <c r="O60" s="46">
        <v>52.7</v>
      </c>
      <c r="P60" s="46">
        <v>1.6</v>
      </c>
      <c r="Q60" s="46">
        <v>92.5</v>
      </c>
      <c r="R60" s="47" t="s">
        <v>53</v>
      </c>
      <c r="S60" s="33" t="s">
        <v>257</v>
      </c>
      <c r="T60" s="33" t="s">
        <v>257</v>
      </c>
      <c r="U60" s="21" t="s">
        <v>334</v>
      </c>
    </row>
    <row r="61" spans="1:21" x14ac:dyDescent="0.25">
      <c r="A61" s="33">
        <v>2013</v>
      </c>
      <c r="B61" s="44">
        <v>41466</v>
      </c>
      <c r="C61" s="45">
        <v>0.9291666666666667</v>
      </c>
      <c r="D61" s="21" t="s">
        <v>49</v>
      </c>
      <c r="E61" s="21" t="s">
        <v>229</v>
      </c>
      <c r="F61" s="33">
        <v>100</v>
      </c>
      <c r="G61" s="21" t="s">
        <v>247</v>
      </c>
      <c r="H61" s="33">
        <v>2</v>
      </c>
      <c r="I61" s="33">
        <v>0</v>
      </c>
      <c r="J61" s="33">
        <v>0</v>
      </c>
      <c r="K61" s="21" t="s">
        <v>338</v>
      </c>
      <c r="L61" s="21" t="s">
        <v>339</v>
      </c>
      <c r="N61" s="46">
        <v>30</v>
      </c>
      <c r="O61" s="46" t="s">
        <v>257</v>
      </c>
      <c r="P61" s="46">
        <v>22</v>
      </c>
      <c r="Q61" s="46">
        <v>30</v>
      </c>
      <c r="R61" s="47" t="s">
        <v>53</v>
      </c>
      <c r="S61" s="33" t="s">
        <v>257</v>
      </c>
      <c r="T61" s="33" t="s">
        <v>257</v>
      </c>
      <c r="U61" s="21" t="s">
        <v>363</v>
      </c>
    </row>
    <row r="62" spans="1:21" x14ac:dyDescent="0.25">
      <c r="A62" s="33">
        <v>2013</v>
      </c>
      <c r="B62" s="44">
        <v>41471</v>
      </c>
      <c r="C62" s="45">
        <v>0.91666666666666663</v>
      </c>
      <c r="D62" s="21" t="s">
        <v>49</v>
      </c>
      <c r="E62" s="21" t="s">
        <v>257</v>
      </c>
      <c r="F62" s="33" t="s">
        <v>257</v>
      </c>
      <c r="G62" s="21" t="s">
        <v>247</v>
      </c>
      <c r="H62" s="33">
        <v>1</v>
      </c>
      <c r="I62" s="33">
        <v>0</v>
      </c>
      <c r="J62" s="33">
        <v>0</v>
      </c>
      <c r="K62" s="21" t="s">
        <v>485</v>
      </c>
      <c r="L62" s="21" t="s">
        <v>486</v>
      </c>
      <c r="N62" s="46" t="s">
        <v>257</v>
      </c>
      <c r="O62" s="46" t="s">
        <v>257</v>
      </c>
      <c r="P62" s="46" t="s">
        <v>257</v>
      </c>
      <c r="Q62" s="46" t="s">
        <v>257</v>
      </c>
      <c r="R62" s="47" t="s">
        <v>257</v>
      </c>
      <c r="S62" s="33" t="s">
        <v>257</v>
      </c>
      <c r="T62" s="33" t="s">
        <v>257</v>
      </c>
      <c r="U62" s="21" t="s">
        <v>364</v>
      </c>
    </row>
    <row r="63" spans="1:21" x14ac:dyDescent="0.25">
      <c r="A63" s="33">
        <v>2013</v>
      </c>
      <c r="B63" s="44">
        <v>41472</v>
      </c>
      <c r="C63" s="45">
        <v>0.89583333333333337</v>
      </c>
      <c r="D63" s="21" t="s">
        <v>49</v>
      </c>
      <c r="E63" s="21" t="s">
        <v>257</v>
      </c>
      <c r="F63" s="33" t="s">
        <v>257</v>
      </c>
      <c r="G63" s="21" t="s">
        <v>247</v>
      </c>
      <c r="H63" s="33">
        <v>1</v>
      </c>
      <c r="I63" s="33">
        <v>0</v>
      </c>
      <c r="J63" s="33">
        <v>0</v>
      </c>
      <c r="K63" s="21" t="s">
        <v>485</v>
      </c>
      <c r="L63" s="21" t="s">
        <v>486</v>
      </c>
      <c r="N63" s="46" t="s">
        <v>257</v>
      </c>
      <c r="O63" s="46" t="s">
        <v>257</v>
      </c>
      <c r="P63" s="46" t="s">
        <v>257</v>
      </c>
      <c r="Q63" s="46" t="s">
        <v>257</v>
      </c>
      <c r="R63" s="47" t="s">
        <v>257</v>
      </c>
      <c r="S63" s="33" t="s">
        <v>257</v>
      </c>
      <c r="T63" s="33" t="s">
        <v>257</v>
      </c>
      <c r="U63" s="21" t="s">
        <v>364</v>
      </c>
    </row>
    <row r="64" spans="1:21" x14ac:dyDescent="0.25">
      <c r="A64" s="33">
        <v>2013</v>
      </c>
      <c r="B64" s="44">
        <v>41473</v>
      </c>
      <c r="C64" s="45">
        <v>0.58750000000000002</v>
      </c>
      <c r="D64" s="21" t="s">
        <v>50</v>
      </c>
      <c r="E64" s="21" t="s">
        <v>225</v>
      </c>
      <c r="F64" s="33">
        <v>750</v>
      </c>
      <c r="G64" s="21" t="s">
        <v>247</v>
      </c>
      <c r="H64" s="33">
        <v>3</v>
      </c>
      <c r="I64" s="33">
        <v>0</v>
      </c>
      <c r="J64" s="33">
        <v>0</v>
      </c>
      <c r="K64" s="21" t="s">
        <v>487</v>
      </c>
      <c r="L64" s="21" t="s">
        <v>354</v>
      </c>
      <c r="N64" s="46" t="s">
        <v>257</v>
      </c>
      <c r="O64" s="46" t="s">
        <v>257</v>
      </c>
      <c r="P64" s="46" t="s">
        <v>257</v>
      </c>
      <c r="Q64" s="46" t="s">
        <v>257</v>
      </c>
      <c r="R64" s="47" t="s">
        <v>257</v>
      </c>
      <c r="S64" s="33" t="s">
        <v>257</v>
      </c>
      <c r="T64" s="33" t="s">
        <v>257</v>
      </c>
      <c r="U64" s="21" t="s">
        <v>257</v>
      </c>
    </row>
    <row r="65" spans="1:21" x14ac:dyDescent="0.25">
      <c r="A65" s="33">
        <v>2013</v>
      </c>
      <c r="B65" s="44">
        <v>41473</v>
      </c>
      <c r="C65" s="45">
        <v>0.60347222222222219</v>
      </c>
      <c r="D65" s="21" t="s">
        <v>50</v>
      </c>
      <c r="E65" s="21" t="s">
        <v>225</v>
      </c>
      <c r="F65" s="33">
        <v>1000</v>
      </c>
      <c r="G65" s="21" t="s">
        <v>247</v>
      </c>
      <c r="H65" s="33">
        <v>3</v>
      </c>
      <c r="I65" s="33">
        <v>0</v>
      </c>
      <c r="J65" s="33">
        <v>0</v>
      </c>
      <c r="K65" s="21" t="s">
        <v>300</v>
      </c>
      <c r="L65" s="21" t="s">
        <v>488</v>
      </c>
      <c r="N65" s="46">
        <v>30</v>
      </c>
      <c r="O65" s="46" t="s">
        <v>257</v>
      </c>
      <c r="P65" s="46">
        <v>30</v>
      </c>
      <c r="Q65" s="46">
        <v>30</v>
      </c>
      <c r="R65" s="47" t="s">
        <v>257</v>
      </c>
      <c r="S65" s="33" t="s">
        <v>257</v>
      </c>
      <c r="T65" s="33" t="s">
        <v>257</v>
      </c>
      <c r="U65" s="21" t="s">
        <v>365</v>
      </c>
    </row>
    <row r="66" spans="1:21" x14ac:dyDescent="0.25">
      <c r="A66" s="33">
        <v>2013</v>
      </c>
      <c r="B66" s="44">
        <v>41476</v>
      </c>
      <c r="C66" s="45">
        <v>0.50416666666666665</v>
      </c>
      <c r="D66" s="21" t="s">
        <v>50</v>
      </c>
      <c r="E66" s="21" t="s">
        <v>227</v>
      </c>
      <c r="F66" s="33">
        <v>1600</v>
      </c>
      <c r="G66" s="21" t="s">
        <v>247</v>
      </c>
      <c r="H66" s="33">
        <v>3</v>
      </c>
      <c r="I66" s="33">
        <v>0</v>
      </c>
      <c r="J66" s="33">
        <v>0</v>
      </c>
      <c r="K66" s="21" t="s">
        <v>489</v>
      </c>
      <c r="L66" s="21" t="s">
        <v>490</v>
      </c>
      <c r="N66" s="46" t="s">
        <v>257</v>
      </c>
      <c r="O66" s="46" t="s">
        <v>257</v>
      </c>
      <c r="P66" s="46" t="s">
        <v>257</v>
      </c>
      <c r="Q66" s="46" t="s">
        <v>257</v>
      </c>
      <c r="R66" s="47" t="s">
        <v>257</v>
      </c>
      <c r="S66" s="33" t="s">
        <v>257</v>
      </c>
      <c r="T66" s="33" t="s">
        <v>257</v>
      </c>
      <c r="U66" s="21" t="s">
        <v>366</v>
      </c>
    </row>
    <row r="67" spans="1:21" x14ac:dyDescent="0.25">
      <c r="A67" s="33">
        <v>2013</v>
      </c>
      <c r="B67" s="44">
        <v>41476</v>
      </c>
      <c r="C67" s="45">
        <v>0.54166666666666663</v>
      </c>
      <c r="D67" s="21" t="s">
        <v>50</v>
      </c>
      <c r="E67" s="21" t="s">
        <v>225</v>
      </c>
      <c r="F67" s="33">
        <v>60</v>
      </c>
      <c r="G67" s="21" t="s">
        <v>247</v>
      </c>
      <c r="H67" s="33">
        <v>3</v>
      </c>
      <c r="I67" s="33">
        <v>0</v>
      </c>
      <c r="J67" s="33">
        <v>0</v>
      </c>
      <c r="K67" s="21" t="s">
        <v>288</v>
      </c>
      <c r="L67" s="21" t="s">
        <v>491</v>
      </c>
      <c r="N67" s="46" t="s">
        <v>257</v>
      </c>
      <c r="O67" s="46" t="s">
        <v>257</v>
      </c>
      <c r="P67" s="46" t="s">
        <v>257</v>
      </c>
      <c r="Q67" s="46" t="s">
        <v>257</v>
      </c>
      <c r="R67" s="47" t="s">
        <v>257</v>
      </c>
      <c r="S67" s="33" t="s">
        <v>257</v>
      </c>
      <c r="T67" s="33" t="s">
        <v>257</v>
      </c>
      <c r="U67" s="21" t="s">
        <v>257</v>
      </c>
    </row>
    <row r="68" spans="1:21" x14ac:dyDescent="0.25">
      <c r="A68" s="33">
        <v>2013</v>
      </c>
      <c r="B68" s="44">
        <v>41477</v>
      </c>
      <c r="C68" s="45">
        <v>0.45833333333333331</v>
      </c>
      <c r="D68" s="21" t="s">
        <v>50</v>
      </c>
      <c r="E68" s="21" t="s">
        <v>226</v>
      </c>
      <c r="F68" s="33">
        <v>250</v>
      </c>
      <c r="G68" s="21" t="s">
        <v>247</v>
      </c>
      <c r="H68" s="33">
        <v>1</v>
      </c>
      <c r="I68" s="33">
        <v>0</v>
      </c>
      <c r="J68" s="33">
        <v>0</v>
      </c>
      <c r="K68" s="21" t="s">
        <v>300</v>
      </c>
      <c r="L68" s="21" t="s">
        <v>488</v>
      </c>
      <c r="N68" s="46">
        <v>422</v>
      </c>
      <c r="O68" s="46" t="s">
        <v>257</v>
      </c>
      <c r="P68" s="46">
        <v>10.5</v>
      </c>
      <c r="Q68" s="46">
        <v>422</v>
      </c>
      <c r="R68" s="47" t="s">
        <v>257</v>
      </c>
      <c r="S68" s="33" t="s">
        <v>257</v>
      </c>
      <c r="T68" s="33" t="s">
        <v>257</v>
      </c>
      <c r="U68" s="21" t="s">
        <v>367</v>
      </c>
    </row>
    <row r="69" spans="1:21" x14ac:dyDescent="0.25">
      <c r="A69" s="33">
        <v>2013</v>
      </c>
      <c r="B69" s="44">
        <v>41478</v>
      </c>
      <c r="C69" s="45">
        <v>0.46527777777777773</v>
      </c>
      <c r="D69" s="21" t="s">
        <v>50</v>
      </c>
      <c r="E69" s="21" t="s">
        <v>225</v>
      </c>
      <c r="F69" s="33">
        <v>1050</v>
      </c>
      <c r="G69" s="21" t="s">
        <v>247</v>
      </c>
      <c r="H69" s="33">
        <v>3</v>
      </c>
      <c r="I69" s="33">
        <v>0</v>
      </c>
      <c r="J69" s="33">
        <v>0</v>
      </c>
      <c r="K69" s="21" t="s">
        <v>489</v>
      </c>
      <c r="L69" s="21" t="s">
        <v>490</v>
      </c>
      <c r="N69" s="46" t="s">
        <v>257</v>
      </c>
      <c r="O69" s="46" t="s">
        <v>257</v>
      </c>
      <c r="P69" s="46" t="s">
        <v>257</v>
      </c>
      <c r="Q69" s="46" t="s">
        <v>257</v>
      </c>
      <c r="R69" s="47" t="s">
        <v>257</v>
      </c>
      <c r="S69" s="33" t="s">
        <v>257</v>
      </c>
      <c r="T69" s="33" t="s">
        <v>257</v>
      </c>
      <c r="U69" s="21" t="s">
        <v>257</v>
      </c>
    </row>
    <row r="70" spans="1:21" x14ac:dyDescent="0.25">
      <c r="A70" s="33">
        <v>2013</v>
      </c>
      <c r="B70" s="44">
        <v>41448</v>
      </c>
      <c r="C70" s="45">
        <v>0.5625</v>
      </c>
      <c r="D70" s="21" t="s">
        <v>50</v>
      </c>
      <c r="E70" s="21" t="s">
        <v>257</v>
      </c>
      <c r="F70" s="33" t="s">
        <v>257</v>
      </c>
      <c r="G70" s="21" t="s">
        <v>247</v>
      </c>
      <c r="H70" s="33">
        <v>1</v>
      </c>
      <c r="I70" s="33">
        <v>0</v>
      </c>
      <c r="J70" s="33">
        <v>0</v>
      </c>
      <c r="K70" s="21" t="s">
        <v>492</v>
      </c>
      <c r="L70" s="21" t="s">
        <v>493</v>
      </c>
      <c r="N70" s="46" t="s">
        <v>257</v>
      </c>
      <c r="O70" s="46" t="s">
        <v>257</v>
      </c>
      <c r="P70" s="46" t="s">
        <v>257</v>
      </c>
      <c r="Q70" s="46" t="s">
        <v>257</v>
      </c>
      <c r="R70" s="47" t="s">
        <v>257</v>
      </c>
      <c r="S70" s="33" t="s">
        <v>257</v>
      </c>
      <c r="T70" s="33" t="s">
        <v>257</v>
      </c>
      <c r="U70" s="21" t="s">
        <v>368</v>
      </c>
    </row>
    <row r="71" spans="1:21" x14ac:dyDescent="0.25">
      <c r="A71" s="33">
        <v>2013</v>
      </c>
      <c r="B71" s="44">
        <v>41435</v>
      </c>
      <c r="C71" s="45">
        <v>0.63472222222222219</v>
      </c>
      <c r="D71" s="21" t="s">
        <v>52</v>
      </c>
      <c r="E71" s="21" t="s">
        <v>217</v>
      </c>
      <c r="F71" s="33">
        <v>500</v>
      </c>
      <c r="G71" s="21" t="s">
        <v>369</v>
      </c>
      <c r="H71" s="33">
        <v>1</v>
      </c>
      <c r="I71" s="33">
        <v>0</v>
      </c>
      <c r="J71" s="33">
        <v>0</v>
      </c>
      <c r="K71" s="21" t="s">
        <v>298</v>
      </c>
      <c r="L71" s="21" t="s">
        <v>494</v>
      </c>
      <c r="N71" s="46">
        <v>123.33</v>
      </c>
      <c r="O71" s="46">
        <v>44.79</v>
      </c>
      <c r="P71" s="46" t="s">
        <v>257</v>
      </c>
      <c r="Q71" s="46">
        <v>168.12</v>
      </c>
      <c r="R71" s="47" t="s">
        <v>53</v>
      </c>
      <c r="S71" s="33" t="s">
        <v>257</v>
      </c>
      <c r="T71" s="33" t="s">
        <v>257</v>
      </c>
      <c r="U71" s="21" t="s">
        <v>378</v>
      </c>
    </row>
    <row r="72" spans="1:21" x14ac:dyDescent="0.25">
      <c r="A72" s="33">
        <v>2013</v>
      </c>
      <c r="B72" s="44">
        <v>41435</v>
      </c>
      <c r="C72" s="45">
        <v>0.64652777777777781</v>
      </c>
      <c r="D72" s="21" t="s">
        <v>370</v>
      </c>
      <c r="E72" s="21" t="s">
        <v>217</v>
      </c>
      <c r="F72" s="33" t="s">
        <v>257</v>
      </c>
      <c r="G72" s="21" t="s">
        <v>369</v>
      </c>
      <c r="H72" s="33">
        <v>1</v>
      </c>
      <c r="I72" s="33">
        <v>0</v>
      </c>
      <c r="J72" s="33">
        <v>0</v>
      </c>
      <c r="K72" s="21" t="s">
        <v>288</v>
      </c>
      <c r="L72" s="21" t="s">
        <v>362</v>
      </c>
      <c r="N72" s="46">
        <v>0</v>
      </c>
      <c r="O72" s="46">
        <v>0</v>
      </c>
      <c r="P72" s="46">
        <v>0</v>
      </c>
      <c r="Q72" s="46">
        <v>0</v>
      </c>
      <c r="R72" s="47" t="s">
        <v>379</v>
      </c>
      <c r="S72" s="33" t="s">
        <v>257</v>
      </c>
      <c r="T72" s="33" t="s">
        <v>257</v>
      </c>
      <c r="U72" s="21" t="s">
        <v>380</v>
      </c>
    </row>
    <row r="73" spans="1:21" x14ac:dyDescent="0.25">
      <c r="A73" s="33">
        <v>2013</v>
      </c>
      <c r="B73" s="44">
        <v>41436</v>
      </c>
      <c r="C73" s="45">
        <v>0.9291666666666667</v>
      </c>
      <c r="D73" s="21" t="s">
        <v>52</v>
      </c>
      <c r="E73" s="21" t="s">
        <v>257</v>
      </c>
      <c r="F73" s="33">
        <v>100</v>
      </c>
      <c r="G73" s="21" t="s">
        <v>369</v>
      </c>
      <c r="H73" s="33">
        <v>3</v>
      </c>
      <c r="I73" s="33">
        <v>0</v>
      </c>
      <c r="J73" s="33">
        <v>0</v>
      </c>
      <c r="K73" s="21" t="s">
        <v>288</v>
      </c>
      <c r="L73" s="21" t="s">
        <v>362</v>
      </c>
      <c r="N73" s="46">
        <v>35.29</v>
      </c>
      <c r="O73" s="46">
        <v>86.15</v>
      </c>
      <c r="P73" s="46">
        <v>2.5</v>
      </c>
      <c r="Q73" s="46">
        <v>121.44</v>
      </c>
      <c r="R73" s="47" t="s">
        <v>54</v>
      </c>
      <c r="S73" s="33" t="s">
        <v>257</v>
      </c>
      <c r="T73" s="33" t="s">
        <v>257</v>
      </c>
      <c r="U73" s="21" t="s">
        <v>257</v>
      </c>
    </row>
    <row r="74" spans="1:21" x14ac:dyDescent="0.25">
      <c r="A74" s="33">
        <v>2013</v>
      </c>
      <c r="B74" s="44">
        <v>41438</v>
      </c>
      <c r="C74" s="45">
        <v>0.54305555555555551</v>
      </c>
      <c r="D74" s="21" t="s">
        <v>371</v>
      </c>
      <c r="E74" s="21" t="s">
        <v>257</v>
      </c>
      <c r="F74" s="33" t="s">
        <v>257</v>
      </c>
      <c r="G74" s="21" t="s">
        <v>369</v>
      </c>
      <c r="H74" s="33">
        <v>1</v>
      </c>
      <c r="I74" s="33">
        <v>0</v>
      </c>
      <c r="J74" s="33">
        <v>0</v>
      </c>
      <c r="K74" s="21" t="s">
        <v>288</v>
      </c>
      <c r="L74" s="21" t="s">
        <v>362</v>
      </c>
      <c r="N74" s="46">
        <v>38.61</v>
      </c>
      <c r="O74" s="46">
        <v>76.66</v>
      </c>
      <c r="P74" s="46">
        <v>2.7</v>
      </c>
      <c r="Q74" s="46">
        <v>115.27</v>
      </c>
      <c r="R74" s="47" t="s">
        <v>53</v>
      </c>
      <c r="S74" s="33" t="s">
        <v>257</v>
      </c>
      <c r="T74" s="33" t="s">
        <v>257</v>
      </c>
      <c r="U74" s="21" t="s">
        <v>381</v>
      </c>
    </row>
    <row r="75" spans="1:21" x14ac:dyDescent="0.25">
      <c r="A75" s="33">
        <v>2013</v>
      </c>
      <c r="B75" s="44">
        <v>41440</v>
      </c>
      <c r="C75" s="45">
        <v>0.47847222222222219</v>
      </c>
      <c r="D75" s="21" t="s">
        <v>52</v>
      </c>
      <c r="E75" s="21" t="s">
        <v>218</v>
      </c>
      <c r="F75" s="33">
        <v>800</v>
      </c>
      <c r="G75" s="21" t="s">
        <v>369</v>
      </c>
      <c r="H75" s="33">
        <v>3</v>
      </c>
      <c r="I75" s="33">
        <v>0</v>
      </c>
      <c r="J75" s="33">
        <v>0</v>
      </c>
      <c r="K75" s="21" t="s">
        <v>347</v>
      </c>
      <c r="L75" s="21" t="s">
        <v>348</v>
      </c>
      <c r="N75" s="46">
        <v>0</v>
      </c>
      <c r="O75" s="46">
        <v>0</v>
      </c>
      <c r="P75" s="46">
        <v>0</v>
      </c>
      <c r="Q75" s="46">
        <v>0</v>
      </c>
      <c r="R75" s="47" t="s">
        <v>53</v>
      </c>
      <c r="S75" s="33" t="s">
        <v>257</v>
      </c>
      <c r="T75" s="33" t="s">
        <v>257</v>
      </c>
      <c r="U75" s="21" t="s">
        <v>382</v>
      </c>
    </row>
    <row r="76" spans="1:21" x14ac:dyDescent="0.25">
      <c r="A76" s="33">
        <v>2013</v>
      </c>
      <c r="B76" s="44">
        <v>41440</v>
      </c>
      <c r="C76" s="45">
        <v>0.49513888888888885</v>
      </c>
      <c r="D76" s="21" t="s">
        <v>52</v>
      </c>
      <c r="E76" s="21" t="s">
        <v>257</v>
      </c>
      <c r="F76" s="33" t="s">
        <v>257</v>
      </c>
      <c r="G76" s="21" t="s">
        <v>369</v>
      </c>
      <c r="H76" s="33">
        <v>3</v>
      </c>
      <c r="I76" s="33">
        <v>0</v>
      </c>
      <c r="J76" s="33">
        <v>0</v>
      </c>
      <c r="K76" s="21" t="s">
        <v>296</v>
      </c>
      <c r="L76" s="21" t="s">
        <v>346</v>
      </c>
      <c r="N76" s="46">
        <v>0</v>
      </c>
      <c r="O76" s="46">
        <v>0</v>
      </c>
      <c r="P76" s="46">
        <v>0</v>
      </c>
      <c r="Q76" s="46">
        <v>0</v>
      </c>
      <c r="R76" s="47" t="s">
        <v>55</v>
      </c>
      <c r="S76" s="33" t="s">
        <v>257</v>
      </c>
      <c r="T76" s="33" t="s">
        <v>257</v>
      </c>
      <c r="U76" s="21" t="s">
        <v>383</v>
      </c>
    </row>
    <row r="77" spans="1:21" x14ac:dyDescent="0.25">
      <c r="A77" s="33">
        <v>2013</v>
      </c>
      <c r="B77" s="44">
        <v>41440</v>
      </c>
      <c r="C77" s="45">
        <v>0.49513888888888885</v>
      </c>
      <c r="D77" s="21" t="s">
        <v>52</v>
      </c>
      <c r="E77" s="21" t="s">
        <v>257</v>
      </c>
      <c r="F77" s="33" t="s">
        <v>257</v>
      </c>
      <c r="G77" s="21" t="s">
        <v>369</v>
      </c>
      <c r="H77" s="33">
        <v>3</v>
      </c>
      <c r="I77" s="33">
        <v>0</v>
      </c>
      <c r="J77" s="33">
        <v>0</v>
      </c>
      <c r="K77" s="21" t="s">
        <v>296</v>
      </c>
      <c r="L77" s="21" t="s">
        <v>346</v>
      </c>
      <c r="N77" s="46">
        <v>0</v>
      </c>
      <c r="O77" s="46">
        <v>0</v>
      </c>
      <c r="P77" s="46">
        <v>0</v>
      </c>
      <c r="Q77" s="46">
        <v>0</v>
      </c>
      <c r="R77" s="47" t="s">
        <v>55</v>
      </c>
      <c r="S77" s="33" t="s">
        <v>257</v>
      </c>
      <c r="T77" s="33" t="s">
        <v>257</v>
      </c>
      <c r="U77" s="21" t="s">
        <v>384</v>
      </c>
    </row>
    <row r="78" spans="1:21" x14ac:dyDescent="0.25">
      <c r="A78" s="33">
        <v>2013</v>
      </c>
      <c r="B78" s="44">
        <v>41440</v>
      </c>
      <c r="C78" s="45">
        <v>0.49513888888888885</v>
      </c>
      <c r="D78" s="21" t="s">
        <v>52</v>
      </c>
      <c r="E78" s="21" t="s">
        <v>257</v>
      </c>
      <c r="F78" s="33" t="s">
        <v>257</v>
      </c>
      <c r="G78" s="21" t="s">
        <v>369</v>
      </c>
      <c r="H78" s="33">
        <v>3</v>
      </c>
      <c r="I78" s="33">
        <v>0</v>
      </c>
      <c r="J78" s="33">
        <v>0</v>
      </c>
      <c r="K78" s="21" t="s">
        <v>296</v>
      </c>
      <c r="L78" s="21" t="s">
        <v>346</v>
      </c>
      <c r="N78" s="46">
        <v>0</v>
      </c>
      <c r="O78" s="46">
        <v>0</v>
      </c>
      <c r="P78" s="46">
        <v>0</v>
      </c>
      <c r="Q78" s="46">
        <v>0</v>
      </c>
      <c r="R78" s="47" t="s">
        <v>55</v>
      </c>
      <c r="S78" s="33" t="s">
        <v>257</v>
      </c>
      <c r="T78" s="33" t="s">
        <v>257</v>
      </c>
      <c r="U78" s="21" t="s">
        <v>384</v>
      </c>
    </row>
    <row r="79" spans="1:21" x14ac:dyDescent="0.25">
      <c r="A79" s="33">
        <v>2013</v>
      </c>
      <c r="B79" s="44">
        <v>41440</v>
      </c>
      <c r="C79" s="45">
        <v>0.55277777777777781</v>
      </c>
      <c r="D79" s="21" t="s">
        <v>52</v>
      </c>
      <c r="E79" s="21" t="s">
        <v>257</v>
      </c>
      <c r="F79" s="33" t="s">
        <v>257</v>
      </c>
      <c r="G79" s="21" t="s">
        <v>369</v>
      </c>
      <c r="H79" s="33">
        <v>1</v>
      </c>
      <c r="I79" s="33">
        <v>0</v>
      </c>
      <c r="J79" s="33">
        <v>0</v>
      </c>
      <c r="K79" s="21" t="s">
        <v>347</v>
      </c>
      <c r="L79" s="21" t="s">
        <v>348</v>
      </c>
      <c r="N79" s="46">
        <v>870</v>
      </c>
      <c r="O79" s="46">
        <v>430</v>
      </c>
      <c r="P79" s="46">
        <v>1300</v>
      </c>
      <c r="Q79" s="46">
        <v>1300</v>
      </c>
      <c r="R79" s="47" t="s">
        <v>53</v>
      </c>
      <c r="S79" s="33" t="s">
        <v>257</v>
      </c>
      <c r="T79" s="33" t="s">
        <v>257</v>
      </c>
      <c r="U79" s="21" t="s">
        <v>385</v>
      </c>
    </row>
    <row r="80" spans="1:21" x14ac:dyDescent="0.25">
      <c r="A80" s="33">
        <v>2013</v>
      </c>
      <c r="B80" s="44">
        <v>41441</v>
      </c>
      <c r="C80" s="45">
        <v>0.39861111111111108</v>
      </c>
      <c r="D80" s="21" t="s">
        <v>52</v>
      </c>
      <c r="E80" s="21" t="s">
        <v>217</v>
      </c>
      <c r="F80" s="33">
        <v>300</v>
      </c>
      <c r="G80" s="21" t="s">
        <v>369</v>
      </c>
      <c r="H80" s="33">
        <v>2</v>
      </c>
      <c r="I80" s="33">
        <v>0</v>
      </c>
      <c r="J80" s="33">
        <v>0</v>
      </c>
      <c r="K80" s="21" t="s">
        <v>495</v>
      </c>
      <c r="L80" s="21" t="s">
        <v>496</v>
      </c>
      <c r="N80" s="46">
        <v>0</v>
      </c>
      <c r="O80" s="46">
        <v>0</v>
      </c>
      <c r="P80" s="46">
        <v>0</v>
      </c>
      <c r="Q80" s="46">
        <v>0</v>
      </c>
      <c r="R80" s="47" t="s">
        <v>55</v>
      </c>
      <c r="S80" s="33" t="s">
        <v>257</v>
      </c>
      <c r="T80" s="33" t="s">
        <v>257</v>
      </c>
      <c r="U80" s="21" t="s">
        <v>257</v>
      </c>
    </row>
    <row r="81" spans="1:21" x14ac:dyDescent="0.25">
      <c r="A81" s="33">
        <v>2013</v>
      </c>
      <c r="B81" s="44">
        <v>41441</v>
      </c>
      <c r="C81" s="45">
        <v>0.80833333333333324</v>
      </c>
      <c r="D81" s="21" t="s">
        <v>52</v>
      </c>
      <c r="E81" s="21" t="s">
        <v>217</v>
      </c>
      <c r="F81" s="33">
        <v>450</v>
      </c>
      <c r="G81" s="21" t="s">
        <v>369</v>
      </c>
      <c r="H81" s="33">
        <v>1</v>
      </c>
      <c r="I81" s="33">
        <v>0</v>
      </c>
      <c r="J81" s="33">
        <v>0</v>
      </c>
      <c r="K81" s="21" t="s">
        <v>495</v>
      </c>
      <c r="L81" s="21" t="s">
        <v>496</v>
      </c>
      <c r="N81" s="46">
        <v>15.32</v>
      </c>
      <c r="O81" s="46">
        <v>18.66</v>
      </c>
      <c r="P81" s="46">
        <v>1.2</v>
      </c>
      <c r="Q81" s="46">
        <v>33.980000000000004</v>
      </c>
      <c r="R81" s="47" t="s">
        <v>55</v>
      </c>
      <c r="S81" s="33" t="s">
        <v>257</v>
      </c>
      <c r="T81" s="33" t="s">
        <v>257</v>
      </c>
      <c r="U81" s="21" t="s">
        <v>386</v>
      </c>
    </row>
    <row r="82" spans="1:21" x14ac:dyDescent="0.25">
      <c r="A82" s="33">
        <v>2013</v>
      </c>
      <c r="B82" s="44">
        <v>41441</v>
      </c>
      <c r="C82" s="45">
        <v>0.82013888888888886</v>
      </c>
      <c r="D82" s="21" t="s">
        <v>52</v>
      </c>
      <c r="E82" s="21" t="s">
        <v>217</v>
      </c>
      <c r="F82" s="33">
        <v>450</v>
      </c>
      <c r="G82" s="21" t="s">
        <v>369</v>
      </c>
      <c r="H82" s="33">
        <v>1</v>
      </c>
      <c r="I82" s="33">
        <v>0</v>
      </c>
      <c r="J82" s="33">
        <v>0</v>
      </c>
      <c r="K82" s="21" t="s">
        <v>495</v>
      </c>
      <c r="L82" s="21" t="s">
        <v>496</v>
      </c>
      <c r="N82" s="46">
        <v>42.11</v>
      </c>
      <c r="O82" s="46">
        <v>0</v>
      </c>
      <c r="P82" s="46">
        <v>6.1</v>
      </c>
      <c r="Q82" s="46">
        <v>42.11</v>
      </c>
      <c r="R82" s="47" t="s">
        <v>54</v>
      </c>
      <c r="S82" s="33" t="s">
        <v>257</v>
      </c>
      <c r="T82" s="33" t="s">
        <v>257</v>
      </c>
      <c r="U82" s="21" t="s">
        <v>387</v>
      </c>
    </row>
    <row r="83" spans="1:21" x14ac:dyDescent="0.25">
      <c r="A83" s="33">
        <v>2013</v>
      </c>
      <c r="B83" s="44">
        <v>41441</v>
      </c>
      <c r="C83" s="45">
        <v>0.82638888888888884</v>
      </c>
      <c r="D83" s="21" t="s">
        <v>52</v>
      </c>
      <c r="E83" s="21" t="s">
        <v>217</v>
      </c>
      <c r="F83" s="33">
        <v>450</v>
      </c>
      <c r="G83" s="21" t="s">
        <v>369</v>
      </c>
      <c r="H83" s="33">
        <v>1</v>
      </c>
      <c r="I83" s="33">
        <v>0</v>
      </c>
      <c r="J83" s="33">
        <v>0</v>
      </c>
      <c r="K83" s="21" t="s">
        <v>338</v>
      </c>
      <c r="L83" s="21" t="s">
        <v>497</v>
      </c>
      <c r="N83" s="46">
        <v>29.44</v>
      </c>
      <c r="O83" s="46">
        <v>0</v>
      </c>
      <c r="P83" s="46">
        <v>2.4</v>
      </c>
      <c r="Q83" s="46">
        <v>29.44</v>
      </c>
      <c r="R83" s="47" t="s">
        <v>53</v>
      </c>
      <c r="S83" s="33" t="s">
        <v>257</v>
      </c>
      <c r="T83" s="33" t="s">
        <v>257</v>
      </c>
      <c r="U83" s="21" t="s">
        <v>388</v>
      </c>
    </row>
    <row r="84" spans="1:21" x14ac:dyDescent="0.25">
      <c r="A84" s="33">
        <v>2013</v>
      </c>
      <c r="B84" s="44">
        <v>41441</v>
      </c>
      <c r="C84" s="45">
        <v>0.8354166666666667</v>
      </c>
      <c r="D84" s="21" t="s">
        <v>52</v>
      </c>
      <c r="E84" s="21" t="s">
        <v>217</v>
      </c>
      <c r="F84" s="33">
        <v>250</v>
      </c>
      <c r="G84" s="21" t="s">
        <v>369</v>
      </c>
      <c r="H84" s="33">
        <v>1</v>
      </c>
      <c r="I84" s="33">
        <v>0</v>
      </c>
      <c r="J84" s="33">
        <v>0</v>
      </c>
      <c r="K84" s="21" t="s">
        <v>282</v>
      </c>
      <c r="L84" s="21" t="s">
        <v>498</v>
      </c>
      <c r="N84" s="46">
        <v>44.73</v>
      </c>
      <c r="O84" s="46">
        <v>55.34</v>
      </c>
      <c r="P84" s="46" t="s">
        <v>257</v>
      </c>
      <c r="Q84" s="46">
        <v>100.07</v>
      </c>
      <c r="R84" s="47" t="s">
        <v>53</v>
      </c>
      <c r="S84" s="33" t="s">
        <v>257</v>
      </c>
      <c r="T84" s="33" t="s">
        <v>257</v>
      </c>
      <c r="U84" s="21" t="s">
        <v>389</v>
      </c>
    </row>
    <row r="85" spans="1:21" x14ac:dyDescent="0.25">
      <c r="A85" s="33">
        <v>2013</v>
      </c>
      <c r="B85" s="44">
        <v>41444</v>
      </c>
      <c r="C85" s="45">
        <v>0.86736111111111114</v>
      </c>
      <c r="D85" s="21" t="s">
        <v>52</v>
      </c>
      <c r="E85" s="21" t="s">
        <v>220</v>
      </c>
      <c r="F85" s="33">
        <v>450</v>
      </c>
      <c r="G85" s="21" t="s">
        <v>369</v>
      </c>
      <c r="H85" s="33">
        <v>1</v>
      </c>
      <c r="I85" s="33">
        <v>0</v>
      </c>
      <c r="J85" s="33">
        <v>0</v>
      </c>
      <c r="K85" s="21" t="s">
        <v>495</v>
      </c>
      <c r="L85" s="21" t="s">
        <v>499</v>
      </c>
      <c r="N85" s="46">
        <v>18.29</v>
      </c>
      <c r="O85" s="46">
        <v>0</v>
      </c>
      <c r="P85" s="46">
        <v>2.1</v>
      </c>
      <c r="Q85" s="46">
        <v>18.29</v>
      </c>
      <c r="R85" s="47" t="s">
        <v>53</v>
      </c>
      <c r="S85" s="33" t="s">
        <v>257</v>
      </c>
      <c r="T85" s="33" t="s">
        <v>257</v>
      </c>
      <c r="U85" s="21" t="s">
        <v>390</v>
      </c>
    </row>
    <row r="86" spans="1:21" x14ac:dyDescent="0.25">
      <c r="A86" s="33">
        <v>2013</v>
      </c>
      <c r="B86" s="44">
        <v>41444</v>
      </c>
      <c r="C86" s="45">
        <v>0.87847222222222221</v>
      </c>
      <c r="D86" s="21" t="s">
        <v>52</v>
      </c>
      <c r="E86" s="21" t="s">
        <v>220</v>
      </c>
      <c r="F86" s="33">
        <v>500</v>
      </c>
      <c r="G86" s="21" t="s">
        <v>369</v>
      </c>
      <c r="H86" s="33">
        <v>1</v>
      </c>
      <c r="I86" s="33">
        <v>0</v>
      </c>
      <c r="J86" s="33">
        <v>0</v>
      </c>
      <c r="K86" s="21" t="s">
        <v>358</v>
      </c>
      <c r="L86" s="21" t="s">
        <v>359</v>
      </c>
      <c r="N86" s="46">
        <v>35.74</v>
      </c>
      <c r="O86" s="46">
        <v>0</v>
      </c>
      <c r="P86" s="46">
        <v>4.0999999999999996</v>
      </c>
      <c r="Q86" s="46">
        <v>35.74</v>
      </c>
      <c r="R86" s="47" t="s">
        <v>53</v>
      </c>
      <c r="S86" s="33" t="s">
        <v>257</v>
      </c>
      <c r="T86" s="33" t="s">
        <v>257</v>
      </c>
      <c r="U86" s="21" t="s">
        <v>391</v>
      </c>
    </row>
    <row r="87" spans="1:21" x14ac:dyDescent="0.25">
      <c r="A87" s="33">
        <v>2013</v>
      </c>
      <c r="B87" s="44">
        <v>41444</v>
      </c>
      <c r="C87" s="45">
        <v>0.89236111111111116</v>
      </c>
      <c r="D87" s="21" t="s">
        <v>52</v>
      </c>
      <c r="E87" s="21" t="s">
        <v>220</v>
      </c>
      <c r="F87" s="33">
        <v>650</v>
      </c>
      <c r="G87" s="21" t="s">
        <v>369</v>
      </c>
      <c r="H87" s="33">
        <v>1</v>
      </c>
      <c r="I87" s="33">
        <v>0</v>
      </c>
      <c r="J87" s="33">
        <v>0</v>
      </c>
      <c r="K87" s="21" t="s">
        <v>495</v>
      </c>
      <c r="L87" s="21" t="s">
        <v>499</v>
      </c>
      <c r="N87" s="46">
        <v>17.329999999999998</v>
      </c>
      <c r="O87" s="46">
        <v>0</v>
      </c>
      <c r="P87" s="46">
        <v>1.2</v>
      </c>
      <c r="Q87" s="46">
        <v>17.329999999999998</v>
      </c>
      <c r="R87" s="47" t="s">
        <v>55</v>
      </c>
      <c r="S87" s="33" t="s">
        <v>257</v>
      </c>
      <c r="T87" s="33" t="s">
        <v>257</v>
      </c>
      <c r="U87" s="21" t="s">
        <v>392</v>
      </c>
    </row>
    <row r="88" spans="1:21" x14ac:dyDescent="0.25">
      <c r="A88" s="33">
        <v>2013</v>
      </c>
      <c r="B88" s="44">
        <v>41444</v>
      </c>
      <c r="C88" s="45">
        <v>0.95833333333333337</v>
      </c>
      <c r="D88" s="21" t="s">
        <v>52</v>
      </c>
      <c r="E88" s="21" t="s">
        <v>220</v>
      </c>
      <c r="F88" s="33">
        <v>300</v>
      </c>
      <c r="G88" s="21" t="s">
        <v>369</v>
      </c>
      <c r="H88" s="33">
        <v>1</v>
      </c>
      <c r="I88" s="33">
        <v>0</v>
      </c>
      <c r="J88" s="33">
        <v>0</v>
      </c>
      <c r="K88" s="21" t="s">
        <v>282</v>
      </c>
      <c r="L88" s="21" t="s">
        <v>283</v>
      </c>
      <c r="N88" s="46">
        <v>26.55</v>
      </c>
      <c r="O88" s="46">
        <v>16.27</v>
      </c>
      <c r="P88" s="46">
        <v>2.1</v>
      </c>
      <c r="Q88" s="46">
        <v>42.82</v>
      </c>
      <c r="R88" s="47" t="s">
        <v>54</v>
      </c>
      <c r="S88" s="33" t="s">
        <v>257</v>
      </c>
      <c r="T88" s="33" t="s">
        <v>257</v>
      </c>
      <c r="U88" s="21" t="s">
        <v>393</v>
      </c>
    </row>
    <row r="89" spans="1:21" x14ac:dyDescent="0.25">
      <c r="A89" s="33">
        <v>2013</v>
      </c>
      <c r="B89" s="44">
        <v>41446</v>
      </c>
      <c r="C89" s="45">
        <v>0.45763888888888887</v>
      </c>
      <c r="D89" s="21" t="s">
        <v>52</v>
      </c>
      <c r="E89" s="21" t="s">
        <v>217</v>
      </c>
      <c r="F89" s="33">
        <v>800</v>
      </c>
      <c r="G89" s="21" t="s">
        <v>369</v>
      </c>
      <c r="H89" s="33">
        <v>1</v>
      </c>
      <c r="I89" s="33">
        <v>0</v>
      </c>
      <c r="J89" s="33">
        <v>0</v>
      </c>
      <c r="K89" s="21" t="s">
        <v>347</v>
      </c>
      <c r="L89" s="21" t="s">
        <v>348</v>
      </c>
      <c r="N89" s="46">
        <v>0</v>
      </c>
      <c r="O89" s="46">
        <v>0</v>
      </c>
      <c r="P89" s="46">
        <v>0</v>
      </c>
      <c r="Q89" s="46">
        <v>0</v>
      </c>
      <c r="R89" s="47" t="s">
        <v>53</v>
      </c>
      <c r="S89" s="33" t="s">
        <v>257</v>
      </c>
      <c r="T89" s="33" t="s">
        <v>257</v>
      </c>
      <c r="U89" s="21" t="s">
        <v>394</v>
      </c>
    </row>
    <row r="90" spans="1:21" x14ac:dyDescent="0.25">
      <c r="A90" s="33">
        <v>2013</v>
      </c>
      <c r="B90" s="44">
        <v>41446</v>
      </c>
      <c r="C90" s="45">
        <v>0.59166666666666667</v>
      </c>
      <c r="D90" s="21" t="s">
        <v>52</v>
      </c>
      <c r="E90" s="21" t="s">
        <v>257</v>
      </c>
      <c r="F90" s="33" t="s">
        <v>257</v>
      </c>
      <c r="G90" s="21" t="s">
        <v>369</v>
      </c>
      <c r="H90" s="33">
        <v>1</v>
      </c>
      <c r="I90" s="33">
        <v>0</v>
      </c>
      <c r="J90" s="33">
        <v>0</v>
      </c>
      <c r="K90" s="21" t="s">
        <v>344</v>
      </c>
      <c r="L90" s="21" t="s">
        <v>345</v>
      </c>
      <c r="N90" s="46">
        <v>222.12</v>
      </c>
      <c r="O90" s="46">
        <v>25.32</v>
      </c>
      <c r="P90" s="46">
        <v>1</v>
      </c>
      <c r="Q90" s="46">
        <v>247.44</v>
      </c>
      <c r="R90" s="47" t="s">
        <v>54</v>
      </c>
      <c r="S90" s="33" t="s">
        <v>257</v>
      </c>
      <c r="T90" s="33" t="s">
        <v>257</v>
      </c>
      <c r="U90" s="21" t="s">
        <v>395</v>
      </c>
    </row>
    <row r="91" spans="1:21" x14ac:dyDescent="0.25">
      <c r="A91" s="33">
        <v>2013</v>
      </c>
      <c r="B91" s="44">
        <v>41446</v>
      </c>
      <c r="C91" s="45">
        <v>0.83333333333333337</v>
      </c>
      <c r="D91" s="21" t="s">
        <v>52</v>
      </c>
      <c r="E91" s="21" t="s">
        <v>257</v>
      </c>
      <c r="F91" s="33" t="s">
        <v>257</v>
      </c>
      <c r="G91" s="21" t="s">
        <v>369</v>
      </c>
      <c r="H91" s="33">
        <v>1</v>
      </c>
      <c r="I91" s="33">
        <v>0</v>
      </c>
      <c r="J91" s="33">
        <v>0</v>
      </c>
      <c r="K91" s="21" t="s">
        <v>300</v>
      </c>
      <c r="L91" s="21" t="s">
        <v>301</v>
      </c>
      <c r="N91" s="46">
        <v>0</v>
      </c>
      <c r="O91" s="46">
        <v>0</v>
      </c>
      <c r="P91" s="46">
        <v>0</v>
      </c>
      <c r="Q91" s="46">
        <v>0</v>
      </c>
      <c r="R91" s="47" t="s">
        <v>55</v>
      </c>
      <c r="S91" s="33" t="s">
        <v>257</v>
      </c>
      <c r="T91" s="33" t="s">
        <v>257</v>
      </c>
      <c r="U91" s="21" t="s">
        <v>396</v>
      </c>
    </row>
    <row r="92" spans="1:21" x14ac:dyDescent="0.25">
      <c r="A92" s="33">
        <v>2013</v>
      </c>
      <c r="B92" s="44">
        <v>41449</v>
      </c>
      <c r="C92" s="45">
        <v>0.50208333333333333</v>
      </c>
      <c r="D92" s="21" t="s">
        <v>52</v>
      </c>
      <c r="E92" s="21" t="s">
        <v>257</v>
      </c>
      <c r="F92" s="33" t="s">
        <v>257</v>
      </c>
      <c r="G92" s="21" t="s">
        <v>369</v>
      </c>
      <c r="H92" s="33">
        <v>1</v>
      </c>
      <c r="I92" s="33">
        <v>0</v>
      </c>
      <c r="J92" s="33">
        <v>0</v>
      </c>
      <c r="K92" s="21" t="s">
        <v>286</v>
      </c>
      <c r="L92" s="21" t="s">
        <v>287</v>
      </c>
      <c r="N92" s="46">
        <v>192.76</v>
      </c>
      <c r="O92" s="46">
        <v>47.82</v>
      </c>
      <c r="P92" s="46">
        <v>8.1</v>
      </c>
      <c r="Q92" s="46">
        <v>240.57999999999998</v>
      </c>
      <c r="R92" s="47" t="s">
        <v>53</v>
      </c>
      <c r="S92" s="33" t="s">
        <v>257</v>
      </c>
      <c r="T92" s="33" t="s">
        <v>257</v>
      </c>
      <c r="U92" s="21" t="s">
        <v>397</v>
      </c>
    </row>
    <row r="93" spans="1:21" x14ac:dyDescent="0.25">
      <c r="A93" s="33">
        <v>2013</v>
      </c>
      <c r="B93" s="44">
        <v>41449</v>
      </c>
      <c r="C93" s="45">
        <v>0.52083333333333337</v>
      </c>
      <c r="D93" s="21" t="s">
        <v>52</v>
      </c>
      <c r="E93" s="21" t="s">
        <v>218</v>
      </c>
      <c r="F93" s="33">
        <v>1600</v>
      </c>
      <c r="G93" s="21" t="s">
        <v>369</v>
      </c>
      <c r="H93" s="33">
        <v>1</v>
      </c>
      <c r="I93" s="33">
        <v>0</v>
      </c>
      <c r="J93" s="33">
        <v>0</v>
      </c>
      <c r="K93" s="21" t="s">
        <v>500</v>
      </c>
      <c r="L93" s="21" t="s">
        <v>501</v>
      </c>
      <c r="N93" s="46">
        <v>69.05</v>
      </c>
      <c r="O93" s="46">
        <v>87.76</v>
      </c>
      <c r="P93" s="46">
        <v>4.4000000000000004</v>
      </c>
      <c r="Q93" s="46">
        <v>156.81</v>
      </c>
      <c r="R93" s="47" t="s">
        <v>54</v>
      </c>
      <c r="S93" s="33" t="s">
        <v>257</v>
      </c>
      <c r="T93" s="33" t="s">
        <v>257</v>
      </c>
      <c r="U93" s="21" t="s">
        <v>398</v>
      </c>
    </row>
    <row r="94" spans="1:21" x14ac:dyDescent="0.25">
      <c r="A94" s="33">
        <v>2013</v>
      </c>
      <c r="B94" s="44">
        <v>41449</v>
      </c>
      <c r="C94" s="45">
        <v>0.63958333333333328</v>
      </c>
      <c r="D94" s="21" t="s">
        <v>52</v>
      </c>
      <c r="E94" s="21" t="s">
        <v>257</v>
      </c>
      <c r="F94" s="33" t="s">
        <v>257</v>
      </c>
      <c r="G94" s="21" t="s">
        <v>369</v>
      </c>
      <c r="H94" s="33">
        <v>1</v>
      </c>
      <c r="I94" s="33">
        <v>0</v>
      </c>
      <c r="J94" s="33">
        <v>0</v>
      </c>
      <c r="K94" s="21" t="s">
        <v>288</v>
      </c>
      <c r="L94" s="21" t="s">
        <v>343</v>
      </c>
      <c r="N94" s="46">
        <v>41.66</v>
      </c>
      <c r="O94" s="46">
        <v>99.32</v>
      </c>
      <c r="P94" s="46">
        <v>2.1</v>
      </c>
      <c r="Q94" s="46">
        <v>140.97999999999999</v>
      </c>
      <c r="R94" s="47" t="s">
        <v>54</v>
      </c>
      <c r="S94" s="33" t="s">
        <v>257</v>
      </c>
      <c r="T94" s="33" t="s">
        <v>257</v>
      </c>
      <c r="U94" s="21" t="s">
        <v>399</v>
      </c>
    </row>
    <row r="95" spans="1:21" x14ac:dyDescent="0.25">
      <c r="A95" s="33">
        <v>2013</v>
      </c>
      <c r="B95" s="44">
        <v>41449</v>
      </c>
      <c r="C95" s="45">
        <v>0.64374999999999993</v>
      </c>
      <c r="D95" s="21" t="s">
        <v>52</v>
      </c>
      <c r="E95" s="21" t="s">
        <v>257</v>
      </c>
      <c r="F95" s="33" t="s">
        <v>257</v>
      </c>
      <c r="G95" s="21" t="s">
        <v>369</v>
      </c>
      <c r="H95" s="33">
        <v>1</v>
      </c>
      <c r="I95" s="33">
        <v>0</v>
      </c>
      <c r="J95" s="33">
        <v>0</v>
      </c>
      <c r="K95" s="21" t="s">
        <v>300</v>
      </c>
      <c r="L95" s="21" t="s">
        <v>301</v>
      </c>
      <c r="N95" s="46">
        <v>38</v>
      </c>
      <c r="O95" s="46">
        <v>0</v>
      </c>
      <c r="P95" s="46">
        <v>5.0999999999999996</v>
      </c>
      <c r="Q95" s="46">
        <v>38</v>
      </c>
      <c r="R95" s="47" t="s">
        <v>54</v>
      </c>
      <c r="S95" s="33" t="s">
        <v>257</v>
      </c>
      <c r="T95" s="33" t="s">
        <v>257</v>
      </c>
      <c r="U95" s="21" t="s">
        <v>400</v>
      </c>
    </row>
    <row r="96" spans="1:21" x14ac:dyDescent="0.25">
      <c r="A96" s="33">
        <v>2013</v>
      </c>
      <c r="B96" s="44">
        <v>41449</v>
      </c>
      <c r="C96" s="45">
        <v>0.68055555555555547</v>
      </c>
      <c r="D96" s="21" t="s">
        <v>52</v>
      </c>
      <c r="E96" s="21" t="s">
        <v>257</v>
      </c>
      <c r="F96" s="33" t="s">
        <v>257</v>
      </c>
      <c r="G96" s="21" t="s">
        <v>369</v>
      </c>
      <c r="H96" s="33">
        <v>1</v>
      </c>
      <c r="I96" s="33">
        <v>0</v>
      </c>
      <c r="J96" s="33">
        <v>0</v>
      </c>
      <c r="K96" s="21" t="s">
        <v>300</v>
      </c>
      <c r="L96" s="21" t="s">
        <v>301</v>
      </c>
      <c r="N96" s="46">
        <v>37.57</v>
      </c>
      <c r="O96" s="46">
        <v>0</v>
      </c>
      <c r="P96" s="46">
        <v>2.2000000000000002</v>
      </c>
      <c r="Q96" s="46">
        <v>37.57</v>
      </c>
      <c r="R96" s="47" t="s">
        <v>53</v>
      </c>
      <c r="S96" s="33" t="s">
        <v>257</v>
      </c>
      <c r="T96" s="33" t="s">
        <v>257</v>
      </c>
      <c r="U96" s="21" t="s">
        <v>380</v>
      </c>
    </row>
    <row r="97" spans="1:21" x14ac:dyDescent="0.25">
      <c r="A97" s="33">
        <v>2013</v>
      </c>
      <c r="B97" s="44">
        <v>41451</v>
      </c>
      <c r="C97" s="45">
        <v>0.41666666666666669</v>
      </c>
      <c r="D97" s="21" t="s">
        <v>47</v>
      </c>
      <c r="E97" s="21" t="s">
        <v>257</v>
      </c>
      <c r="F97" s="33" t="s">
        <v>257</v>
      </c>
      <c r="G97" s="21" t="s">
        <v>369</v>
      </c>
      <c r="H97" s="33">
        <v>1</v>
      </c>
      <c r="I97" s="33">
        <v>0</v>
      </c>
      <c r="J97" s="33">
        <v>0</v>
      </c>
      <c r="K97" s="21" t="s">
        <v>502</v>
      </c>
      <c r="L97" s="21" t="s">
        <v>503</v>
      </c>
      <c r="N97" s="46">
        <v>1400</v>
      </c>
      <c r="O97" s="46">
        <v>330</v>
      </c>
      <c r="P97" s="46">
        <v>0</v>
      </c>
      <c r="Q97" s="46">
        <v>1730</v>
      </c>
      <c r="R97" s="47" t="s">
        <v>54</v>
      </c>
      <c r="S97" s="33" t="s">
        <v>257</v>
      </c>
      <c r="T97" s="33" t="s">
        <v>257</v>
      </c>
      <c r="U97" s="21" t="s">
        <v>401</v>
      </c>
    </row>
    <row r="98" spans="1:21" x14ac:dyDescent="0.25">
      <c r="A98" s="33">
        <v>2013</v>
      </c>
      <c r="B98" s="44">
        <v>41451</v>
      </c>
      <c r="C98" s="45">
        <v>0.40277777777777773</v>
      </c>
      <c r="D98" s="21" t="s">
        <v>47</v>
      </c>
      <c r="E98" s="21" t="s">
        <v>235</v>
      </c>
      <c r="F98" s="33">
        <v>0</v>
      </c>
      <c r="G98" s="21" t="s">
        <v>369</v>
      </c>
      <c r="H98" s="33">
        <v>1</v>
      </c>
      <c r="I98" s="33">
        <v>0</v>
      </c>
      <c r="J98" s="33">
        <v>0</v>
      </c>
      <c r="K98" s="21" t="s">
        <v>347</v>
      </c>
      <c r="L98" s="21" t="s">
        <v>348</v>
      </c>
      <c r="N98" s="46">
        <v>1350</v>
      </c>
      <c r="O98" s="46">
        <v>445</v>
      </c>
      <c r="P98" s="46">
        <v>0</v>
      </c>
      <c r="Q98" s="46">
        <v>1795</v>
      </c>
      <c r="R98" s="47" t="s">
        <v>53</v>
      </c>
      <c r="S98" s="33" t="s">
        <v>257</v>
      </c>
      <c r="T98" s="33" t="s">
        <v>257</v>
      </c>
      <c r="U98" s="21" t="s">
        <v>402</v>
      </c>
    </row>
    <row r="99" spans="1:21" x14ac:dyDescent="0.25">
      <c r="A99" s="33">
        <v>2013</v>
      </c>
      <c r="B99" s="44">
        <v>41452</v>
      </c>
      <c r="C99" s="45">
        <v>0.80555555555555547</v>
      </c>
      <c r="D99" s="21" t="s">
        <v>47</v>
      </c>
      <c r="E99" s="21" t="s">
        <v>235</v>
      </c>
      <c r="F99" s="33">
        <v>0</v>
      </c>
      <c r="G99" s="21" t="s">
        <v>369</v>
      </c>
      <c r="H99" s="33">
        <v>1</v>
      </c>
      <c r="I99" s="33">
        <v>0</v>
      </c>
      <c r="J99" s="33">
        <v>0</v>
      </c>
      <c r="K99" s="21" t="s">
        <v>504</v>
      </c>
      <c r="L99" s="21" t="s">
        <v>505</v>
      </c>
      <c r="N99" s="46">
        <v>326</v>
      </c>
      <c r="O99" s="46">
        <v>60</v>
      </c>
      <c r="P99" s="46">
        <v>34.4</v>
      </c>
      <c r="Q99" s="46">
        <v>386</v>
      </c>
      <c r="R99" s="47" t="s">
        <v>54</v>
      </c>
      <c r="S99" s="33" t="s">
        <v>257</v>
      </c>
      <c r="T99" s="33" t="s">
        <v>257</v>
      </c>
      <c r="U99" s="21" t="s">
        <v>403</v>
      </c>
    </row>
    <row r="100" spans="1:21" x14ac:dyDescent="0.25">
      <c r="A100" s="33">
        <v>2013</v>
      </c>
      <c r="B100" s="44">
        <v>41452</v>
      </c>
      <c r="C100" s="45">
        <v>0.80763888888888891</v>
      </c>
      <c r="D100" s="21" t="s">
        <v>47</v>
      </c>
      <c r="E100" s="21" t="s">
        <v>257</v>
      </c>
      <c r="F100" s="33" t="s">
        <v>257</v>
      </c>
      <c r="G100" s="21" t="s">
        <v>369</v>
      </c>
      <c r="H100" s="33">
        <v>1</v>
      </c>
      <c r="I100" s="33">
        <v>0</v>
      </c>
      <c r="J100" s="33">
        <v>0</v>
      </c>
      <c r="K100" s="21" t="s">
        <v>351</v>
      </c>
      <c r="L100" s="21" t="s">
        <v>352</v>
      </c>
      <c r="N100" s="46">
        <v>253</v>
      </c>
      <c r="O100" s="46">
        <v>90</v>
      </c>
      <c r="P100" s="46">
        <v>5.2</v>
      </c>
      <c r="Q100" s="46">
        <v>343</v>
      </c>
      <c r="R100" s="47" t="s">
        <v>55</v>
      </c>
      <c r="S100" s="33" t="s">
        <v>257</v>
      </c>
      <c r="T100" s="33" t="s">
        <v>257</v>
      </c>
      <c r="U100" s="21" t="s">
        <v>404</v>
      </c>
    </row>
    <row r="101" spans="1:21" x14ac:dyDescent="0.25">
      <c r="A101" s="33">
        <v>2013</v>
      </c>
      <c r="B101" s="44">
        <v>41452</v>
      </c>
      <c r="C101" s="45">
        <v>0.96875</v>
      </c>
      <c r="D101" s="21" t="s">
        <v>47</v>
      </c>
      <c r="E101" s="21" t="s">
        <v>257</v>
      </c>
      <c r="F101" s="33">
        <v>3</v>
      </c>
      <c r="G101" s="21" t="s">
        <v>369</v>
      </c>
      <c r="H101" s="33">
        <v>1</v>
      </c>
      <c r="I101" s="33">
        <v>1</v>
      </c>
      <c r="J101" s="33">
        <v>0</v>
      </c>
      <c r="K101" s="21" t="s">
        <v>288</v>
      </c>
      <c r="L101" s="21" t="s">
        <v>506</v>
      </c>
      <c r="N101" s="46">
        <v>32.78</v>
      </c>
      <c r="O101" s="46">
        <v>74.17</v>
      </c>
      <c r="P101" s="46">
        <v>1.4</v>
      </c>
      <c r="Q101" s="46">
        <v>106.95</v>
      </c>
      <c r="R101" s="47" t="s">
        <v>53</v>
      </c>
      <c r="S101" s="33" t="s">
        <v>257</v>
      </c>
      <c r="T101" s="33" t="s">
        <v>257</v>
      </c>
      <c r="U101" s="21" t="s">
        <v>405</v>
      </c>
    </row>
    <row r="102" spans="1:21" x14ac:dyDescent="0.25">
      <c r="A102" s="33">
        <v>2013</v>
      </c>
      <c r="B102" s="44">
        <v>41452</v>
      </c>
      <c r="C102" s="45">
        <v>0.97222222222222221</v>
      </c>
      <c r="D102" s="21" t="s">
        <v>47</v>
      </c>
      <c r="E102" s="21" t="s">
        <v>257</v>
      </c>
      <c r="F102" s="33">
        <v>8</v>
      </c>
      <c r="G102" s="21" t="s">
        <v>369</v>
      </c>
      <c r="H102" s="33">
        <v>1</v>
      </c>
      <c r="I102" s="33">
        <v>1</v>
      </c>
      <c r="J102" s="33">
        <v>0</v>
      </c>
      <c r="K102" s="21" t="s">
        <v>288</v>
      </c>
      <c r="L102" s="21" t="s">
        <v>506</v>
      </c>
      <c r="N102" s="46">
        <v>40.229999999999997</v>
      </c>
      <c r="O102" s="46">
        <v>101.78</v>
      </c>
      <c r="P102" s="46">
        <v>2.8</v>
      </c>
      <c r="Q102" s="46">
        <v>142.01</v>
      </c>
      <c r="R102" s="47" t="s">
        <v>53</v>
      </c>
      <c r="S102" s="33" t="s">
        <v>257</v>
      </c>
      <c r="T102" s="33" t="s">
        <v>257</v>
      </c>
      <c r="U102" s="21" t="s">
        <v>406</v>
      </c>
    </row>
    <row r="103" spans="1:21" x14ac:dyDescent="0.25">
      <c r="A103" s="33">
        <v>2013</v>
      </c>
      <c r="B103" s="44">
        <v>41453</v>
      </c>
      <c r="C103" s="45">
        <v>0.41666666666666669</v>
      </c>
      <c r="D103" s="21" t="s">
        <v>47</v>
      </c>
      <c r="E103" s="21" t="s">
        <v>235</v>
      </c>
      <c r="F103" s="33">
        <v>300</v>
      </c>
      <c r="G103" s="21" t="s">
        <v>369</v>
      </c>
      <c r="H103" s="33">
        <v>1</v>
      </c>
      <c r="I103" s="33">
        <v>0</v>
      </c>
      <c r="J103" s="33">
        <v>0</v>
      </c>
      <c r="K103" s="21" t="s">
        <v>300</v>
      </c>
      <c r="L103" s="21" t="s">
        <v>301</v>
      </c>
      <c r="N103" s="46">
        <v>25.81</v>
      </c>
      <c r="O103" s="46">
        <v>0</v>
      </c>
      <c r="P103" s="46">
        <v>2.2999999999999998</v>
      </c>
      <c r="Q103" s="46">
        <v>25.81</v>
      </c>
      <c r="R103" s="47" t="s">
        <v>53</v>
      </c>
      <c r="S103" s="33" t="s">
        <v>257</v>
      </c>
      <c r="T103" s="33" t="s">
        <v>257</v>
      </c>
      <c r="U103" s="21" t="s">
        <v>257</v>
      </c>
    </row>
    <row r="104" spans="1:21" x14ac:dyDescent="0.25">
      <c r="A104" s="33">
        <v>2013</v>
      </c>
      <c r="B104" s="44">
        <v>41453</v>
      </c>
      <c r="C104" s="45">
        <v>0.46180555555555558</v>
      </c>
      <c r="D104" s="21" t="s">
        <v>47</v>
      </c>
      <c r="E104" s="21" t="s">
        <v>235</v>
      </c>
      <c r="F104" s="33">
        <v>320</v>
      </c>
      <c r="G104" s="21" t="s">
        <v>369</v>
      </c>
      <c r="H104" s="33">
        <v>1</v>
      </c>
      <c r="I104" s="33">
        <v>0</v>
      </c>
      <c r="J104" s="33">
        <v>0</v>
      </c>
      <c r="K104" s="21" t="s">
        <v>300</v>
      </c>
      <c r="L104" s="21" t="s">
        <v>301</v>
      </c>
      <c r="N104" s="46">
        <v>35.159999999999997</v>
      </c>
      <c r="O104" s="46">
        <v>0</v>
      </c>
      <c r="P104" s="46">
        <v>3.1</v>
      </c>
      <c r="Q104" s="46">
        <v>35.159999999999997</v>
      </c>
      <c r="R104" s="47" t="s">
        <v>54</v>
      </c>
      <c r="S104" s="33" t="s">
        <v>257</v>
      </c>
      <c r="T104" s="33" t="s">
        <v>257</v>
      </c>
      <c r="U104" s="21" t="s">
        <v>257</v>
      </c>
    </row>
    <row r="105" spans="1:21" x14ac:dyDescent="0.25">
      <c r="A105" s="33">
        <v>2013</v>
      </c>
      <c r="B105" s="44">
        <v>41453</v>
      </c>
      <c r="C105" s="45">
        <v>0.47569444444444442</v>
      </c>
      <c r="D105" s="21" t="s">
        <v>47</v>
      </c>
      <c r="E105" s="21" t="s">
        <v>235</v>
      </c>
      <c r="F105" s="33">
        <v>390</v>
      </c>
      <c r="G105" s="21" t="s">
        <v>369</v>
      </c>
      <c r="H105" s="33">
        <v>1</v>
      </c>
      <c r="I105" s="33">
        <v>0</v>
      </c>
      <c r="J105" s="33">
        <v>0</v>
      </c>
      <c r="K105" s="21" t="s">
        <v>288</v>
      </c>
      <c r="L105" s="21" t="s">
        <v>506</v>
      </c>
      <c r="N105" s="46">
        <v>33.880000000000003</v>
      </c>
      <c r="O105" s="46">
        <v>72.209999999999994</v>
      </c>
      <c r="P105" s="46">
        <v>1.5</v>
      </c>
      <c r="Q105" s="46">
        <v>106.09</v>
      </c>
      <c r="R105" s="47" t="s">
        <v>54</v>
      </c>
      <c r="S105" s="33" t="s">
        <v>257</v>
      </c>
      <c r="T105" s="33" t="s">
        <v>257</v>
      </c>
      <c r="U105" s="21" t="s">
        <v>257</v>
      </c>
    </row>
    <row r="106" spans="1:21" x14ac:dyDescent="0.25">
      <c r="A106" s="33">
        <v>2013</v>
      </c>
      <c r="B106" s="44">
        <v>41455</v>
      </c>
      <c r="C106" s="45">
        <v>0.50694444444444442</v>
      </c>
      <c r="D106" s="21" t="s">
        <v>47</v>
      </c>
      <c r="E106" s="21" t="s">
        <v>235</v>
      </c>
      <c r="F106" s="33">
        <v>200</v>
      </c>
      <c r="G106" s="21" t="s">
        <v>369</v>
      </c>
      <c r="H106" s="33">
        <v>1</v>
      </c>
      <c r="I106" s="33">
        <v>0</v>
      </c>
      <c r="J106" s="33">
        <v>0</v>
      </c>
      <c r="K106" s="21" t="s">
        <v>347</v>
      </c>
      <c r="L106" s="21" t="s">
        <v>348</v>
      </c>
      <c r="N106" s="46">
        <v>350</v>
      </c>
      <c r="O106" s="46">
        <v>160</v>
      </c>
      <c r="P106" s="46">
        <v>0</v>
      </c>
      <c r="Q106" s="46">
        <v>510</v>
      </c>
      <c r="R106" s="47" t="s">
        <v>55</v>
      </c>
      <c r="S106" s="33" t="s">
        <v>257</v>
      </c>
      <c r="T106" s="33" t="s">
        <v>257</v>
      </c>
      <c r="U106" s="21" t="s">
        <v>407</v>
      </c>
    </row>
    <row r="107" spans="1:21" x14ac:dyDescent="0.25">
      <c r="A107" s="33">
        <v>2013</v>
      </c>
      <c r="B107" s="44">
        <v>41455</v>
      </c>
      <c r="C107" s="45">
        <v>0.78125</v>
      </c>
      <c r="D107" s="21" t="s">
        <v>47</v>
      </c>
      <c r="E107" s="21" t="s">
        <v>257</v>
      </c>
      <c r="F107" s="33">
        <v>20</v>
      </c>
      <c r="G107" s="21" t="s">
        <v>369</v>
      </c>
      <c r="H107" s="33">
        <v>1</v>
      </c>
      <c r="I107" s="33">
        <v>0</v>
      </c>
      <c r="J107" s="33">
        <v>0</v>
      </c>
      <c r="K107" s="21" t="s">
        <v>360</v>
      </c>
      <c r="L107" s="21" t="s">
        <v>361</v>
      </c>
      <c r="N107" s="46">
        <v>1330</v>
      </c>
      <c r="O107" s="46">
        <v>500</v>
      </c>
      <c r="P107" s="46">
        <v>0</v>
      </c>
      <c r="Q107" s="46">
        <v>1830</v>
      </c>
      <c r="R107" s="47" t="s">
        <v>55</v>
      </c>
      <c r="S107" s="33" t="s">
        <v>257</v>
      </c>
      <c r="T107" s="33" t="s">
        <v>257</v>
      </c>
      <c r="U107" s="21" t="s">
        <v>408</v>
      </c>
    </row>
    <row r="108" spans="1:21" x14ac:dyDescent="0.25">
      <c r="A108" s="33">
        <v>2013</v>
      </c>
      <c r="B108" s="44">
        <v>41455</v>
      </c>
      <c r="C108" s="45">
        <v>0.79861111111111116</v>
      </c>
      <c r="D108" s="21" t="s">
        <v>47</v>
      </c>
      <c r="E108" s="21" t="s">
        <v>235</v>
      </c>
      <c r="F108" s="33">
        <v>200</v>
      </c>
      <c r="G108" s="21" t="s">
        <v>369</v>
      </c>
      <c r="H108" s="33">
        <v>1</v>
      </c>
      <c r="I108" s="33">
        <v>1</v>
      </c>
      <c r="J108" s="33">
        <v>0</v>
      </c>
      <c r="K108" s="21" t="s">
        <v>288</v>
      </c>
      <c r="L108" s="21" t="s">
        <v>506</v>
      </c>
      <c r="N108" s="46">
        <v>39.36</v>
      </c>
      <c r="O108" s="46">
        <v>82.05</v>
      </c>
      <c r="P108" s="46">
        <v>2.4</v>
      </c>
      <c r="Q108" s="46">
        <v>121.41</v>
      </c>
      <c r="R108" s="47" t="s">
        <v>54</v>
      </c>
      <c r="S108" s="33" t="s">
        <v>257</v>
      </c>
      <c r="T108" s="33" t="s">
        <v>257</v>
      </c>
      <c r="U108" s="21" t="s">
        <v>409</v>
      </c>
    </row>
    <row r="109" spans="1:21" x14ac:dyDescent="0.25">
      <c r="A109" s="33">
        <v>2013</v>
      </c>
      <c r="B109" s="44">
        <v>41455</v>
      </c>
      <c r="C109" s="45">
        <v>0.90277777777777779</v>
      </c>
      <c r="D109" s="21" t="s">
        <v>47</v>
      </c>
      <c r="E109" s="21" t="s">
        <v>257</v>
      </c>
      <c r="F109" s="33">
        <v>50</v>
      </c>
      <c r="G109" s="21" t="s">
        <v>369</v>
      </c>
      <c r="H109" s="33">
        <v>1</v>
      </c>
      <c r="I109" s="33">
        <v>1</v>
      </c>
      <c r="J109" s="33">
        <v>0</v>
      </c>
      <c r="K109" s="21" t="s">
        <v>282</v>
      </c>
      <c r="L109" s="21" t="s">
        <v>293</v>
      </c>
      <c r="N109" s="46">
        <v>66.83</v>
      </c>
      <c r="O109" s="46">
        <v>51.68</v>
      </c>
      <c r="P109" s="46">
        <v>9.1999999999999993</v>
      </c>
      <c r="Q109" s="46">
        <v>118.50999999999999</v>
      </c>
      <c r="R109" s="47" t="s">
        <v>53</v>
      </c>
      <c r="S109" s="33" t="s">
        <v>257</v>
      </c>
      <c r="T109" s="33" t="s">
        <v>257</v>
      </c>
      <c r="U109" s="21" t="s">
        <v>410</v>
      </c>
    </row>
    <row r="110" spans="1:21" x14ac:dyDescent="0.25">
      <c r="A110" s="33">
        <v>2013</v>
      </c>
      <c r="B110" s="44">
        <v>41455</v>
      </c>
      <c r="C110" s="45">
        <v>0.92361111111111116</v>
      </c>
      <c r="D110" s="21" t="s">
        <v>47</v>
      </c>
      <c r="E110" s="21" t="s">
        <v>235</v>
      </c>
      <c r="F110" s="33">
        <v>300</v>
      </c>
      <c r="G110" s="21" t="s">
        <v>369</v>
      </c>
      <c r="H110" s="33">
        <v>1</v>
      </c>
      <c r="I110" s="33">
        <v>1</v>
      </c>
      <c r="J110" s="33">
        <v>0</v>
      </c>
      <c r="K110" s="21" t="s">
        <v>507</v>
      </c>
      <c r="L110" s="21" t="s">
        <v>508</v>
      </c>
      <c r="N110" s="46">
        <v>49.61</v>
      </c>
      <c r="O110" s="46">
        <v>53.5</v>
      </c>
      <c r="P110" s="46">
        <v>3</v>
      </c>
      <c r="Q110" s="46">
        <v>103.11</v>
      </c>
      <c r="R110" s="47" t="s">
        <v>54</v>
      </c>
      <c r="S110" s="33" t="s">
        <v>257</v>
      </c>
      <c r="T110" s="33" t="s">
        <v>257</v>
      </c>
      <c r="U110" s="21" t="s">
        <v>411</v>
      </c>
    </row>
    <row r="111" spans="1:21" x14ac:dyDescent="0.25">
      <c r="A111" s="33">
        <v>2013</v>
      </c>
      <c r="B111" s="44">
        <v>41455</v>
      </c>
      <c r="C111" s="45">
        <v>0.92361111111111116</v>
      </c>
      <c r="D111" s="21" t="s">
        <v>47</v>
      </c>
      <c r="E111" s="21" t="s">
        <v>257</v>
      </c>
      <c r="F111" s="33">
        <v>150</v>
      </c>
      <c r="G111" s="21" t="s">
        <v>369</v>
      </c>
      <c r="H111" s="33">
        <v>1</v>
      </c>
      <c r="I111" s="33">
        <v>1</v>
      </c>
      <c r="J111" s="33">
        <v>0</v>
      </c>
      <c r="K111" s="21" t="s">
        <v>358</v>
      </c>
      <c r="L111" s="21" t="s">
        <v>359</v>
      </c>
      <c r="N111" s="46">
        <v>56.22</v>
      </c>
      <c r="O111" s="46">
        <v>0</v>
      </c>
      <c r="P111" s="46">
        <v>7.6</v>
      </c>
      <c r="Q111" s="46">
        <v>56.22</v>
      </c>
      <c r="R111" s="47" t="s">
        <v>53</v>
      </c>
      <c r="S111" s="33" t="s">
        <v>257</v>
      </c>
      <c r="T111" s="33" t="s">
        <v>257</v>
      </c>
      <c r="U111" s="21" t="s">
        <v>412</v>
      </c>
    </row>
    <row r="112" spans="1:21" x14ac:dyDescent="0.25">
      <c r="A112" s="33">
        <v>2013</v>
      </c>
      <c r="B112" s="44">
        <v>41455</v>
      </c>
      <c r="C112" s="45">
        <v>0.95833333333333337</v>
      </c>
      <c r="D112" s="21" t="s">
        <v>47</v>
      </c>
      <c r="E112" s="21" t="s">
        <v>257</v>
      </c>
      <c r="F112" s="33">
        <v>50</v>
      </c>
      <c r="G112" s="21" t="s">
        <v>369</v>
      </c>
      <c r="H112" s="33">
        <v>2</v>
      </c>
      <c r="I112" s="33">
        <v>0</v>
      </c>
      <c r="J112" s="33">
        <v>0</v>
      </c>
      <c r="K112" s="21" t="s">
        <v>282</v>
      </c>
      <c r="L112" s="21" t="s">
        <v>293</v>
      </c>
      <c r="N112" s="46">
        <v>58.06</v>
      </c>
      <c r="O112" s="46">
        <v>40.299999999999997</v>
      </c>
      <c r="P112" s="46">
        <v>7.6</v>
      </c>
      <c r="Q112" s="46">
        <v>98.36</v>
      </c>
      <c r="R112" s="47" t="s">
        <v>55</v>
      </c>
      <c r="S112" s="33" t="s">
        <v>257</v>
      </c>
      <c r="T112" s="33" t="s">
        <v>257</v>
      </c>
      <c r="U112" s="21" t="s">
        <v>257</v>
      </c>
    </row>
    <row r="113" spans="1:21" x14ac:dyDescent="0.25">
      <c r="A113" s="33">
        <v>2013</v>
      </c>
      <c r="B113" s="44">
        <v>41456</v>
      </c>
      <c r="C113" s="45">
        <v>0.84027777777777779</v>
      </c>
      <c r="D113" s="21" t="s">
        <v>47</v>
      </c>
      <c r="E113" s="21" t="s">
        <v>237</v>
      </c>
      <c r="F113" s="33">
        <v>50</v>
      </c>
      <c r="G113" s="21" t="s">
        <v>369</v>
      </c>
      <c r="H113" s="33">
        <v>1</v>
      </c>
      <c r="I113" s="33">
        <v>0</v>
      </c>
      <c r="J113" s="33">
        <v>0</v>
      </c>
      <c r="K113" s="21" t="s">
        <v>300</v>
      </c>
      <c r="L113" s="21" t="s">
        <v>301</v>
      </c>
      <c r="N113" s="46">
        <v>29.29</v>
      </c>
      <c r="O113" s="46">
        <v>0</v>
      </c>
      <c r="P113" s="46">
        <v>2.2000000000000002</v>
      </c>
      <c r="Q113" s="46">
        <v>29.29</v>
      </c>
      <c r="R113" s="47" t="s">
        <v>53</v>
      </c>
      <c r="S113" s="33" t="s">
        <v>257</v>
      </c>
      <c r="T113" s="33" t="s">
        <v>257</v>
      </c>
      <c r="U113" s="21" t="s">
        <v>257</v>
      </c>
    </row>
    <row r="114" spans="1:21" x14ac:dyDescent="0.25">
      <c r="A114" s="33">
        <v>2013</v>
      </c>
      <c r="B114" s="44">
        <v>41456</v>
      </c>
      <c r="C114" s="45">
        <v>0.84930555555555554</v>
      </c>
      <c r="D114" s="21" t="s">
        <v>47</v>
      </c>
      <c r="E114" s="21" t="s">
        <v>373</v>
      </c>
      <c r="F114" s="33">
        <v>68</v>
      </c>
      <c r="G114" s="21" t="s">
        <v>369</v>
      </c>
      <c r="H114" s="33">
        <v>1</v>
      </c>
      <c r="I114" s="33">
        <v>0</v>
      </c>
      <c r="J114" s="33">
        <v>0</v>
      </c>
      <c r="K114" s="21" t="s">
        <v>300</v>
      </c>
      <c r="L114" s="21" t="s">
        <v>301</v>
      </c>
      <c r="N114" s="46">
        <v>29.3</v>
      </c>
      <c r="O114" s="46">
        <v>0</v>
      </c>
      <c r="P114" s="46">
        <v>2.2999999999999998</v>
      </c>
      <c r="Q114" s="46">
        <v>29.3</v>
      </c>
      <c r="R114" s="47" t="s">
        <v>53</v>
      </c>
      <c r="S114" s="33" t="s">
        <v>257</v>
      </c>
      <c r="T114" s="33" t="s">
        <v>257</v>
      </c>
      <c r="U114" s="21" t="s">
        <v>257</v>
      </c>
    </row>
    <row r="115" spans="1:21" x14ac:dyDescent="0.25">
      <c r="A115" s="33">
        <v>2013</v>
      </c>
      <c r="B115" s="44">
        <v>41456</v>
      </c>
      <c r="C115" s="45">
        <v>0.85069444444444453</v>
      </c>
      <c r="D115" s="21" t="s">
        <v>47</v>
      </c>
      <c r="E115" s="21" t="s">
        <v>237</v>
      </c>
      <c r="F115" s="33">
        <v>100</v>
      </c>
      <c r="G115" s="21" t="s">
        <v>369</v>
      </c>
      <c r="H115" s="33">
        <v>1</v>
      </c>
      <c r="I115" s="33">
        <v>0</v>
      </c>
      <c r="J115" s="33">
        <v>0</v>
      </c>
      <c r="K115" s="21" t="s">
        <v>300</v>
      </c>
      <c r="L115" s="21" t="s">
        <v>301</v>
      </c>
      <c r="N115" s="46">
        <v>0</v>
      </c>
      <c r="O115" s="46">
        <v>0</v>
      </c>
      <c r="P115" s="46">
        <v>0</v>
      </c>
      <c r="Q115" s="46">
        <v>0</v>
      </c>
      <c r="R115" s="47" t="s">
        <v>55</v>
      </c>
      <c r="S115" s="33" t="s">
        <v>257</v>
      </c>
      <c r="T115" s="33" t="s">
        <v>257</v>
      </c>
      <c r="U115" s="21" t="s">
        <v>413</v>
      </c>
    </row>
    <row r="116" spans="1:21" x14ac:dyDescent="0.25">
      <c r="A116" s="33">
        <v>2013</v>
      </c>
      <c r="B116" s="44">
        <v>41456</v>
      </c>
      <c r="C116" s="45">
        <v>0.8520833333333333</v>
      </c>
      <c r="D116" s="21" t="s">
        <v>47</v>
      </c>
      <c r="E116" s="21" t="s">
        <v>237</v>
      </c>
      <c r="F116" s="33">
        <v>110</v>
      </c>
      <c r="G116" s="21" t="s">
        <v>369</v>
      </c>
      <c r="H116" s="33">
        <v>1</v>
      </c>
      <c r="I116" s="33">
        <v>0</v>
      </c>
      <c r="J116" s="33">
        <v>0</v>
      </c>
      <c r="K116" s="21" t="s">
        <v>282</v>
      </c>
      <c r="L116" s="21" t="s">
        <v>509</v>
      </c>
      <c r="N116" s="46">
        <v>41.3</v>
      </c>
      <c r="O116" s="46">
        <v>43.51</v>
      </c>
      <c r="P116" s="46">
        <v>3</v>
      </c>
      <c r="Q116" s="46">
        <v>84.81</v>
      </c>
      <c r="R116" s="47" t="s">
        <v>54</v>
      </c>
      <c r="S116" s="33" t="s">
        <v>257</v>
      </c>
      <c r="T116" s="33" t="s">
        <v>257</v>
      </c>
      <c r="U116" s="21" t="s">
        <v>414</v>
      </c>
    </row>
    <row r="117" spans="1:21" x14ac:dyDescent="0.25">
      <c r="A117" s="33">
        <v>2013</v>
      </c>
      <c r="B117" s="44">
        <v>41456</v>
      </c>
      <c r="C117" s="45">
        <v>0.85625000000000007</v>
      </c>
      <c r="D117" s="21" t="s">
        <v>47</v>
      </c>
      <c r="E117" s="21" t="s">
        <v>237</v>
      </c>
      <c r="F117" s="33">
        <v>116</v>
      </c>
      <c r="G117" s="21" t="s">
        <v>369</v>
      </c>
      <c r="H117" s="33">
        <v>1</v>
      </c>
      <c r="I117" s="33">
        <v>0</v>
      </c>
      <c r="J117" s="33">
        <v>0</v>
      </c>
      <c r="K117" s="21" t="s">
        <v>300</v>
      </c>
      <c r="L117" s="21" t="s">
        <v>301</v>
      </c>
      <c r="N117" s="46">
        <v>0</v>
      </c>
      <c r="O117" s="46">
        <v>0</v>
      </c>
      <c r="P117" s="46">
        <v>0</v>
      </c>
      <c r="Q117" s="46">
        <v>0</v>
      </c>
      <c r="R117" s="47" t="s">
        <v>55</v>
      </c>
      <c r="S117" s="33" t="s">
        <v>257</v>
      </c>
      <c r="T117" s="33" t="s">
        <v>257</v>
      </c>
      <c r="U117" s="21" t="s">
        <v>415</v>
      </c>
    </row>
    <row r="118" spans="1:21" x14ac:dyDescent="0.25">
      <c r="A118" s="33">
        <v>2013</v>
      </c>
      <c r="B118" s="44">
        <v>41456</v>
      </c>
      <c r="C118" s="45">
        <v>0.85763888888888884</v>
      </c>
      <c r="D118" s="21" t="s">
        <v>47</v>
      </c>
      <c r="E118" s="21" t="s">
        <v>237</v>
      </c>
      <c r="F118" s="33">
        <v>117</v>
      </c>
      <c r="G118" s="21" t="s">
        <v>369</v>
      </c>
      <c r="H118" s="33">
        <v>1</v>
      </c>
      <c r="I118" s="33">
        <v>0</v>
      </c>
      <c r="J118" s="33">
        <v>0</v>
      </c>
      <c r="K118" s="21" t="s">
        <v>300</v>
      </c>
      <c r="L118" s="21" t="s">
        <v>301</v>
      </c>
      <c r="N118" s="46">
        <v>0</v>
      </c>
      <c r="O118" s="46">
        <v>0</v>
      </c>
      <c r="P118" s="46">
        <v>0</v>
      </c>
      <c r="Q118" s="46">
        <v>0</v>
      </c>
      <c r="R118" s="47" t="s">
        <v>55</v>
      </c>
      <c r="S118" s="33" t="s">
        <v>257</v>
      </c>
      <c r="T118" s="33" t="s">
        <v>257</v>
      </c>
      <c r="U118" s="21" t="s">
        <v>413</v>
      </c>
    </row>
    <row r="119" spans="1:21" x14ac:dyDescent="0.25">
      <c r="A119" s="33">
        <v>2013</v>
      </c>
      <c r="B119" s="44">
        <v>41456</v>
      </c>
      <c r="C119" s="45">
        <v>0.8618055555555556</v>
      </c>
      <c r="D119" s="21" t="s">
        <v>47</v>
      </c>
      <c r="E119" s="21" t="s">
        <v>237</v>
      </c>
      <c r="F119" s="33">
        <v>128</v>
      </c>
      <c r="G119" s="21" t="s">
        <v>369</v>
      </c>
      <c r="H119" s="33">
        <v>1</v>
      </c>
      <c r="I119" s="33">
        <v>0</v>
      </c>
      <c r="J119" s="33">
        <v>0</v>
      </c>
      <c r="K119" s="21" t="s">
        <v>282</v>
      </c>
      <c r="L119" s="21" t="s">
        <v>293</v>
      </c>
      <c r="N119" s="46">
        <v>0</v>
      </c>
      <c r="O119" s="46">
        <v>0</v>
      </c>
      <c r="P119" s="46">
        <v>0</v>
      </c>
      <c r="Q119" s="46">
        <v>0</v>
      </c>
      <c r="R119" s="47" t="s">
        <v>53</v>
      </c>
      <c r="S119" s="33" t="s">
        <v>257</v>
      </c>
      <c r="T119" s="33" t="s">
        <v>257</v>
      </c>
      <c r="U119" s="21" t="s">
        <v>416</v>
      </c>
    </row>
    <row r="120" spans="1:21" x14ac:dyDescent="0.25">
      <c r="A120" s="33">
        <v>2013</v>
      </c>
      <c r="B120" s="44">
        <v>41456</v>
      </c>
      <c r="C120" s="45">
        <v>0.87222222222222223</v>
      </c>
      <c r="D120" s="21" t="s">
        <v>47</v>
      </c>
      <c r="E120" s="21" t="s">
        <v>237</v>
      </c>
      <c r="F120" s="33">
        <v>150</v>
      </c>
      <c r="G120" s="21" t="s">
        <v>369</v>
      </c>
      <c r="H120" s="33">
        <v>1</v>
      </c>
      <c r="I120" s="33">
        <v>0</v>
      </c>
      <c r="J120" s="33">
        <v>0</v>
      </c>
      <c r="K120" s="21" t="s">
        <v>282</v>
      </c>
      <c r="L120" s="21" t="s">
        <v>293</v>
      </c>
      <c r="N120" s="46">
        <v>58.82</v>
      </c>
      <c r="O120" s="46">
        <v>49.58</v>
      </c>
      <c r="P120" s="46">
        <v>3.6</v>
      </c>
      <c r="Q120" s="46">
        <v>108.4</v>
      </c>
      <c r="R120" s="47" t="s">
        <v>54</v>
      </c>
      <c r="S120" s="33" t="s">
        <v>257</v>
      </c>
      <c r="T120" s="33" t="s">
        <v>257</v>
      </c>
      <c r="U120" s="21" t="s">
        <v>417</v>
      </c>
    </row>
    <row r="121" spans="1:21" x14ac:dyDescent="0.25">
      <c r="A121" s="33">
        <v>2013</v>
      </c>
      <c r="B121" s="44">
        <v>41456</v>
      </c>
      <c r="C121" s="45">
        <v>0.88541666666666663</v>
      </c>
      <c r="D121" s="21" t="s">
        <v>47</v>
      </c>
      <c r="E121" s="21" t="s">
        <v>237</v>
      </c>
      <c r="F121" s="33">
        <v>350</v>
      </c>
      <c r="G121" s="21" t="s">
        <v>369</v>
      </c>
      <c r="H121" s="33">
        <v>1</v>
      </c>
      <c r="I121" s="33">
        <v>0</v>
      </c>
      <c r="J121" s="33">
        <v>0</v>
      </c>
      <c r="K121" s="21" t="s">
        <v>300</v>
      </c>
      <c r="L121" s="21" t="s">
        <v>301</v>
      </c>
      <c r="N121" s="46">
        <v>0</v>
      </c>
      <c r="O121" s="46">
        <v>0</v>
      </c>
      <c r="P121" s="46">
        <v>0</v>
      </c>
      <c r="Q121" s="46">
        <v>0</v>
      </c>
      <c r="R121" s="47" t="s">
        <v>53</v>
      </c>
      <c r="S121" s="33" t="s">
        <v>257</v>
      </c>
      <c r="T121" s="33" t="s">
        <v>257</v>
      </c>
      <c r="U121" s="21" t="s">
        <v>257</v>
      </c>
    </row>
    <row r="122" spans="1:21" x14ac:dyDescent="0.25">
      <c r="A122" s="33">
        <v>2013</v>
      </c>
      <c r="B122" s="44">
        <v>41456</v>
      </c>
      <c r="C122" s="45">
        <v>0.89583333333333337</v>
      </c>
      <c r="D122" s="21" t="s">
        <v>47</v>
      </c>
      <c r="E122" s="21" t="s">
        <v>237</v>
      </c>
      <c r="F122" s="33">
        <v>390</v>
      </c>
      <c r="G122" s="21" t="s">
        <v>369</v>
      </c>
      <c r="H122" s="33">
        <v>1</v>
      </c>
      <c r="I122" s="33">
        <v>0</v>
      </c>
      <c r="J122" s="33">
        <v>0</v>
      </c>
      <c r="K122" s="21" t="s">
        <v>300</v>
      </c>
      <c r="L122" s="21" t="s">
        <v>301</v>
      </c>
      <c r="N122" s="46">
        <v>0</v>
      </c>
      <c r="O122" s="46">
        <v>0</v>
      </c>
      <c r="P122" s="46">
        <v>0</v>
      </c>
      <c r="Q122" s="46">
        <v>0</v>
      </c>
      <c r="R122" s="47" t="s">
        <v>54</v>
      </c>
      <c r="S122" s="33" t="s">
        <v>257</v>
      </c>
      <c r="T122" s="33" t="s">
        <v>257</v>
      </c>
      <c r="U122" s="21" t="s">
        <v>257</v>
      </c>
    </row>
    <row r="123" spans="1:21" x14ac:dyDescent="0.25">
      <c r="A123" s="33">
        <v>2013</v>
      </c>
      <c r="B123" s="44">
        <v>41456</v>
      </c>
      <c r="C123" s="45">
        <v>0.90277777777777779</v>
      </c>
      <c r="D123" s="21" t="s">
        <v>47</v>
      </c>
      <c r="E123" s="21" t="s">
        <v>237</v>
      </c>
      <c r="F123" s="33">
        <v>450</v>
      </c>
      <c r="G123" s="21" t="s">
        <v>369</v>
      </c>
      <c r="H123" s="33">
        <v>1</v>
      </c>
      <c r="I123" s="33">
        <v>0</v>
      </c>
      <c r="J123" s="33">
        <v>0</v>
      </c>
      <c r="K123" s="21" t="s">
        <v>300</v>
      </c>
      <c r="L123" s="21" t="s">
        <v>301</v>
      </c>
      <c r="N123" s="46">
        <v>0</v>
      </c>
      <c r="O123" s="46">
        <v>0</v>
      </c>
      <c r="P123" s="46">
        <v>0</v>
      </c>
      <c r="Q123" s="46">
        <v>0</v>
      </c>
      <c r="R123" s="47" t="s">
        <v>54</v>
      </c>
      <c r="S123" s="33" t="s">
        <v>257</v>
      </c>
      <c r="T123" s="33" t="s">
        <v>257</v>
      </c>
      <c r="U123" s="21" t="s">
        <v>257</v>
      </c>
    </row>
    <row r="124" spans="1:21" x14ac:dyDescent="0.25">
      <c r="A124" s="33">
        <v>2013</v>
      </c>
      <c r="B124" s="44">
        <v>41456</v>
      </c>
      <c r="C124" s="45">
        <v>0.92013888888888884</v>
      </c>
      <c r="D124" s="21" t="s">
        <v>47</v>
      </c>
      <c r="E124" s="21" t="s">
        <v>237</v>
      </c>
      <c r="F124" s="33">
        <v>500</v>
      </c>
      <c r="G124" s="21" t="s">
        <v>369</v>
      </c>
      <c r="H124" s="33">
        <v>1</v>
      </c>
      <c r="I124" s="33">
        <v>0</v>
      </c>
      <c r="J124" s="33">
        <v>0</v>
      </c>
      <c r="K124" s="21" t="s">
        <v>288</v>
      </c>
      <c r="L124" s="21" t="s">
        <v>506</v>
      </c>
      <c r="N124" s="46">
        <v>0</v>
      </c>
      <c r="O124" s="46">
        <v>0</v>
      </c>
      <c r="P124" s="46">
        <v>0</v>
      </c>
      <c r="Q124" s="46">
        <v>0</v>
      </c>
      <c r="R124" s="47" t="s">
        <v>55</v>
      </c>
      <c r="S124" s="33" t="s">
        <v>257</v>
      </c>
      <c r="T124" s="33" t="s">
        <v>257</v>
      </c>
      <c r="U124" s="21" t="s">
        <v>418</v>
      </c>
    </row>
    <row r="125" spans="1:21" x14ac:dyDescent="0.25">
      <c r="A125" s="33">
        <v>2013</v>
      </c>
      <c r="B125" s="44">
        <v>41456</v>
      </c>
      <c r="C125" s="45">
        <v>0.94444444444444453</v>
      </c>
      <c r="D125" s="21" t="s">
        <v>47</v>
      </c>
      <c r="E125" s="21" t="s">
        <v>237</v>
      </c>
      <c r="F125" s="33">
        <v>200</v>
      </c>
      <c r="G125" s="21" t="s">
        <v>369</v>
      </c>
      <c r="H125" s="33">
        <v>1</v>
      </c>
      <c r="I125" s="33">
        <v>0</v>
      </c>
      <c r="J125" s="33">
        <v>0</v>
      </c>
      <c r="K125" s="21" t="s">
        <v>288</v>
      </c>
      <c r="L125" s="21" t="s">
        <v>506</v>
      </c>
      <c r="N125" s="46">
        <v>0</v>
      </c>
      <c r="O125" s="46">
        <v>0</v>
      </c>
      <c r="P125" s="46">
        <v>0</v>
      </c>
      <c r="Q125" s="46">
        <v>0</v>
      </c>
      <c r="R125" s="47" t="s">
        <v>55</v>
      </c>
      <c r="S125" s="33" t="s">
        <v>257</v>
      </c>
      <c r="T125" s="33" t="s">
        <v>257</v>
      </c>
      <c r="U125" s="21" t="s">
        <v>418</v>
      </c>
    </row>
    <row r="126" spans="1:21" x14ac:dyDescent="0.25">
      <c r="A126" s="33">
        <v>2013</v>
      </c>
      <c r="B126" s="44">
        <v>41457</v>
      </c>
      <c r="C126" s="45">
        <v>0.84166666666666667</v>
      </c>
      <c r="D126" s="21" t="s">
        <v>47</v>
      </c>
      <c r="E126" s="21" t="s">
        <v>257</v>
      </c>
      <c r="F126" s="33" t="s">
        <v>257</v>
      </c>
      <c r="G126" s="21" t="s">
        <v>369</v>
      </c>
      <c r="H126" s="33">
        <v>1</v>
      </c>
      <c r="I126" s="33">
        <v>1</v>
      </c>
      <c r="J126" s="33">
        <v>0</v>
      </c>
      <c r="K126" s="21" t="s">
        <v>510</v>
      </c>
      <c r="L126" s="21" t="s">
        <v>511</v>
      </c>
      <c r="N126" s="46">
        <v>380</v>
      </c>
      <c r="O126" s="46">
        <v>130</v>
      </c>
      <c r="P126" s="46">
        <v>0</v>
      </c>
      <c r="Q126" s="46">
        <v>510</v>
      </c>
      <c r="R126" s="47" t="s">
        <v>55</v>
      </c>
      <c r="S126" s="33" t="s">
        <v>257</v>
      </c>
      <c r="T126" s="33" t="s">
        <v>257</v>
      </c>
      <c r="U126" s="21" t="s">
        <v>419</v>
      </c>
    </row>
    <row r="127" spans="1:21" x14ac:dyDescent="0.25">
      <c r="A127" s="33">
        <v>2013</v>
      </c>
      <c r="B127" s="44">
        <v>41457</v>
      </c>
      <c r="C127" s="45">
        <v>0.85416666666666663</v>
      </c>
      <c r="D127" s="21" t="s">
        <v>47</v>
      </c>
      <c r="E127" s="21" t="s">
        <v>257</v>
      </c>
      <c r="F127" s="33" t="s">
        <v>257</v>
      </c>
      <c r="G127" s="21" t="s">
        <v>369</v>
      </c>
      <c r="H127" s="33">
        <v>1</v>
      </c>
      <c r="I127" s="33">
        <v>1</v>
      </c>
      <c r="J127" s="33">
        <v>0</v>
      </c>
      <c r="K127" s="21" t="s">
        <v>282</v>
      </c>
      <c r="L127" s="21" t="s">
        <v>293</v>
      </c>
      <c r="N127" s="46">
        <v>54</v>
      </c>
      <c r="O127" s="46">
        <v>44.98</v>
      </c>
      <c r="P127" s="46">
        <v>4.0999999999999996</v>
      </c>
      <c r="Q127" s="46">
        <v>98.97999999999999</v>
      </c>
      <c r="R127" s="47" t="s">
        <v>53</v>
      </c>
      <c r="S127" s="33" t="s">
        <v>257</v>
      </c>
      <c r="T127" s="33" t="s">
        <v>257</v>
      </c>
      <c r="U127" s="21" t="s">
        <v>420</v>
      </c>
    </row>
    <row r="128" spans="1:21" x14ac:dyDescent="0.25">
      <c r="A128" s="33">
        <v>2013</v>
      </c>
      <c r="B128" s="44">
        <v>41458</v>
      </c>
      <c r="C128" s="45">
        <v>0.73055555555555562</v>
      </c>
      <c r="D128" s="21" t="s">
        <v>47</v>
      </c>
      <c r="E128" s="21" t="s">
        <v>257</v>
      </c>
      <c r="F128" s="33" t="s">
        <v>257</v>
      </c>
      <c r="G128" s="21" t="s">
        <v>369</v>
      </c>
      <c r="H128" s="33">
        <v>1</v>
      </c>
      <c r="I128" s="33">
        <v>0</v>
      </c>
      <c r="J128" s="33">
        <v>0</v>
      </c>
      <c r="K128" s="21" t="s">
        <v>288</v>
      </c>
      <c r="L128" s="21" t="s">
        <v>506</v>
      </c>
      <c r="N128" s="46">
        <v>44.7</v>
      </c>
      <c r="O128" s="46">
        <v>63.24</v>
      </c>
      <c r="P128" s="46">
        <v>2.2000000000000002</v>
      </c>
      <c r="Q128" s="46">
        <v>107.94</v>
      </c>
      <c r="R128" s="47" t="s">
        <v>54</v>
      </c>
      <c r="S128" s="33" t="s">
        <v>257</v>
      </c>
      <c r="T128" s="33" t="s">
        <v>257</v>
      </c>
      <c r="U128" s="21" t="s">
        <v>257</v>
      </c>
    </row>
    <row r="129" spans="1:21" x14ac:dyDescent="0.25">
      <c r="A129" s="33">
        <v>2013</v>
      </c>
      <c r="B129" s="44">
        <v>41459</v>
      </c>
      <c r="C129" s="45">
        <v>0.41666666666666669</v>
      </c>
      <c r="D129" s="21" t="s">
        <v>47</v>
      </c>
      <c r="E129" s="21" t="s">
        <v>235</v>
      </c>
      <c r="F129" s="33">
        <v>550</v>
      </c>
      <c r="G129" s="21" t="s">
        <v>369</v>
      </c>
      <c r="H129" s="33">
        <v>1</v>
      </c>
      <c r="I129" s="33">
        <v>0</v>
      </c>
      <c r="J129" s="33">
        <v>0</v>
      </c>
      <c r="K129" s="21" t="s">
        <v>300</v>
      </c>
      <c r="L129" s="21" t="s">
        <v>301</v>
      </c>
      <c r="N129" s="46">
        <v>0</v>
      </c>
      <c r="O129" s="46">
        <v>0</v>
      </c>
      <c r="P129" s="46">
        <v>0</v>
      </c>
      <c r="Q129" s="46">
        <v>0</v>
      </c>
      <c r="R129" s="47" t="s">
        <v>53</v>
      </c>
      <c r="S129" s="33" t="s">
        <v>257</v>
      </c>
      <c r="T129" s="33" t="s">
        <v>257</v>
      </c>
      <c r="U129" s="21" t="s">
        <v>413</v>
      </c>
    </row>
    <row r="130" spans="1:21" x14ac:dyDescent="0.25">
      <c r="A130" s="33">
        <v>2013</v>
      </c>
      <c r="B130" s="44">
        <v>41459</v>
      </c>
      <c r="C130" s="45">
        <v>0.46527777777777773</v>
      </c>
      <c r="D130" s="21" t="s">
        <v>47</v>
      </c>
      <c r="E130" s="21" t="s">
        <v>235</v>
      </c>
      <c r="F130" s="33">
        <v>1000</v>
      </c>
      <c r="G130" s="21" t="s">
        <v>369</v>
      </c>
      <c r="H130" s="33">
        <v>1</v>
      </c>
      <c r="I130" s="33">
        <v>0</v>
      </c>
      <c r="J130" s="33">
        <v>0</v>
      </c>
      <c r="K130" s="21" t="s">
        <v>347</v>
      </c>
      <c r="L130" s="21" t="s">
        <v>348</v>
      </c>
      <c r="N130" s="46">
        <v>200</v>
      </c>
      <c r="O130" s="46">
        <v>170</v>
      </c>
      <c r="P130" s="46">
        <v>0</v>
      </c>
      <c r="Q130" s="46">
        <v>370</v>
      </c>
      <c r="R130" s="47" t="s">
        <v>55</v>
      </c>
      <c r="S130" s="33" t="s">
        <v>257</v>
      </c>
      <c r="T130" s="33" t="s">
        <v>257</v>
      </c>
      <c r="U130" s="21" t="s">
        <v>421</v>
      </c>
    </row>
    <row r="131" spans="1:21" x14ac:dyDescent="0.25">
      <c r="A131" s="33">
        <v>2013</v>
      </c>
      <c r="B131" s="44">
        <v>41459</v>
      </c>
      <c r="C131" s="45">
        <v>0.59375</v>
      </c>
      <c r="D131" s="21" t="s">
        <v>47</v>
      </c>
      <c r="E131" s="21" t="s">
        <v>234</v>
      </c>
      <c r="F131" s="33">
        <v>100</v>
      </c>
      <c r="G131" s="21" t="s">
        <v>369</v>
      </c>
      <c r="H131" s="33">
        <v>1</v>
      </c>
      <c r="I131" s="33">
        <v>0</v>
      </c>
      <c r="J131" s="33">
        <v>0</v>
      </c>
      <c r="K131" s="21" t="s">
        <v>360</v>
      </c>
      <c r="L131" s="21" t="s">
        <v>361</v>
      </c>
      <c r="N131" s="46">
        <v>570</v>
      </c>
      <c r="O131" s="46">
        <v>60</v>
      </c>
      <c r="P131" s="46">
        <v>0</v>
      </c>
      <c r="Q131" s="46">
        <v>630</v>
      </c>
      <c r="R131" s="47" t="s">
        <v>54</v>
      </c>
      <c r="S131" s="33" t="s">
        <v>257</v>
      </c>
      <c r="T131" s="33" t="s">
        <v>257</v>
      </c>
      <c r="U131" s="21" t="s">
        <v>422</v>
      </c>
    </row>
    <row r="132" spans="1:21" x14ac:dyDescent="0.25">
      <c r="A132" s="33">
        <v>2013</v>
      </c>
      <c r="B132" s="44">
        <v>41459</v>
      </c>
      <c r="C132" s="45">
        <v>0.88194444444444453</v>
      </c>
      <c r="D132" s="21" t="s">
        <v>47</v>
      </c>
      <c r="E132" s="21" t="s">
        <v>257</v>
      </c>
      <c r="F132" s="33">
        <v>150</v>
      </c>
      <c r="G132" s="21" t="s">
        <v>369</v>
      </c>
      <c r="H132" s="33">
        <v>1</v>
      </c>
      <c r="I132" s="33">
        <v>0</v>
      </c>
      <c r="J132" s="33">
        <v>0</v>
      </c>
      <c r="K132" s="21" t="s">
        <v>338</v>
      </c>
      <c r="L132" s="21" t="s">
        <v>339</v>
      </c>
      <c r="N132" s="46">
        <v>33.58</v>
      </c>
      <c r="O132" s="46">
        <v>0</v>
      </c>
      <c r="P132" s="46">
        <v>3.8</v>
      </c>
      <c r="Q132" s="46">
        <v>33.58</v>
      </c>
      <c r="R132" s="47" t="s">
        <v>54</v>
      </c>
      <c r="S132" s="33" t="s">
        <v>257</v>
      </c>
      <c r="T132" s="33" t="s">
        <v>257</v>
      </c>
      <c r="U132" s="21" t="s">
        <v>423</v>
      </c>
    </row>
    <row r="133" spans="1:21" x14ac:dyDescent="0.25">
      <c r="A133" s="33">
        <v>2013</v>
      </c>
      <c r="B133" s="44">
        <v>41460</v>
      </c>
      <c r="C133" s="45">
        <v>0.40833333333333338</v>
      </c>
      <c r="D133" s="21" t="s">
        <v>47</v>
      </c>
      <c r="E133" s="21" t="s">
        <v>236</v>
      </c>
      <c r="F133" s="33">
        <v>300</v>
      </c>
      <c r="G133" s="21" t="s">
        <v>369</v>
      </c>
      <c r="H133" s="33">
        <v>1</v>
      </c>
      <c r="I133" s="33">
        <v>0</v>
      </c>
      <c r="J133" s="33">
        <v>0</v>
      </c>
      <c r="K133" s="21" t="s">
        <v>300</v>
      </c>
      <c r="L133" s="21" t="s">
        <v>301</v>
      </c>
      <c r="N133" s="46">
        <v>37.58</v>
      </c>
      <c r="O133" s="46">
        <v>0</v>
      </c>
      <c r="P133" s="46">
        <v>5.0999999999999996</v>
      </c>
      <c r="Q133" s="46">
        <v>37.58</v>
      </c>
      <c r="R133" s="47" t="s">
        <v>54</v>
      </c>
      <c r="S133" s="33" t="s">
        <v>257</v>
      </c>
      <c r="T133" s="33" t="s">
        <v>257</v>
      </c>
      <c r="U133" s="21" t="s">
        <v>424</v>
      </c>
    </row>
    <row r="134" spans="1:21" x14ac:dyDescent="0.25">
      <c r="A134" s="33">
        <v>2013</v>
      </c>
      <c r="B134" s="44">
        <v>41460</v>
      </c>
      <c r="C134" s="45">
        <v>0.51388888888888895</v>
      </c>
      <c r="D134" s="21" t="s">
        <v>47</v>
      </c>
      <c r="E134" s="21" t="s">
        <v>257</v>
      </c>
      <c r="F134" s="33" t="s">
        <v>257</v>
      </c>
      <c r="G134" s="21" t="s">
        <v>369</v>
      </c>
      <c r="H134" s="33">
        <v>1</v>
      </c>
      <c r="I134" s="33">
        <v>0</v>
      </c>
      <c r="J134" s="33">
        <v>0</v>
      </c>
      <c r="K134" s="21" t="s">
        <v>347</v>
      </c>
      <c r="L134" s="21" t="s">
        <v>348</v>
      </c>
      <c r="N134" s="46">
        <v>3150</v>
      </c>
      <c r="O134" s="46">
        <v>163</v>
      </c>
      <c r="P134" s="46">
        <v>0</v>
      </c>
      <c r="Q134" s="46">
        <v>3313</v>
      </c>
      <c r="R134" s="47" t="s">
        <v>53</v>
      </c>
      <c r="S134" s="33" t="s">
        <v>257</v>
      </c>
      <c r="T134" s="33" t="s">
        <v>257</v>
      </c>
      <c r="U134" s="21" t="s">
        <v>425</v>
      </c>
    </row>
    <row r="135" spans="1:21" x14ac:dyDescent="0.25">
      <c r="A135" s="33">
        <v>2013</v>
      </c>
      <c r="B135" s="44">
        <v>41461</v>
      </c>
      <c r="C135" s="45">
        <v>0.46527777777777773</v>
      </c>
      <c r="D135" s="21" t="s">
        <v>47</v>
      </c>
      <c r="E135" s="21" t="s">
        <v>257</v>
      </c>
      <c r="F135" s="33" t="s">
        <v>257</v>
      </c>
      <c r="G135" s="21" t="s">
        <v>369</v>
      </c>
      <c r="H135" s="33">
        <v>1</v>
      </c>
      <c r="I135" s="33">
        <v>0</v>
      </c>
      <c r="J135" s="33">
        <v>0</v>
      </c>
      <c r="K135" s="21" t="s">
        <v>288</v>
      </c>
      <c r="L135" s="21" t="s">
        <v>506</v>
      </c>
      <c r="N135" s="46">
        <v>37.58</v>
      </c>
      <c r="O135" s="46">
        <v>26.79</v>
      </c>
      <c r="P135" s="46">
        <v>2</v>
      </c>
      <c r="Q135" s="46">
        <v>64.37</v>
      </c>
      <c r="R135" s="47" t="s">
        <v>54</v>
      </c>
      <c r="S135" s="33" t="s">
        <v>257</v>
      </c>
      <c r="T135" s="33" t="s">
        <v>257</v>
      </c>
      <c r="U135" s="21" t="s">
        <v>257</v>
      </c>
    </row>
    <row r="136" spans="1:21" x14ac:dyDescent="0.25">
      <c r="A136" s="33">
        <v>2013</v>
      </c>
      <c r="B136" s="44">
        <v>41461</v>
      </c>
      <c r="C136" s="45">
        <v>0.67361111111111116</v>
      </c>
      <c r="D136" s="21" t="s">
        <v>47</v>
      </c>
      <c r="E136" s="21" t="s">
        <v>257</v>
      </c>
      <c r="F136" s="33" t="s">
        <v>257</v>
      </c>
      <c r="G136" s="21" t="s">
        <v>369</v>
      </c>
      <c r="H136" s="33">
        <v>1</v>
      </c>
      <c r="I136" s="33">
        <v>0</v>
      </c>
      <c r="J136" s="33">
        <v>0</v>
      </c>
      <c r="K136" s="21" t="s">
        <v>288</v>
      </c>
      <c r="L136" s="21" t="s">
        <v>506</v>
      </c>
      <c r="N136" s="46">
        <v>36.4</v>
      </c>
      <c r="O136" s="46">
        <v>86.65</v>
      </c>
      <c r="P136" s="46">
        <v>1.6</v>
      </c>
      <c r="Q136" s="46">
        <v>123.05000000000001</v>
      </c>
      <c r="R136" s="47" t="s">
        <v>53</v>
      </c>
      <c r="S136" s="33" t="s">
        <v>257</v>
      </c>
      <c r="T136" s="33" t="s">
        <v>257</v>
      </c>
      <c r="U136" s="21" t="s">
        <v>426</v>
      </c>
    </row>
    <row r="137" spans="1:21" x14ac:dyDescent="0.25">
      <c r="A137" s="33">
        <v>2013</v>
      </c>
      <c r="B137" s="44">
        <v>41461</v>
      </c>
      <c r="C137" s="45">
        <v>0.73958333333333337</v>
      </c>
      <c r="D137" s="21" t="s">
        <v>47</v>
      </c>
      <c r="E137" s="21" t="s">
        <v>257</v>
      </c>
      <c r="F137" s="33" t="s">
        <v>257</v>
      </c>
      <c r="G137" s="21" t="s">
        <v>369</v>
      </c>
      <c r="H137" s="33">
        <v>1</v>
      </c>
      <c r="I137" s="33">
        <v>0</v>
      </c>
      <c r="J137" s="33">
        <v>0</v>
      </c>
      <c r="K137" s="21" t="s">
        <v>298</v>
      </c>
      <c r="L137" s="21" t="s">
        <v>512</v>
      </c>
      <c r="N137" s="46">
        <v>193</v>
      </c>
      <c r="O137" s="46">
        <v>85</v>
      </c>
      <c r="P137" s="46">
        <v>4.2</v>
      </c>
      <c r="Q137" s="46">
        <v>278</v>
      </c>
      <c r="R137" s="47" t="s">
        <v>53</v>
      </c>
      <c r="S137" s="33" t="s">
        <v>257</v>
      </c>
      <c r="T137" s="33" t="s">
        <v>257</v>
      </c>
      <c r="U137" s="21" t="s">
        <v>427</v>
      </c>
    </row>
    <row r="138" spans="1:21" x14ac:dyDescent="0.25">
      <c r="A138" s="33">
        <v>2013</v>
      </c>
      <c r="B138" s="44">
        <v>41463</v>
      </c>
      <c r="C138" s="45">
        <v>0.82638888888888884</v>
      </c>
      <c r="D138" s="21" t="s">
        <v>47</v>
      </c>
      <c r="E138" s="21" t="s">
        <v>257</v>
      </c>
      <c r="F138" s="33" t="s">
        <v>257</v>
      </c>
      <c r="G138" s="21" t="s">
        <v>369</v>
      </c>
      <c r="H138" s="33">
        <v>1</v>
      </c>
      <c r="I138" s="33">
        <v>1</v>
      </c>
      <c r="J138" s="33">
        <v>0</v>
      </c>
      <c r="K138" s="21" t="s">
        <v>300</v>
      </c>
      <c r="L138" s="21" t="s">
        <v>301</v>
      </c>
      <c r="N138" s="46">
        <v>46.39</v>
      </c>
      <c r="O138" s="46">
        <v>0</v>
      </c>
      <c r="P138" s="46">
        <v>11</v>
      </c>
      <c r="Q138" s="46">
        <v>46.39</v>
      </c>
      <c r="R138" s="47" t="s">
        <v>54</v>
      </c>
      <c r="S138" s="33" t="s">
        <v>257</v>
      </c>
      <c r="T138" s="33" t="s">
        <v>257</v>
      </c>
      <c r="U138" s="21" t="s">
        <v>428</v>
      </c>
    </row>
    <row r="139" spans="1:21" x14ac:dyDescent="0.25">
      <c r="A139" s="33">
        <v>2013</v>
      </c>
      <c r="B139" s="44">
        <v>41463</v>
      </c>
      <c r="C139" s="45">
        <v>0.75694444444444453</v>
      </c>
      <c r="D139" s="21" t="s">
        <v>47</v>
      </c>
      <c r="E139" s="21" t="s">
        <v>257</v>
      </c>
      <c r="F139" s="33" t="s">
        <v>257</v>
      </c>
      <c r="G139" s="21" t="s">
        <v>369</v>
      </c>
      <c r="H139" s="33">
        <v>1</v>
      </c>
      <c r="I139" s="33">
        <v>1</v>
      </c>
      <c r="J139" s="33">
        <v>0</v>
      </c>
      <c r="K139" s="21" t="s">
        <v>300</v>
      </c>
      <c r="L139" s="21" t="s">
        <v>301</v>
      </c>
      <c r="N139" s="46">
        <v>34.96</v>
      </c>
      <c r="O139" s="46">
        <v>0</v>
      </c>
      <c r="P139" s="46">
        <v>6.1</v>
      </c>
      <c r="Q139" s="46">
        <v>34.96</v>
      </c>
      <c r="R139" s="47" t="s">
        <v>53</v>
      </c>
      <c r="S139" s="33" t="s">
        <v>257</v>
      </c>
      <c r="T139" s="33" t="s">
        <v>257</v>
      </c>
      <c r="U139" s="21" t="s">
        <v>429</v>
      </c>
    </row>
    <row r="140" spans="1:21" x14ac:dyDescent="0.25">
      <c r="A140" s="33">
        <v>2013</v>
      </c>
      <c r="B140" s="44">
        <v>41463</v>
      </c>
      <c r="C140" s="45">
        <v>0.78472222222222221</v>
      </c>
      <c r="D140" s="21" t="s">
        <v>47</v>
      </c>
      <c r="E140" s="21" t="s">
        <v>257</v>
      </c>
      <c r="F140" s="33" t="s">
        <v>257</v>
      </c>
      <c r="G140" s="21" t="s">
        <v>369</v>
      </c>
      <c r="H140" s="33">
        <v>1</v>
      </c>
      <c r="I140" s="33">
        <v>1</v>
      </c>
      <c r="J140" s="33">
        <v>0</v>
      </c>
      <c r="K140" s="21" t="s">
        <v>360</v>
      </c>
      <c r="L140" s="21" t="s">
        <v>361</v>
      </c>
      <c r="N140" s="46">
        <v>330</v>
      </c>
      <c r="O140" s="46">
        <v>50</v>
      </c>
      <c r="P140" s="46">
        <v>0</v>
      </c>
      <c r="Q140" s="46">
        <v>380</v>
      </c>
      <c r="R140" s="47" t="s">
        <v>55</v>
      </c>
      <c r="S140" s="33" t="s">
        <v>257</v>
      </c>
      <c r="T140" s="33" t="s">
        <v>257</v>
      </c>
      <c r="U140" s="21" t="s">
        <v>257</v>
      </c>
    </row>
    <row r="141" spans="1:21" x14ac:dyDescent="0.25">
      <c r="A141" s="33">
        <v>2013</v>
      </c>
      <c r="B141" s="44">
        <v>41463</v>
      </c>
      <c r="C141" s="45">
        <v>0.81805555555555554</v>
      </c>
      <c r="D141" s="21" t="s">
        <v>47</v>
      </c>
      <c r="E141" s="21" t="s">
        <v>257</v>
      </c>
      <c r="F141" s="33" t="s">
        <v>257</v>
      </c>
      <c r="G141" s="21" t="s">
        <v>369</v>
      </c>
      <c r="H141" s="33">
        <v>1</v>
      </c>
      <c r="I141" s="33">
        <v>1</v>
      </c>
      <c r="J141" s="33">
        <v>0</v>
      </c>
      <c r="K141" s="21" t="s">
        <v>300</v>
      </c>
      <c r="L141" s="21" t="s">
        <v>301</v>
      </c>
      <c r="N141" s="46">
        <v>27.07</v>
      </c>
      <c r="O141" s="46">
        <v>0</v>
      </c>
      <c r="P141" s="46">
        <v>2.1</v>
      </c>
      <c r="Q141" s="46">
        <v>27.07</v>
      </c>
      <c r="R141" s="47" t="s">
        <v>53</v>
      </c>
      <c r="S141" s="33" t="s">
        <v>257</v>
      </c>
      <c r="T141" s="33" t="s">
        <v>257</v>
      </c>
      <c r="U141" s="21" t="s">
        <v>430</v>
      </c>
    </row>
    <row r="142" spans="1:21" x14ac:dyDescent="0.25">
      <c r="A142" s="33">
        <v>2013</v>
      </c>
      <c r="B142" s="44">
        <v>41463</v>
      </c>
      <c r="C142" s="45">
        <v>0.81944444444444453</v>
      </c>
      <c r="D142" s="21" t="s">
        <v>47</v>
      </c>
      <c r="E142" s="21" t="s">
        <v>257</v>
      </c>
      <c r="F142" s="33" t="s">
        <v>257</v>
      </c>
      <c r="G142" s="21" t="s">
        <v>369</v>
      </c>
      <c r="H142" s="33">
        <v>1</v>
      </c>
      <c r="I142" s="33">
        <v>1</v>
      </c>
      <c r="J142" s="33">
        <v>0</v>
      </c>
      <c r="K142" s="21" t="s">
        <v>300</v>
      </c>
      <c r="L142" s="21" t="s">
        <v>301</v>
      </c>
      <c r="N142" s="46">
        <v>27.18</v>
      </c>
      <c r="O142" s="46">
        <v>0</v>
      </c>
      <c r="P142" s="46">
        <v>1.4</v>
      </c>
      <c r="Q142" s="46">
        <v>27.18</v>
      </c>
      <c r="R142" s="47" t="s">
        <v>53</v>
      </c>
      <c r="S142" s="33" t="s">
        <v>257</v>
      </c>
      <c r="T142" s="33" t="s">
        <v>257</v>
      </c>
      <c r="U142" s="21" t="s">
        <v>431</v>
      </c>
    </row>
    <row r="143" spans="1:21" x14ac:dyDescent="0.25">
      <c r="A143" s="33">
        <v>2013</v>
      </c>
      <c r="B143" s="44">
        <v>41463</v>
      </c>
      <c r="C143" s="45">
        <v>0.84375</v>
      </c>
      <c r="D143" s="21" t="s">
        <v>47</v>
      </c>
      <c r="E143" s="21" t="s">
        <v>257</v>
      </c>
      <c r="F143" s="33" t="s">
        <v>257</v>
      </c>
      <c r="G143" s="21" t="s">
        <v>369</v>
      </c>
      <c r="H143" s="33">
        <v>1</v>
      </c>
      <c r="I143" s="33">
        <v>1</v>
      </c>
      <c r="J143" s="33">
        <v>0</v>
      </c>
      <c r="K143" s="21" t="s">
        <v>300</v>
      </c>
      <c r="L143" s="21" t="s">
        <v>301</v>
      </c>
      <c r="N143" s="46">
        <v>38.83</v>
      </c>
      <c r="O143" s="46">
        <v>0</v>
      </c>
      <c r="P143" s="46">
        <v>8.3000000000000007</v>
      </c>
      <c r="Q143" s="46">
        <v>38.83</v>
      </c>
      <c r="R143" s="47" t="s">
        <v>54</v>
      </c>
      <c r="S143" s="33" t="s">
        <v>257</v>
      </c>
      <c r="T143" s="33" t="s">
        <v>257</v>
      </c>
      <c r="U143" s="21" t="s">
        <v>432</v>
      </c>
    </row>
    <row r="144" spans="1:21" x14ac:dyDescent="0.25">
      <c r="A144" s="33">
        <v>2013</v>
      </c>
      <c r="B144" s="44">
        <v>41464</v>
      </c>
      <c r="C144" s="45">
        <v>0.72222222222222221</v>
      </c>
      <c r="D144" s="21" t="s">
        <v>47</v>
      </c>
      <c r="E144" s="21" t="s">
        <v>220</v>
      </c>
      <c r="F144" s="33">
        <v>0</v>
      </c>
      <c r="G144" s="21" t="s">
        <v>369</v>
      </c>
      <c r="H144" s="33">
        <v>1</v>
      </c>
      <c r="I144" s="33">
        <v>1</v>
      </c>
      <c r="J144" s="33">
        <v>0</v>
      </c>
      <c r="K144" s="21" t="s">
        <v>286</v>
      </c>
      <c r="L144" s="21" t="s">
        <v>287</v>
      </c>
      <c r="N144" s="46">
        <v>0</v>
      </c>
      <c r="O144" s="46">
        <v>0</v>
      </c>
      <c r="P144" s="46">
        <v>0</v>
      </c>
      <c r="Q144" s="46">
        <v>0</v>
      </c>
      <c r="R144" s="47" t="s">
        <v>53</v>
      </c>
      <c r="S144" s="33" t="s">
        <v>257</v>
      </c>
      <c r="T144" s="33" t="s">
        <v>257</v>
      </c>
      <c r="U144" s="21" t="s">
        <v>433</v>
      </c>
    </row>
    <row r="145" spans="1:21" x14ac:dyDescent="0.25">
      <c r="A145" s="33">
        <v>2013</v>
      </c>
      <c r="B145" s="44">
        <v>41464</v>
      </c>
      <c r="C145" s="45">
        <v>0.85277777777777775</v>
      </c>
      <c r="D145" s="21" t="s">
        <v>52</v>
      </c>
      <c r="E145" s="21" t="s">
        <v>257</v>
      </c>
      <c r="F145" s="33" t="s">
        <v>257</v>
      </c>
      <c r="G145" s="21" t="s">
        <v>369</v>
      </c>
      <c r="H145" s="33">
        <v>1</v>
      </c>
      <c r="I145" s="33">
        <v>0</v>
      </c>
      <c r="J145" s="33">
        <v>0</v>
      </c>
      <c r="K145" s="21" t="s">
        <v>282</v>
      </c>
      <c r="L145" s="21" t="s">
        <v>509</v>
      </c>
      <c r="N145" s="46">
        <v>52</v>
      </c>
      <c r="O145" s="46">
        <v>48.1</v>
      </c>
      <c r="P145" s="46">
        <v>3</v>
      </c>
      <c r="Q145" s="46">
        <v>100.1</v>
      </c>
      <c r="R145" s="47" t="s">
        <v>54</v>
      </c>
      <c r="S145" s="33" t="s">
        <v>257</v>
      </c>
      <c r="T145" s="33" t="s">
        <v>257</v>
      </c>
      <c r="U145" s="21" t="s">
        <v>434</v>
      </c>
    </row>
    <row r="146" spans="1:21" x14ac:dyDescent="0.25">
      <c r="A146" s="33">
        <v>2013</v>
      </c>
      <c r="B146" s="44">
        <v>41464</v>
      </c>
      <c r="C146" s="45">
        <v>0.85625000000000007</v>
      </c>
      <c r="D146" s="21" t="s">
        <v>52</v>
      </c>
      <c r="E146" s="21" t="s">
        <v>257</v>
      </c>
      <c r="F146" s="33" t="s">
        <v>257</v>
      </c>
      <c r="G146" s="21" t="s">
        <v>369</v>
      </c>
      <c r="H146" s="33">
        <v>1</v>
      </c>
      <c r="I146" s="33">
        <v>0</v>
      </c>
      <c r="J146" s="33">
        <v>0</v>
      </c>
      <c r="K146" s="21" t="s">
        <v>358</v>
      </c>
      <c r="L146" s="21" t="s">
        <v>513</v>
      </c>
      <c r="N146" s="46">
        <v>15.47</v>
      </c>
      <c r="O146" s="46">
        <v>7.8</v>
      </c>
      <c r="P146" s="46">
        <v>0.4</v>
      </c>
      <c r="Q146" s="46">
        <v>23.27</v>
      </c>
      <c r="R146" s="47" t="s">
        <v>55</v>
      </c>
      <c r="S146" s="33" t="s">
        <v>257</v>
      </c>
      <c r="T146" s="33" t="s">
        <v>257</v>
      </c>
      <c r="U146" s="21" t="s">
        <v>435</v>
      </c>
    </row>
    <row r="147" spans="1:21" x14ac:dyDescent="0.25">
      <c r="A147" s="33">
        <v>2013</v>
      </c>
      <c r="B147" s="44">
        <v>41464</v>
      </c>
      <c r="C147" s="45">
        <v>0.86111111111111116</v>
      </c>
      <c r="D147" s="21" t="s">
        <v>52</v>
      </c>
      <c r="E147" s="21" t="s">
        <v>257</v>
      </c>
      <c r="F147" s="33" t="s">
        <v>257</v>
      </c>
      <c r="G147" s="21" t="s">
        <v>369</v>
      </c>
      <c r="H147" s="33">
        <v>1</v>
      </c>
      <c r="I147" s="33">
        <v>0</v>
      </c>
      <c r="J147" s="33">
        <v>0</v>
      </c>
      <c r="K147" s="21" t="s">
        <v>338</v>
      </c>
      <c r="L147" s="21" t="s">
        <v>339</v>
      </c>
      <c r="N147" s="46">
        <v>29.2</v>
      </c>
      <c r="O147" s="46">
        <v>0</v>
      </c>
      <c r="P147" s="46">
        <v>2.4</v>
      </c>
      <c r="Q147" s="46">
        <v>29.2</v>
      </c>
      <c r="R147" s="47" t="s">
        <v>54</v>
      </c>
      <c r="S147" s="33" t="s">
        <v>257</v>
      </c>
      <c r="T147" s="33" t="s">
        <v>257</v>
      </c>
      <c r="U147" s="21" t="s">
        <v>436</v>
      </c>
    </row>
    <row r="148" spans="1:21" x14ac:dyDescent="0.25">
      <c r="A148" s="33">
        <v>2013</v>
      </c>
      <c r="B148" s="44">
        <v>41464</v>
      </c>
      <c r="C148" s="45">
        <v>0.9145833333333333</v>
      </c>
      <c r="D148" s="21" t="s">
        <v>52</v>
      </c>
      <c r="E148" s="21" t="s">
        <v>257</v>
      </c>
      <c r="F148" s="33" t="s">
        <v>257</v>
      </c>
      <c r="G148" s="21" t="s">
        <v>369</v>
      </c>
      <c r="H148" s="33">
        <v>1</v>
      </c>
      <c r="I148" s="33">
        <v>0</v>
      </c>
      <c r="J148" s="33">
        <v>0</v>
      </c>
      <c r="K148" s="21" t="s">
        <v>338</v>
      </c>
      <c r="L148" s="21" t="s">
        <v>339</v>
      </c>
      <c r="N148" s="46">
        <v>0</v>
      </c>
      <c r="O148" s="46">
        <v>0</v>
      </c>
      <c r="P148" s="46">
        <v>0</v>
      </c>
      <c r="Q148" s="46">
        <v>0</v>
      </c>
      <c r="R148" s="47" t="s">
        <v>54</v>
      </c>
      <c r="S148" s="33" t="s">
        <v>257</v>
      </c>
      <c r="T148" s="33" t="s">
        <v>257</v>
      </c>
      <c r="U148" s="21" t="s">
        <v>437</v>
      </c>
    </row>
    <row r="149" spans="1:21" x14ac:dyDescent="0.25">
      <c r="A149" s="33">
        <v>2013</v>
      </c>
      <c r="B149" s="44">
        <v>41464</v>
      </c>
      <c r="C149" s="45">
        <v>0.9145833333333333</v>
      </c>
      <c r="D149" s="21" t="s">
        <v>52</v>
      </c>
      <c r="E149" s="21" t="s">
        <v>257</v>
      </c>
      <c r="F149" s="33" t="s">
        <v>257</v>
      </c>
      <c r="G149" s="21" t="s">
        <v>369</v>
      </c>
      <c r="H149" s="33">
        <v>1</v>
      </c>
      <c r="I149" s="33">
        <v>0</v>
      </c>
      <c r="J149" s="33">
        <v>0</v>
      </c>
      <c r="K149" s="21" t="s">
        <v>338</v>
      </c>
      <c r="L149" s="21" t="s">
        <v>339</v>
      </c>
      <c r="N149" s="46">
        <v>0</v>
      </c>
      <c r="O149" s="46">
        <v>0</v>
      </c>
      <c r="P149" s="46">
        <v>0</v>
      </c>
      <c r="Q149" s="46">
        <v>0</v>
      </c>
      <c r="R149" s="47" t="s">
        <v>54</v>
      </c>
      <c r="S149" s="33" t="s">
        <v>257</v>
      </c>
      <c r="T149" s="33" t="s">
        <v>257</v>
      </c>
      <c r="U149" s="21" t="s">
        <v>437</v>
      </c>
    </row>
    <row r="150" spans="1:21" x14ac:dyDescent="0.25">
      <c r="A150" s="33">
        <v>2013</v>
      </c>
      <c r="B150" s="44">
        <v>41464</v>
      </c>
      <c r="C150" s="45">
        <v>0.91875000000000007</v>
      </c>
      <c r="D150" s="21" t="s">
        <v>52</v>
      </c>
      <c r="E150" s="21" t="s">
        <v>257</v>
      </c>
      <c r="F150" s="33" t="s">
        <v>257</v>
      </c>
      <c r="G150" s="21" t="s">
        <v>369</v>
      </c>
      <c r="H150" s="33">
        <v>1</v>
      </c>
      <c r="I150" s="33">
        <v>0</v>
      </c>
      <c r="J150" s="33">
        <v>0</v>
      </c>
      <c r="K150" s="21" t="s">
        <v>338</v>
      </c>
      <c r="L150" s="21" t="s">
        <v>339</v>
      </c>
      <c r="N150" s="46">
        <v>0</v>
      </c>
      <c r="O150" s="46">
        <v>0</v>
      </c>
      <c r="P150" s="46">
        <v>0</v>
      </c>
      <c r="Q150" s="46">
        <v>0</v>
      </c>
      <c r="R150" s="47" t="s">
        <v>55</v>
      </c>
      <c r="S150" s="33" t="s">
        <v>257</v>
      </c>
      <c r="T150" s="33" t="s">
        <v>257</v>
      </c>
      <c r="U150" s="21" t="s">
        <v>438</v>
      </c>
    </row>
    <row r="151" spans="1:21" x14ac:dyDescent="0.25">
      <c r="A151" s="33">
        <v>2013</v>
      </c>
      <c r="B151" s="44">
        <v>41464</v>
      </c>
      <c r="C151" s="45">
        <v>0.93125000000000002</v>
      </c>
      <c r="D151" s="21" t="s">
        <v>52</v>
      </c>
      <c r="E151" s="21" t="s">
        <v>257</v>
      </c>
      <c r="F151" s="33">
        <v>120</v>
      </c>
      <c r="G151" s="21" t="s">
        <v>369</v>
      </c>
      <c r="H151" s="33">
        <v>1</v>
      </c>
      <c r="I151" s="33">
        <v>0</v>
      </c>
      <c r="J151" s="33">
        <v>0</v>
      </c>
      <c r="K151" s="21" t="s">
        <v>302</v>
      </c>
      <c r="L151" s="21" t="s">
        <v>303</v>
      </c>
      <c r="N151" s="46">
        <v>0</v>
      </c>
      <c r="O151" s="46">
        <v>0</v>
      </c>
      <c r="P151" s="46">
        <v>0</v>
      </c>
      <c r="Q151" s="46">
        <v>0</v>
      </c>
      <c r="R151" s="47" t="s">
        <v>54</v>
      </c>
      <c r="S151" s="33" t="s">
        <v>257</v>
      </c>
      <c r="T151" s="33" t="s">
        <v>257</v>
      </c>
      <c r="U151" s="21" t="s">
        <v>439</v>
      </c>
    </row>
    <row r="152" spans="1:21" x14ac:dyDescent="0.25">
      <c r="A152" s="33">
        <v>2013</v>
      </c>
      <c r="B152" s="44">
        <v>41466</v>
      </c>
      <c r="C152" s="45">
        <v>0.8930555555555556</v>
      </c>
      <c r="D152" s="21" t="s">
        <v>52</v>
      </c>
      <c r="E152" s="21" t="s">
        <v>257</v>
      </c>
      <c r="F152" s="33">
        <v>100</v>
      </c>
      <c r="G152" s="21" t="s">
        <v>369</v>
      </c>
      <c r="H152" s="33">
        <v>1</v>
      </c>
      <c r="I152" s="33">
        <v>0</v>
      </c>
      <c r="J152" s="33">
        <v>0</v>
      </c>
      <c r="K152" s="21" t="s">
        <v>358</v>
      </c>
      <c r="L152" s="21" t="s">
        <v>513</v>
      </c>
      <c r="N152" s="46">
        <v>69.16</v>
      </c>
      <c r="O152" s="46">
        <v>0</v>
      </c>
      <c r="P152" s="46">
        <v>39.200000000000003</v>
      </c>
      <c r="Q152" s="46">
        <v>69.16</v>
      </c>
      <c r="R152" s="47" t="s">
        <v>53</v>
      </c>
      <c r="S152" s="33" t="s">
        <v>257</v>
      </c>
      <c r="T152" s="33" t="s">
        <v>257</v>
      </c>
      <c r="U152" s="21" t="s">
        <v>440</v>
      </c>
    </row>
    <row r="153" spans="1:21" x14ac:dyDescent="0.25">
      <c r="A153" s="33">
        <v>2013</v>
      </c>
      <c r="B153" s="44">
        <v>41466</v>
      </c>
      <c r="C153" s="45">
        <v>0.8979166666666667</v>
      </c>
      <c r="D153" s="21" t="s">
        <v>52</v>
      </c>
      <c r="E153" s="21" t="s">
        <v>257</v>
      </c>
      <c r="F153" s="33">
        <v>150</v>
      </c>
      <c r="G153" s="21" t="s">
        <v>369</v>
      </c>
      <c r="H153" s="33">
        <v>1</v>
      </c>
      <c r="I153" s="33">
        <v>0</v>
      </c>
      <c r="J153" s="33">
        <v>0</v>
      </c>
      <c r="K153" s="21" t="s">
        <v>495</v>
      </c>
      <c r="L153" s="21" t="s">
        <v>499</v>
      </c>
      <c r="N153" s="46">
        <v>33.229999999999997</v>
      </c>
      <c r="O153" s="46">
        <v>0</v>
      </c>
      <c r="P153" s="46">
        <v>3.5</v>
      </c>
      <c r="Q153" s="46">
        <v>33.229999999999997</v>
      </c>
      <c r="R153" s="47" t="s">
        <v>53</v>
      </c>
      <c r="S153" s="33" t="s">
        <v>257</v>
      </c>
      <c r="T153" s="33" t="s">
        <v>257</v>
      </c>
      <c r="U153" s="21" t="s">
        <v>441</v>
      </c>
    </row>
    <row r="154" spans="1:21" x14ac:dyDescent="0.25">
      <c r="A154" s="33">
        <v>2013</v>
      </c>
      <c r="B154" s="44">
        <v>41466</v>
      </c>
      <c r="C154" s="45">
        <v>0.90625</v>
      </c>
      <c r="D154" s="21" t="s">
        <v>52</v>
      </c>
      <c r="E154" s="21" t="s">
        <v>257</v>
      </c>
      <c r="F154" s="33">
        <v>300</v>
      </c>
      <c r="G154" s="21" t="s">
        <v>369</v>
      </c>
      <c r="H154" s="33">
        <v>1</v>
      </c>
      <c r="I154" s="33">
        <v>0</v>
      </c>
      <c r="J154" s="33">
        <v>0</v>
      </c>
      <c r="K154" s="21" t="s">
        <v>338</v>
      </c>
      <c r="L154" s="21" t="s">
        <v>339</v>
      </c>
      <c r="N154" s="46">
        <v>21.55</v>
      </c>
      <c r="O154" s="46">
        <v>0</v>
      </c>
      <c r="P154" s="46">
        <v>1.6</v>
      </c>
      <c r="Q154" s="46">
        <v>21.55</v>
      </c>
      <c r="R154" s="47" t="s">
        <v>53</v>
      </c>
      <c r="S154" s="33" t="s">
        <v>257</v>
      </c>
      <c r="T154" s="33" t="s">
        <v>257</v>
      </c>
      <c r="U154" s="21" t="s">
        <v>257</v>
      </c>
    </row>
    <row r="155" spans="1:21" x14ac:dyDescent="0.25">
      <c r="A155" s="33">
        <v>2013</v>
      </c>
      <c r="B155" s="44">
        <v>41467</v>
      </c>
      <c r="C155" s="45">
        <v>0.4201388888888889</v>
      </c>
      <c r="D155" s="21" t="s">
        <v>52</v>
      </c>
      <c r="E155" s="21" t="s">
        <v>257</v>
      </c>
      <c r="F155" s="33">
        <v>1300</v>
      </c>
      <c r="G155" s="21" t="s">
        <v>369</v>
      </c>
      <c r="H155" s="33">
        <v>1</v>
      </c>
      <c r="I155" s="33">
        <v>0</v>
      </c>
      <c r="J155" s="33">
        <v>0</v>
      </c>
      <c r="K155" s="21" t="s">
        <v>288</v>
      </c>
      <c r="L155" s="21" t="s">
        <v>342</v>
      </c>
      <c r="N155" s="46">
        <v>116.34</v>
      </c>
      <c r="O155" s="46">
        <v>275</v>
      </c>
      <c r="P155" s="46">
        <v>49</v>
      </c>
      <c r="Q155" s="46">
        <v>391.34000000000003</v>
      </c>
      <c r="R155" s="47" t="s">
        <v>54</v>
      </c>
      <c r="S155" s="33" t="s">
        <v>257</v>
      </c>
      <c r="T155" s="33" t="s">
        <v>257</v>
      </c>
      <c r="U155" s="21" t="s">
        <v>442</v>
      </c>
    </row>
    <row r="156" spans="1:21" x14ac:dyDescent="0.25">
      <c r="A156" s="33">
        <v>2013</v>
      </c>
      <c r="B156" s="44">
        <v>41468</v>
      </c>
      <c r="C156" s="45">
        <v>0.2986111111111111</v>
      </c>
      <c r="D156" s="21" t="s">
        <v>51</v>
      </c>
      <c r="E156" s="21" t="s">
        <v>257</v>
      </c>
      <c r="F156" s="33" t="s">
        <v>257</v>
      </c>
      <c r="G156" s="21" t="s">
        <v>369</v>
      </c>
      <c r="H156" s="33">
        <v>1</v>
      </c>
      <c r="I156" s="33">
        <v>1</v>
      </c>
      <c r="J156" s="33">
        <v>0</v>
      </c>
      <c r="K156" s="21" t="s">
        <v>282</v>
      </c>
      <c r="L156" s="21" t="s">
        <v>283</v>
      </c>
      <c r="N156" s="46">
        <v>33.97</v>
      </c>
      <c r="O156" s="46">
        <v>30.71</v>
      </c>
      <c r="P156" s="46">
        <v>2.6</v>
      </c>
      <c r="Q156" s="46">
        <v>64.680000000000007</v>
      </c>
      <c r="R156" s="47" t="s">
        <v>53</v>
      </c>
      <c r="S156" s="33" t="s">
        <v>257</v>
      </c>
      <c r="T156" s="33" t="s">
        <v>257</v>
      </c>
      <c r="U156" s="21" t="s">
        <v>257</v>
      </c>
    </row>
    <row r="157" spans="1:21" x14ac:dyDescent="0.25">
      <c r="A157" s="33">
        <v>2013</v>
      </c>
      <c r="B157" s="44">
        <v>41468</v>
      </c>
      <c r="C157" s="45">
        <v>0.30902777777777779</v>
      </c>
      <c r="D157" s="21" t="s">
        <v>51</v>
      </c>
      <c r="E157" s="21" t="s">
        <v>257</v>
      </c>
      <c r="F157" s="33" t="s">
        <v>257</v>
      </c>
      <c r="G157" s="21" t="s">
        <v>369</v>
      </c>
      <c r="H157" s="33">
        <v>1</v>
      </c>
      <c r="I157" s="33">
        <v>1</v>
      </c>
      <c r="J157" s="33">
        <v>0</v>
      </c>
      <c r="K157" s="21" t="s">
        <v>282</v>
      </c>
      <c r="L157" s="21" t="s">
        <v>509</v>
      </c>
      <c r="N157" s="46">
        <v>34.82</v>
      </c>
      <c r="O157" s="46">
        <v>31.11</v>
      </c>
      <c r="P157" s="46">
        <v>1.6</v>
      </c>
      <c r="Q157" s="46">
        <v>65.930000000000007</v>
      </c>
      <c r="R157" s="47" t="s">
        <v>53</v>
      </c>
      <c r="S157" s="33" t="s">
        <v>257</v>
      </c>
      <c r="T157" s="33" t="s">
        <v>257</v>
      </c>
      <c r="U157" s="21" t="s">
        <v>257</v>
      </c>
    </row>
    <row r="158" spans="1:21" x14ac:dyDescent="0.25">
      <c r="A158" s="33">
        <v>2013</v>
      </c>
      <c r="B158" s="44">
        <v>41469</v>
      </c>
      <c r="C158" s="45">
        <v>0.4236111111111111</v>
      </c>
      <c r="D158" s="21" t="s">
        <v>51</v>
      </c>
      <c r="E158" s="21" t="s">
        <v>257</v>
      </c>
      <c r="F158" s="33" t="s">
        <v>257</v>
      </c>
      <c r="G158" s="21" t="s">
        <v>369</v>
      </c>
      <c r="H158" s="33">
        <v>1</v>
      </c>
      <c r="I158" s="33">
        <v>0</v>
      </c>
      <c r="J158" s="33">
        <v>1</v>
      </c>
      <c r="K158" s="21" t="s">
        <v>514</v>
      </c>
      <c r="L158" s="21" t="s">
        <v>515</v>
      </c>
      <c r="N158" s="46">
        <v>38.76</v>
      </c>
      <c r="O158" s="46">
        <v>36.229999999999997</v>
      </c>
      <c r="P158" s="46">
        <v>1.4</v>
      </c>
      <c r="Q158" s="46">
        <v>74.989999999999995</v>
      </c>
      <c r="R158" s="47" t="s">
        <v>55</v>
      </c>
      <c r="S158" s="33" t="s">
        <v>257</v>
      </c>
      <c r="T158" s="33" t="s">
        <v>257</v>
      </c>
      <c r="U158" s="21" t="s">
        <v>257</v>
      </c>
    </row>
    <row r="159" spans="1:21" x14ac:dyDescent="0.25">
      <c r="A159" s="33">
        <v>2013</v>
      </c>
      <c r="B159" s="44">
        <v>41469</v>
      </c>
      <c r="C159" s="45">
        <v>0.43124999999999997</v>
      </c>
      <c r="D159" s="21" t="s">
        <v>51</v>
      </c>
      <c r="E159" s="21" t="s">
        <v>257</v>
      </c>
      <c r="F159" s="33">
        <v>2</v>
      </c>
      <c r="G159" s="21" t="s">
        <v>369</v>
      </c>
      <c r="H159" s="33">
        <v>1</v>
      </c>
      <c r="I159" s="33">
        <v>0</v>
      </c>
      <c r="J159" s="33">
        <v>1</v>
      </c>
      <c r="K159" s="21" t="s">
        <v>495</v>
      </c>
      <c r="L159" s="21" t="s">
        <v>499</v>
      </c>
      <c r="N159" s="46">
        <v>41.67</v>
      </c>
      <c r="O159" s="46">
        <v>0</v>
      </c>
      <c r="P159" s="46">
        <v>2.8</v>
      </c>
      <c r="Q159" s="46">
        <v>41.67</v>
      </c>
      <c r="R159" s="47" t="s">
        <v>54</v>
      </c>
      <c r="S159" s="33" t="s">
        <v>257</v>
      </c>
      <c r="T159" s="33" t="s">
        <v>257</v>
      </c>
      <c r="U159" s="21" t="s">
        <v>257</v>
      </c>
    </row>
    <row r="160" spans="1:21" x14ac:dyDescent="0.25">
      <c r="A160" s="33">
        <v>2013</v>
      </c>
      <c r="B160" s="44">
        <v>41469</v>
      </c>
      <c r="C160" s="45">
        <v>0.43124999999999997</v>
      </c>
      <c r="D160" s="21" t="s">
        <v>51</v>
      </c>
      <c r="E160" s="21" t="s">
        <v>257</v>
      </c>
      <c r="F160" s="33">
        <v>200</v>
      </c>
      <c r="G160" s="21" t="s">
        <v>369</v>
      </c>
      <c r="H160" s="33">
        <v>1</v>
      </c>
      <c r="I160" s="33">
        <v>0</v>
      </c>
      <c r="J160" s="33">
        <v>0</v>
      </c>
      <c r="K160" s="21" t="s">
        <v>495</v>
      </c>
      <c r="L160" s="21" t="s">
        <v>499</v>
      </c>
      <c r="N160" s="46">
        <v>30.98</v>
      </c>
      <c r="O160" s="46">
        <v>0</v>
      </c>
      <c r="P160" s="46">
        <v>2.8</v>
      </c>
      <c r="Q160" s="46">
        <v>30.98</v>
      </c>
      <c r="R160" s="47" t="s">
        <v>53</v>
      </c>
      <c r="S160" s="33" t="s">
        <v>257</v>
      </c>
      <c r="T160" s="33" t="s">
        <v>257</v>
      </c>
      <c r="U160" s="21" t="s">
        <v>257</v>
      </c>
    </row>
    <row r="161" spans="1:21" x14ac:dyDescent="0.25">
      <c r="A161" s="33">
        <v>2013</v>
      </c>
      <c r="B161" s="44">
        <v>41469</v>
      </c>
      <c r="C161" s="45">
        <v>0.46527777777777773</v>
      </c>
      <c r="D161" s="21" t="s">
        <v>51</v>
      </c>
      <c r="E161" s="21" t="s">
        <v>257</v>
      </c>
      <c r="F161" s="33">
        <v>350</v>
      </c>
      <c r="G161" s="21" t="s">
        <v>369</v>
      </c>
      <c r="H161" s="33">
        <v>1</v>
      </c>
      <c r="I161" s="33">
        <v>0</v>
      </c>
      <c r="J161" s="33">
        <v>0</v>
      </c>
      <c r="K161" s="21" t="s">
        <v>288</v>
      </c>
      <c r="L161" s="21" t="s">
        <v>362</v>
      </c>
      <c r="N161" s="46">
        <v>39.380000000000003</v>
      </c>
      <c r="O161" s="46">
        <v>81.27</v>
      </c>
      <c r="P161" s="46">
        <v>2.4</v>
      </c>
      <c r="Q161" s="46">
        <v>120.65</v>
      </c>
      <c r="R161" s="47" t="s">
        <v>53</v>
      </c>
      <c r="S161" s="33" t="s">
        <v>257</v>
      </c>
      <c r="T161" s="33" t="s">
        <v>257</v>
      </c>
      <c r="U161" s="21" t="s">
        <v>257</v>
      </c>
    </row>
    <row r="162" spans="1:21" x14ac:dyDescent="0.25">
      <c r="A162" s="33">
        <v>2013</v>
      </c>
      <c r="B162" s="44">
        <v>41469</v>
      </c>
      <c r="C162" s="45">
        <v>0.83333333333333337</v>
      </c>
      <c r="D162" s="21" t="s">
        <v>51</v>
      </c>
      <c r="E162" s="21" t="s">
        <v>257</v>
      </c>
      <c r="F162" s="33" t="s">
        <v>257</v>
      </c>
      <c r="G162" s="21" t="s">
        <v>369</v>
      </c>
      <c r="H162" s="33">
        <v>1</v>
      </c>
      <c r="I162" s="33">
        <v>0</v>
      </c>
      <c r="J162" s="33">
        <v>0</v>
      </c>
      <c r="K162" s="21" t="s">
        <v>358</v>
      </c>
      <c r="L162" s="21" t="s">
        <v>513</v>
      </c>
      <c r="N162" s="46">
        <v>79.3</v>
      </c>
      <c r="O162" s="46">
        <v>0</v>
      </c>
      <c r="P162" s="46">
        <v>50.4</v>
      </c>
      <c r="Q162" s="46">
        <v>79.3</v>
      </c>
      <c r="R162" s="47" t="s">
        <v>53</v>
      </c>
      <c r="S162" s="33" t="s">
        <v>257</v>
      </c>
      <c r="T162" s="33" t="s">
        <v>257</v>
      </c>
      <c r="U162" s="21" t="s">
        <v>257</v>
      </c>
    </row>
    <row r="163" spans="1:21" x14ac:dyDescent="0.25">
      <c r="A163" s="33">
        <v>2013</v>
      </c>
      <c r="B163" s="44">
        <v>41469</v>
      </c>
      <c r="C163" s="45">
        <v>0.84027777777777779</v>
      </c>
      <c r="D163" s="21" t="s">
        <v>51</v>
      </c>
      <c r="E163" s="21" t="s">
        <v>257</v>
      </c>
      <c r="F163" s="33">
        <v>100</v>
      </c>
      <c r="G163" s="21" t="s">
        <v>369</v>
      </c>
      <c r="H163" s="33">
        <v>1</v>
      </c>
      <c r="I163" s="33">
        <v>0</v>
      </c>
      <c r="J163" s="33">
        <v>0</v>
      </c>
      <c r="K163" s="21" t="s">
        <v>288</v>
      </c>
      <c r="L163" s="21" t="s">
        <v>516</v>
      </c>
      <c r="N163" s="46">
        <v>62.2</v>
      </c>
      <c r="O163" s="46">
        <v>79.430000000000007</v>
      </c>
      <c r="P163" s="46">
        <v>8.1</v>
      </c>
      <c r="Q163" s="46">
        <v>141.63</v>
      </c>
      <c r="R163" s="47" t="s">
        <v>54</v>
      </c>
      <c r="S163" s="33" t="s">
        <v>257</v>
      </c>
      <c r="T163" s="33" t="s">
        <v>257</v>
      </c>
      <c r="U163" s="21" t="s">
        <v>257</v>
      </c>
    </row>
    <row r="164" spans="1:21" x14ac:dyDescent="0.25">
      <c r="A164" s="33">
        <v>2013</v>
      </c>
      <c r="B164" s="44">
        <v>41439</v>
      </c>
      <c r="C164" s="45">
        <v>0.84375</v>
      </c>
      <c r="D164" s="21" t="s">
        <v>51</v>
      </c>
      <c r="E164" s="21" t="s">
        <v>257</v>
      </c>
      <c r="F164" s="33">
        <v>150</v>
      </c>
      <c r="G164" s="21" t="s">
        <v>369</v>
      </c>
      <c r="H164" s="33">
        <v>1</v>
      </c>
      <c r="I164" s="33">
        <v>0</v>
      </c>
      <c r="J164" s="33">
        <v>0</v>
      </c>
      <c r="K164" s="21" t="s">
        <v>288</v>
      </c>
      <c r="L164" s="21" t="s">
        <v>516</v>
      </c>
      <c r="N164" s="46">
        <v>63.15</v>
      </c>
      <c r="O164" s="46">
        <v>68.3</v>
      </c>
      <c r="P164" s="46">
        <v>8.6</v>
      </c>
      <c r="Q164" s="46">
        <v>131.44999999999999</v>
      </c>
      <c r="R164" s="47" t="s">
        <v>54</v>
      </c>
      <c r="S164" s="33" t="s">
        <v>257</v>
      </c>
      <c r="T164" s="33" t="s">
        <v>257</v>
      </c>
      <c r="U164" s="21" t="s">
        <v>257</v>
      </c>
    </row>
    <row r="165" spans="1:21" x14ac:dyDescent="0.25">
      <c r="A165" s="33">
        <v>2013</v>
      </c>
      <c r="B165" s="44">
        <v>41470</v>
      </c>
      <c r="C165" s="45">
        <v>0.39583333333333331</v>
      </c>
      <c r="D165" s="21" t="s">
        <v>51</v>
      </c>
      <c r="E165" s="21" t="s">
        <v>257</v>
      </c>
      <c r="F165" s="33">
        <v>6</v>
      </c>
      <c r="G165" s="21" t="s">
        <v>369</v>
      </c>
      <c r="H165" s="33">
        <v>1</v>
      </c>
      <c r="I165" s="33">
        <v>0</v>
      </c>
      <c r="J165" s="33">
        <v>0</v>
      </c>
      <c r="K165" s="21" t="s">
        <v>514</v>
      </c>
      <c r="L165" s="21" t="s">
        <v>515</v>
      </c>
      <c r="N165" s="46">
        <v>59.81</v>
      </c>
      <c r="O165" s="46">
        <v>125.68</v>
      </c>
      <c r="P165" s="46">
        <v>7.3</v>
      </c>
      <c r="Q165" s="46">
        <v>185.49</v>
      </c>
      <c r="R165" s="47" t="s">
        <v>53</v>
      </c>
      <c r="S165" s="33" t="s">
        <v>257</v>
      </c>
      <c r="T165" s="33" t="s">
        <v>257</v>
      </c>
      <c r="U165" s="21" t="s">
        <v>257</v>
      </c>
    </row>
    <row r="166" spans="1:21" x14ac:dyDescent="0.25">
      <c r="A166" s="33">
        <v>2013</v>
      </c>
      <c r="B166" s="44">
        <v>41470</v>
      </c>
      <c r="C166" s="45">
        <v>0.44305555555555554</v>
      </c>
      <c r="D166" s="21" t="s">
        <v>51</v>
      </c>
      <c r="E166" s="21" t="s">
        <v>257</v>
      </c>
      <c r="F166" s="33" t="s">
        <v>257</v>
      </c>
      <c r="G166" s="21" t="s">
        <v>369</v>
      </c>
      <c r="H166" s="33">
        <v>1</v>
      </c>
      <c r="I166" s="33">
        <v>0</v>
      </c>
      <c r="J166" s="33">
        <v>0</v>
      </c>
      <c r="K166" s="21" t="s">
        <v>296</v>
      </c>
      <c r="L166" s="21" t="s">
        <v>346</v>
      </c>
      <c r="N166" s="46">
        <v>73.16</v>
      </c>
      <c r="O166" s="46">
        <v>93.62</v>
      </c>
      <c r="P166" s="46">
        <v>15.4</v>
      </c>
      <c r="Q166" s="46">
        <v>166.78</v>
      </c>
      <c r="R166" s="47" t="s">
        <v>54</v>
      </c>
      <c r="S166" s="33" t="s">
        <v>257</v>
      </c>
      <c r="T166" s="33" t="s">
        <v>257</v>
      </c>
      <c r="U166" s="21" t="s">
        <v>257</v>
      </c>
    </row>
    <row r="167" spans="1:21" x14ac:dyDescent="0.25">
      <c r="A167" s="33">
        <v>2013</v>
      </c>
      <c r="B167" s="44">
        <v>41470</v>
      </c>
      <c r="C167" s="45">
        <v>0.44375000000000003</v>
      </c>
      <c r="D167" s="21" t="s">
        <v>51</v>
      </c>
      <c r="E167" s="21" t="s">
        <v>257</v>
      </c>
      <c r="F167" s="33" t="s">
        <v>257</v>
      </c>
      <c r="G167" s="21" t="s">
        <v>369</v>
      </c>
      <c r="H167" s="33">
        <v>1</v>
      </c>
      <c r="I167" s="33">
        <v>0</v>
      </c>
      <c r="J167" s="33">
        <v>0</v>
      </c>
      <c r="K167" s="21" t="s">
        <v>296</v>
      </c>
      <c r="L167" s="21" t="s">
        <v>346</v>
      </c>
      <c r="N167" s="46">
        <v>37.79</v>
      </c>
      <c r="O167" s="46">
        <v>23.7</v>
      </c>
      <c r="P167" s="46">
        <v>2.9</v>
      </c>
      <c r="Q167" s="46">
        <v>61.489999999999995</v>
      </c>
      <c r="R167" s="47" t="s">
        <v>53</v>
      </c>
      <c r="S167" s="33" t="s">
        <v>257</v>
      </c>
      <c r="T167" s="33" t="s">
        <v>257</v>
      </c>
      <c r="U167" s="21" t="s">
        <v>257</v>
      </c>
    </row>
    <row r="168" spans="1:21" x14ac:dyDescent="0.25">
      <c r="A168" s="33">
        <v>2013</v>
      </c>
      <c r="B168" s="44">
        <v>41471</v>
      </c>
      <c r="C168" s="45">
        <v>0.375</v>
      </c>
      <c r="D168" s="21" t="s">
        <v>51</v>
      </c>
      <c r="E168" s="21" t="s">
        <v>257</v>
      </c>
      <c r="F168" s="33" t="s">
        <v>257</v>
      </c>
      <c r="G168" s="21" t="s">
        <v>369</v>
      </c>
      <c r="H168" s="33">
        <v>1</v>
      </c>
      <c r="I168" s="33">
        <v>0</v>
      </c>
      <c r="J168" s="33">
        <v>0</v>
      </c>
      <c r="K168" s="21" t="s">
        <v>288</v>
      </c>
      <c r="L168" s="21" t="s">
        <v>516</v>
      </c>
      <c r="N168" s="46">
        <v>54.39</v>
      </c>
      <c r="O168" s="46">
        <v>97.45</v>
      </c>
      <c r="P168" s="46">
        <v>4</v>
      </c>
      <c r="Q168" s="46">
        <v>151.84</v>
      </c>
      <c r="R168" s="47" t="s">
        <v>53</v>
      </c>
      <c r="S168" s="33" t="s">
        <v>257</v>
      </c>
      <c r="T168" s="33" t="s">
        <v>257</v>
      </c>
      <c r="U168" s="21" t="s">
        <v>443</v>
      </c>
    </row>
    <row r="169" spans="1:21" x14ac:dyDescent="0.25">
      <c r="A169" s="33">
        <v>2013</v>
      </c>
      <c r="B169" s="44">
        <v>41472</v>
      </c>
      <c r="C169" s="45">
        <v>0.38541666666666669</v>
      </c>
      <c r="D169" s="21" t="s">
        <v>51</v>
      </c>
      <c r="E169" s="21" t="s">
        <v>257</v>
      </c>
      <c r="F169" s="33">
        <v>500</v>
      </c>
      <c r="G169" s="21" t="s">
        <v>369</v>
      </c>
      <c r="H169" s="33">
        <v>1</v>
      </c>
      <c r="I169" s="33">
        <v>0</v>
      </c>
      <c r="J169" s="33">
        <v>0</v>
      </c>
      <c r="K169" s="21" t="s">
        <v>335</v>
      </c>
      <c r="L169" s="21" t="s">
        <v>517</v>
      </c>
      <c r="N169" s="46">
        <v>390</v>
      </c>
      <c r="O169" s="46">
        <v>60</v>
      </c>
      <c r="P169" s="46">
        <v>0</v>
      </c>
      <c r="Q169" s="46">
        <v>450</v>
      </c>
      <c r="R169" s="47" t="s">
        <v>53</v>
      </c>
      <c r="S169" s="33" t="s">
        <v>257</v>
      </c>
      <c r="T169" s="33" t="s">
        <v>257</v>
      </c>
      <c r="U169" s="21" t="s">
        <v>444</v>
      </c>
    </row>
    <row r="170" spans="1:21" x14ac:dyDescent="0.25">
      <c r="A170" s="33">
        <v>2013</v>
      </c>
      <c r="B170" s="44">
        <v>41472</v>
      </c>
      <c r="C170" s="45">
        <v>0.39652777777777781</v>
      </c>
      <c r="D170" s="21" t="s">
        <v>51</v>
      </c>
      <c r="E170" s="21" t="s">
        <v>257</v>
      </c>
      <c r="F170" s="33">
        <v>550</v>
      </c>
      <c r="G170" s="21" t="s">
        <v>369</v>
      </c>
      <c r="H170" s="33">
        <v>1</v>
      </c>
      <c r="I170" s="33">
        <v>0</v>
      </c>
      <c r="J170" s="33">
        <v>0</v>
      </c>
      <c r="K170" s="21" t="s">
        <v>335</v>
      </c>
      <c r="L170" s="21" t="s">
        <v>517</v>
      </c>
      <c r="N170" s="46">
        <v>426</v>
      </c>
      <c r="O170" s="46">
        <v>63</v>
      </c>
      <c r="P170" s="46">
        <v>0</v>
      </c>
      <c r="Q170" s="46">
        <v>489</v>
      </c>
      <c r="R170" s="47" t="s">
        <v>53</v>
      </c>
      <c r="S170" s="33" t="s">
        <v>257</v>
      </c>
      <c r="T170" s="33" t="s">
        <v>257</v>
      </c>
      <c r="U170" s="21" t="s">
        <v>445</v>
      </c>
    </row>
    <row r="171" spans="1:21" x14ac:dyDescent="0.25">
      <c r="A171" s="33">
        <v>2013</v>
      </c>
      <c r="B171" s="44">
        <v>41472</v>
      </c>
      <c r="C171" s="45">
        <v>0.39999999999999997</v>
      </c>
      <c r="D171" s="21" t="s">
        <v>51</v>
      </c>
      <c r="E171" s="21" t="s">
        <v>257</v>
      </c>
      <c r="F171" s="33">
        <v>550</v>
      </c>
      <c r="G171" s="21" t="s">
        <v>369</v>
      </c>
      <c r="H171" s="33">
        <v>1</v>
      </c>
      <c r="I171" s="33">
        <v>0</v>
      </c>
      <c r="J171" s="33">
        <v>0</v>
      </c>
      <c r="K171" s="21" t="s">
        <v>335</v>
      </c>
      <c r="L171" s="21" t="s">
        <v>517</v>
      </c>
      <c r="N171" s="46">
        <v>0</v>
      </c>
      <c r="O171" s="46">
        <v>0</v>
      </c>
      <c r="P171" s="46">
        <v>0</v>
      </c>
      <c r="Q171" s="46">
        <v>0</v>
      </c>
      <c r="R171" s="47" t="s">
        <v>55</v>
      </c>
      <c r="S171" s="33" t="s">
        <v>257</v>
      </c>
      <c r="T171" s="33" t="s">
        <v>257</v>
      </c>
      <c r="U171" s="21" t="s">
        <v>446</v>
      </c>
    </row>
    <row r="172" spans="1:21" x14ac:dyDescent="0.25">
      <c r="A172" s="33">
        <v>2013</v>
      </c>
      <c r="B172" s="44">
        <v>41472</v>
      </c>
      <c r="C172" s="45">
        <v>0.40625</v>
      </c>
      <c r="D172" s="21" t="s">
        <v>51</v>
      </c>
      <c r="E172" s="21" t="s">
        <v>257</v>
      </c>
      <c r="F172" s="33">
        <v>550</v>
      </c>
      <c r="G172" s="21" t="s">
        <v>369</v>
      </c>
      <c r="H172" s="33">
        <v>1</v>
      </c>
      <c r="I172" s="33">
        <v>0</v>
      </c>
      <c r="J172" s="33">
        <v>0</v>
      </c>
      <c r="K172" s="21" t="s">
        <v>335</v>
      </c>
      <c r="L172" s="21" t="s">
        <v>517</v>
      </c>
      <c r="N172" s="46">
        <v>0</v>
      </c>
      <c r="O172" s="46">
        <v>0</v>
      </c>
      <c r="P172" s="46">
        <v>0</v>
      </c>
      <c r="Q172" s="46">
        <v>0</v>
      </c>
      <c r="R172" s="47" t="s">
        <v>55</v>
      </c>
      <c r="S172" s="33" t="s">
        <v>257</v>
      </c>
      <c r="T172" s="33" t="s">
        <v>257</v>
      </c>
      <c r="U172" s="21" t="s">
        <v>444</v>
      </c>
    </row>
    <row r="173" spans="1:21" x14ac:dyDescent="0.25">
      <c r="A173" s="33">
        <v>2013</v>
      </c>
      <c r="B173" s="44">
        <v>41472</v>
      </c>
      <c r="C173" s="45">
        <v>0.40763888888888888</v>
      </c>
      <c r="D173" s="21" t="s">
        <v>51</v>
      </c>
      <c r="E173" s="21" t="s">
        <v>257</v>
      </c>
      <c r="F173" s="33">
        <v>550</v>
      </c>
      <c r="G173" s="21" t="s">
        <v>369</v>
      </c>
      <c r="H173" s="33">
        <v>1</v>
      </c>
      <c r="I173" s="33">
        <v>0</v>
      </c>
      <c r="J173" s="33">
        <v>0</v>
      </c>
      <c r="K173" s="21" t="s">
        <v>335</v>
      </c>
      <c r="L173" s="21" t="s">
        <v>517</v>
      </c>
      <c r="N173" s="46">
        <v>0</v>
      </c>
      <c r="O173" s="46">
        <v>0</v>
      </c>
      <c r="P173" s="46">
        <v>0</v>
      </c>
      <c r="Q173" s="46">
        <v>0</v>
      </c>
      <c r="R173" s="47" t="s">
        <v>55</v>
      </c>
      <c r="S173" s="33" t="s">
        <v>257</v>
      </c>
      <c r="T173" s="33" t="s">
        <v>257</v>
      </c>
      <c r="U173" s="21" t="s">
        <v>447</v>
      </c>
    </row>
    <row r="174" spans="1:21" x14ac:dyDescent="0.25">
      <c r="A174" s="33">
        <v>2013</v>
      </c>
      <c r="B174" s="44">
        <v>41472</v>
      </c>
      <c r="C174" s="45">
        <v>0.40972222222222227</v>
      </c>
      <c r="D174" s="21" t="s">
        <v>51</v>
      </c>
      <c r="E174" s="21" t="s">
        <v>257</v>
      </c>
      <c r="F174" s="33">
        <v>550</v>
      </c>
      <c r="G174" s="21" t="s">
        <v>369</v>
      </c>
      <c r="H174" s="33">
        <v>1</v>
      </c>
      <c r="I174" s="33">
        <v>0</v>
      </c>
      <c r="J174" s="33">
        <v>0</v>
      </c>
      <c r="K174" s="21" t="s">
        <v>335</v>
      </c>
      <c r="L174" s="21" t="s">
        <v>517</v>
      </c>
      <c r="N174" s="46">
        <v>0</v>
      </c>
      <c r="O174" s="46">
        <v>0</v>
      </c>
      <c r="P174" s="46">
        <v>0</v>
      </c>
      <c r="Q174" s="46">
        <v>0</v>
      </c>
      <c r="R174" s="47" t="s">
        <v>55</v>
      </c>
      <c r="S174" s="33" t="s">
        <v>257</v>
      </c>
      <c r="T174" s="33" t="s">
        <v>257</v>
      </c>
      <c r="U174" s="21" t="s">
        <v>448</v>
      </c>
    </row>
    <row r="175" spans="1:21" x14ac:dyDescent="0.25">
      <c r="A175" s="33">
        <v>2013</v>
      </c>
      <c r="B175" s="44">
        <v>41472</v>
      </c>
      <c r="C175" s="45">
        <v>0.43124999999999997</v>
      </c>
      <c r="D175" s="21" t="s">
        <v>51</v>
      </c>
      <c r="E175" s="21" t="s">
        <v>257</v>
      </c>
      <c r="F175" s="33">
        <v>800</v>
      </c>
      <c r="G175" s="21" t="s">
        <v>369</v>
      </c>
      <c r="H175" s="33">
        <v>1</v>
      </c>
      <c r="I175" s="33">
        <v>0</v>
      </c>
      <c r="J175" s="33">
        <v>0</v>
      </c>
      <c r="K175" s="21" t="s">
        <v>288</v>
      </c>
      <c r="L175" s="21" t="s">
        <v>362</v>
      </c>
      <c r="N175" s="46">
        <v>0</v>
      </c>
      <c r="O175" s="46">
        <v>0</v>
      </c>
      <c r="P175" s="46">
        <v>0</v>
      </c>
      <c r="Q175" s="46">
        <v>0</v>
      </c>
      <c r="R175" s="47" t="s">
        <v>55</v>
      </c>
      <c r="S175" s="33" t="s">
        <v>257</v>
      </c>
      <c r="T175" s="33" t="s">
        <v>257</v>
      </c>
      <c r="U175" s="21" t="s">
        <v>413</v>
      </c>
    </row>
    <row r="176" spans="1:21" x14ac:dyDescent="0.25">
      <c r="A176" s="33">
        <v>2013</v>
      </c>
      <c r="B176" s="44">
        <v>41472</v>
      </c>
      <c r="C176" s="45">
        <v>0.79861111111111116</v>
      </c>
      <c r="D176" s="21" t="s">
        <v>51</v>
      </c>
      <c r="E176" s="21" t="s">
        <v>257</v>
      </c>
      <c r="F176" s="33" t="s">
        <v>257</v>
      </c>
      <c r="G176" s="21" t="s">
        <v>369</v>
      </c>
      <c r="H176" s="33">
        <v>1</v>
      </c>
      <c r="I176" s="33">
        <v>0</v>
      </c>
      <c r="J176" s="33">
        <v>0</v>
      </c>
      <c r="K176" s="21" t="s">
        <v>358</v>
      </c>
      <c r="L176" s="21" t="s">
        <v>513</v>
      </c>
      <c r="N176" s="46">
        <v>62.4</v>
      </c>
      <c r="O176" s="46">
        <v>0</v>
      </c>
      <c r="P176" s="46">
        <v>9.6</v>
      </c>
      <c r="Q176" s="46">
        <v>62.4</v>
      </c>
      <c r="R176" s="47" t="s">
        <v>53</v>
      </c>
      <c r="S176" s="33" t="s">
        <v>257</v>
      </c>
      <c r="T176" s="33" t="s">
        <v>257</v>
      </c>
      <c r="U176" s="21" t="s">
        <v>380</v>
      </c>
    </row>
    <row r="177" spans="1:21" x14ac:dyDescent="0.25">
      <c r="A177" s="33">
        <v>2013</v>
      </c>
      <c r="B177" s="44">
        <v>41472</v>
      </c>
      <c r="C177" s="45">
        <v>0.71319444444444446</v>
      </c>
      <c r="D177" s="21" t="s">
        <v>51</v>
      </c>
      <c r="E177" s="21" t="s">
        <v>257</v>
      </c>
      <c r="F177" s="33" t="s">
        <v>257</v>
      </c>
      <c r="G177" s="21" t="s">
        <v>369</v>
      </c>
      <c r="H177" s="33">
        <v>1</v>
      </c>
      <c r="I177" s="33">
        <v>0</v>
      </c>
      <c r="J177" s="33">
        <v>0</v>
      </c>
      <c r="K177" s="21" t="s">
        <v>358</v>
      </c>
      <c r="L177" s="21" t="s">
        <v>359</v>
      </c>
      <c r="N177" s="46">
        <v>56.2</v>
      </c>
      <c r="O177" s="46">
        <v>0</v>
      </c>
      <c r="P177" s="46">
        <v>7</v>
      </c>
      <c r="Q177" s="46">
        <v>56.2</v>
      </c>
      <c r="R177" s="47" t="s">
        <v>379</v>
      </c>
      <c r="S177" s="33" t="s">
        <v>257</v>
      </c>
      <c r="T177" s="33" t="s">
        <v>257</v>
      </c>
      <c r="U177" s="21" t="s">
        <v>380</v>
      </c>
    </row>
    <row r="178" spans="1:21" x14ac:dyDescent="0.25">
      <c r="A178" s="33">
        <v>2013</v>
      </c>
      <c r="B178" s="44">
        <v>41473</v>
      </c>
      <c r="C178" s="45">
        <v>0.87986111111111109</v>
      </c>
      <c r="D178" s="21" t="s">
        <v>51</v>
      </c>
      <c r="E178" s="21" t="s">
        <v>257</v>
      </c>
      <c r="F178" s="33">
        <v>10</v>
      </c>
      <c r="G178" s="21" t="s">
        <v>369</v>
      </c>
      <c r="H178" s="33">
        <v>1</v>
      </c>
      <c r="I178" s="33">
        <v>0</v>
      </c>
      <c r="J178" s="33">
        <v>0</v>
      </c>
      <c r="K178" s="21" t="s">
        <v>358</v>
      </c>
      <c r="L178" s="21" t="s">
        <v>359</v>
      </c>
      <c r="N178" s="46">
        <v>38.119999999999997</v>
      </c>
      <c r="O178" s="46">
        <v>0</v>
      </c>
      <c r="P178" s="46">
        <v>6.2</v>
      </c>
      <c r="Q178" s="46">
        <v>38.119999999999997</v>
      </c>
      <c r="R178" s="47" t="s">
        <v>53</v>
      </c>
      <c r="S178" s="33" t="s">
        <v>257</v>
      </c>
      <c r="T178" s="33" t="s">
        <v>257</v>
      </c>
      <c r="U178" s="21" t="s">
        <v>449</v>
      </c>
    </row>
    <row r="179" spans="1:21" x14ac:dyDescent="0.25">
      <c r="A179" s="33">
        <v>2013</v>
      </c>
      <c r="B179" s="44">
        <v>41473</v>
      </c>
      <c r="C179" s="45">
        <v>0.88611111111111107</v>
      </c>
      <c r="D179" s="21" t="s">
        <v>51</v>
      </c>
      <c r="E179" s="21" t="s">
        <v>257</v>
      </c>
      <c r="F179" s="33">
        <v>100</v>
      </c>
      <c r="G179" s="21" t="s">
        <v>369</v>
      </c>
      <c r="H179" s="33">
        <v>1</v>
      </c>
      <c r="I179" s="33">
        <v>0</v>
      </c>
      <c r="J179" s="33">
        <v>0</v>
      </c>
      <c r="K179" s="21" t="s">
        <v>358</v>
      </c>
      <c r="L179" s="21" t="s">
        <v>359</v>
      </c>
      <c r="N179" s="46">
        <v>40.57</v>
      </c>
      <c r="O179" s="46">
        <v>0</v>
      </c>
      <c r="P179" s="46">
        <v>8.1</v>
      </c>
      <c r="Q179" s="46">
        <v>40.57</v>
      </c>
      <c r="R179" s="47" t="s">
        <v>54</v>
      </c>
      <c r="S179" s="33" t="s">
        <v>257</v>
      </c>
      <c r="T179" s="33" t="s">
        <v>257</v>
      </c>
      <c r="U179" s="21" t="s">
        <v>450</v>
      </c>
    </row>
    <row r="180" spans="1:21" x14ac:dyDescent="0.25">
      <c r="A180" s="33">
        <v>2013</v>
      </c>
      <c r="B180" s="44">
        <v>41473</v>
      </c>
      <c r="C180" s="45">
        <v>0.88611111111111107</v>
      </c>
      <c r="D180" s="21" t="s">
        <v>51</v>
      </c>
      <c r="E180" s="21" t="s">
        <v>257</v>
      </c>
      <c r="F180" s="33">
        <v>100</v>
      </c>
      <c r="G180" s="21" t="s">
        <v>369</v>
      </c>
      <c r="H180" s="33">
        <v>1</v>
      </c>
      <c r="I180" s="33">
        <v>0</v>
      </c>
      <c r="J180" s="33">
        <v>0</v>
      </c>
      <c r="K180" s="21" t="s">
        <v>288</v>
      </c>
      <c r="L180" s="21" t="s">
        <v>516</v>
      </c>
      <c r="N180" s="46">
        <v>39.33</v>
      </c>
      <c r="O180" s="46">
        <v>62.7</v>
      </c>
      <c r="P180" s="46">
        <v>1.5</v>
      </c>
      <c r="Q180" s="46">
        <v>102.03</v>
      </c>
      <c r="R180" s="47" t="s">
        <v>53</v>
      </c>
      <c r="S180" s="33" t="s">
        <v>257</v>
      </c>
      <c r="T180" s="33" t="s">
        <v>257</v>
      </c>
      <c r="U180" s="21" t="s">
        <v>451</v>
      </c>
    </row>
    <row r="181" spans="1:21" x14ac:dyDescent="0.25">
      <c r="A181" s="33">
        <v>2013</v>
      </c>
      <c r="B181" s="44">
        <v>41473</v>
      </c>
      <c r="C181" s="45">
        <v>0.91180555555555554</v>
      </c>
      <c r="D181" s="21" t="s">
        <v>51</v>
      </c>
      <c r="E181" s="21" t="s">
        <v>257</v>
      </c>
      <c r="F181" s="33">
        <v>300</v>
      </c>
      <c r="G181" s="21" t="s">
        <v>369</v>
      </c>
      <c r="H181" s="33">
        <v>1</v>
      </c>
      <c r="I181" s="33">
        <v>0</v>
      </c>
      <c r="J181" s="33">
        <v>0</v>
      </c>
      <c r="K181" s="21" t="s">
        <v>358</v>
      </c>
      <c r="L181" s="21" t="s">
        <v>359</v>
      </c>
      <c r="N181" s="46">
        <v>0</v>
      </c>
      <c r="O181" s="46">
        <v>0</v>
      </c>
      <c r="P181" s="46">
        <v>0</v>
      </c>
      <c r="Q181" s="46">
        <v>0</v>
      </c>
      <c r="R181" s="47" t="s">
        <v>55</v>
      </c>
      <c r="S181" s="33" t="s">
        <v>257</v>
      </c>
      <c r="T181" s="33" t="s">
        <v>257</v>
      </c>
      <c r="U181" s="21" t="s">
        <v>452</v>
      </c>
    </row>
    <row r="182" spans="1:21" x14ac:dyDescent="0.25">
      <c r="A182" s="33">
        <v>2013</v>
      </c>
      <c r="B182" s="44">
        <v>41473</v>
      </c>
      <c r="C182" s="45">
        <v>0.91319444444444453</v>
      </c>
      <c r="D182" s="21" t="s">
        <v>51</v>
      </c>
      <c r="E182" s="21" t="s">
        <v>257</v>
      </c>
      <c r="F182" s="33">
        <v>300</v>
      </c>
      <c r="G182" s="21" t="s">
        <v>369</v>
      </c>
      <c r="H182" s="33">
        <v>1</v>
      </c>
      <c r="I182" s="33">
        <v>0</v>
      </c>
      <c r="J182" s="33">
        <v>0</v>
      </c>
      <c r="K182" s="21" t="s">
        <v>358</v>
      </c>
      <c r="L182" s="21" t="s">
        <v>359</v>
      </c>
      <c r="N182" s="46">
        <v>35.35</v>
      </c>
      <c r="O182" s="46">
        <v>0</v>
      </c>
      <c r="P182" s="46">
        <v>5</v>
      </c>
      <c r="Q182" s="46">
        <v>35.35</v>
      </c>
      <c r="R182" s="47" t="s">
        <v>54</v>
      </c>
      <c r="S182" s="33" t="s">
        <v>257</v>
      </c>
      <c r="T182" s="33" t="s">
        <v>257</v>
      </c>
      <c r="U182" s="21" t="s">
        <v>453</v>
      </c>
    </row>
    <row r="183" spans="1:21" x14ac:dyDescent="0.25">
      <c r="A183" s="33">
        <v>2013</v>
      </c>
      <c r="B183" s="44">
        <v>41473</v>
      </c>
      <c r="C183" s="45">
        <v>0.91319444444444453</v>
      </c>
      <c r="D183" s="21" t="s">
        <v>51</v>
      </c>
      <c r="E183" s="21" t="s">
        <v>257</v>
      </c>
      <c r="F183" s="33">
        <v>300</v>
      </c>
      <c r="G183" s="21" t="s">
        <v>369</v>
      </c>
      <c r="H183" s="33">
        <v>1</v>
      </c>
      <c r="I183" s="33">
        <v>0</v>
      </c>
      <c r="J183" s="33">
        <v>0</v>
      </c>
      <c r="K183" s="21" t="s">
        <v>358</v>
      </c>
      <c r="L183" s="21" t="s">
        <v>359</v>
      </c>
      <c r="N183" s="46">
        <v>0</v>
      </c>
      <c r="O183" s="46">
        <v>0</v>
      </c>
      <c r="P183" s="46">
        <v>0</v>
      </c>
      <c r="Q183" s="46">
        <v>0</v>
      </c>
      <c r="R183" s="47" t="s">
        <v>55</v>
      </c>
      <c r="S183" s="33" t="s">
        <v>257</v>
      </c>
      <c r="T183" s="33" t="s">
        <v>257</v>
      </c>
      <c r="U183" s="21" t="s">
        <v>454</v>
      </c>
    </row>
    <row r="184" spans="1:21" x14ac:dyDescent="0.25">
      <c r="A184" s="33">
        <v>2013</v>
      </c>
      <c r="B184" s="44">
        <v>41473</v>
      </c>
      <c r="C184" s="45">
        <v>0.92361111111111116</v>
      </c>
      <c r="D184" s="21" t="s">
        <v>51</v>
      </c>
      <c r="E184" s="21" t="s">
        <v>257</v>
      </c>
      <c r="F184" s="33">
        <v>500</v>
      </c>
      <c r="G184" s="21" t="s">
        <v>369</v>
      </c>
      <c r="H184" s="33">
        <v>1</v>
      </c>
      <c r="I184" s="33">
        <v>0</v>
      </c>
      <c r="J184" s="33">
        <v>0</v>
      </c>
      <c r="K184" s="21" t="s">
        <v>518</v>
      </c>
      <c r="L184" s="21" t="s">
        <v>519</v>
      </c>
      <c r="N184" s="46">
        <v>65.83</v>
      </c>
      <c r="O184" s="46">
        <v>126</v>
      </c>
      <c r="P184" s="46">
        <v>4</v>
      </c>
      <c r="Q184" s="46">
        <v>191.82999999999998</v>
      </c>
      <c r="R184" s="47" t="s">
        <v>53</v>
      </c>
      <c r="S184" s="33" t="s">
        <v>257</v>
      </c>
      <c r="T184" s="33" t="s">
        <v>257</v>
      </c>
      <c r="U184" s="21" t="s">
        <v>455</v>
      </c>
    </row>
    <row r="185" spans="1:21" x14ac:dyDescent="0.25">
      <c r="A185" s="33">
        <v>2013</v>
      </c>
      <c r="B185" s="44">
        <v>41475</v>
      </c>
      <c r="C185" s="45">
        <v>0.42708333333333331</v>
      </c>
      <c r="D185" s="21" t="s">
        <v>51</v>
      </c>
      <c r="E185" s="21" t="s">
        <v>257</v>
      </c>
      <c r="F185" s="33">
        <v>300</v>
      </c>
      <c r="G185" s="21" t="s">
        <v>369</v>
      </c>
      <c r="H185" s="33">
        <v>1</v>
      </c>
      <c r="I185" s="33">
        <v>0</v>
      </c>
      <c r="J185" s="33">
        <v>0</v>
      </c>
      <c r="K185" s="21" t="s">
        <v>518</v>
      </c>
      <c r="L185" s="21" t="s">
        <v>519</v>
      </c>
      <c r="N185" s="46">
        <v>66.69</v>
      </c>
      <c r="O185" s="46">
        <v>125.01</v>
      </c>
      <c r="P185" s="46">
        <v>5</v>
      </c>
      <c r="Q185" s="46">
        <v>191.7</v>
      </c>
      <c r="R185" s="47" t="s">
        <v>54</v>
      </c>
      <c r="S185" s="33" t="s">
        <v>257</v>
      </c>
      <c r="T185" s="33" t="s">
        <v>257</v>
      </c>
      <c r="U185" s="21" t="s">
        <v>456</v>
      </c>
    </row>
    <row r="186" spans="1:21" x14ac:dyDescent="0.25">
      <c r="A186" s="33">
        <v>2013</v>
      </c>
      <c r="B186" s="44">
        <v>41475</v>
      </c>
      <c r="C186" s="45">
        <v>0.95833333333333337</v>
      </c>
      <c r="D186" s="21" t="s">
        <v>51</v>
      </c>
      <c r="E186" s="21" t="s">
        <v>223</v>
      </c>
      <c r="F186" s="33">
        <v>1000</v>
      </c>
      <c r="G186" s="21" t="s">
        <v>369</v>
      </c>
      <c r="H186" s="33">
        <v>1</v>
      </c>
      <c r="I186" s="33">
        <v>1</v>
      </c>
      <c r="J186" s="33">
        <v>1</v>
      </c>
      <c r="K186" s="21" t="s">
        <v>298</v>
      </c>
      <c r="L186" s="21" t="s">
        <v>494</v>
      </c>
      <c r="N186" s="46">
        <v>0</v>
      </c>
      <c r="O186" s="46">
        <v>0</v>
      </c>
      <c r="P186" s="46">
        <v>0</v>
      </c>
      <c r="Q186" s="46">
        <v>0</v>
      </c>
      <c r="R186" s="47" t="s">
        <v>55</v>
      </c>
      <c r="S186" s="33" t="s">
        <v>257</v>
      </c>
      <c r="T186" s="33" t="s">
        <v>257</v>
      </c>
      <c r="U186" s="21" t="s">
        <v>457</v>
      </c>
    </row>
    <row r="187" spans="1:21" x14ac:dyDescent="0.25">
      <c r="A187" s="33">
        <v>2013</v>
      </c>
      <c r="B187" s="44">
        <v>41475</v>
      </c>
      <c r="C187" s="45">
        <v>0.97638888888888886</v>
      </c>
      <c r="D187" s="21" t="s">
        <v>51</v>
      </c>
      <c r="E187" s="21" t="s">
        <v>223</v>
      </c>
      <c r="F187" s="33">
        <v>970</v>
      </c>
      <c r="G187" s="21" t="s">
        <v>369</v>
      </c>
      <c r="H187" s="33">
        <v>1</v>
      </c>
      <c r="I187" s="33">
        <v>1</v>
      </c>
      <c r="J187" s="33">
        <v>1</v>
      </c>
      <c r="K187" s="21" t="s">
        <v>520</v>
      </c>
      <c r="L187" s="21" t="s">
        <v>521</v>
      </c>
      <c r="N187" s="46">
        <v>0</v>
      </c>
      <c r="O187" s="46">
        <v>0</v>
      </c>
      <c r="P187" s="46">
        <v>0</v>
      </c>
      <c r="Q187" s="46">
        <v>0</v>
      </c>
      <c r="R187" s="47" t="s">
        <v>53</v>
      </c>
      <c r="S187" s="33" t="s">
        <v>257</v>
      </c>
      <c r="T187" s="33" t="s">
        <v>257</v>
      </c>
      <c r="U187" s="21" t="s">
        <v>458</v>
      </c>
    </row>
    <row r="188" spans="1:21" x14ac:dyDescent="0.25">
      <c r="A188" s="33">
        <v>2013</v>
      </c>
      <c r="B188" s="44">
        <v>41475</v>
      </c>
      <c r="C188" s="45">
        <v>0.97638888888888886</v>
      </c>
      <c r="D188" s="21" t="s">
        <v>51</v>
      </c>
      <c r="E188" s="21" t="s">
        <v>223</v>
      </c>
      <c r="F188" s="33">
        <v>970</v>
      </c>
      <c r="G188" s="21" t="s">
        <v>369</v>
      </c>
      <c r="H188" s="33">
        <v>1</v>
      </c>
      <c r="I188" s="33">
        <v>1</v>
      </c>
      <c r="J188" s="33">
        <v>1</v>
      </c>
      <c r="K188" s="21" t="s">
        <v>522</v>
      </c>
      <c r="L188" s="21" t="s">
        <v>523</v>
      </c>
      <c r="N188" s="46">
        <v>0</v>
      </c>
      <c r="O188" s="46">
        <v>0</v>
      </c>
      <c r="P188" s="46">
        <v>0</v>
      </c>
      <c r="Q188" s="46">
        <v>0</v>
      </c>
      <c r="R188" s="47" t="s">
        <v>53</v>
      </c>
      <c r="S188" s="33" t="s">
        <v>257</v>
      </c>
      <c r="T188" s="33" t="s">
        <v>257</v>
      </c>
      <c r="U188" s="21" t="s">
        <v>459</v>
      </c>
    </row>
    <row r="189" spans="1:21" x14ac:dyDescent="0.25">
      <c r="A189" s="33">
        <v>2013</v>
      </c>
      <c r="B189" s="44">
        <v>41476</v>
      </c>
      <c r="C189" s="45">
        <v>0.83333333333333337</v>
      </c>
      <c r="D189" s="21" t="s">
        <v>51</v>
      </c>
      <c r="E189" s="21" t="s">
        <v>257</v>
      </c>
      <c r="F189" s="33" t="s">
        <v>257</v>
      </c>
      <c r="G189" s="21" t="s">
        <v>369</v>
      </c>
      <c r="H189" s="33">
        <v>3</v>
      </c>
      <c r="I189" s="33">
        <v>0</v>
      </c>
      <c r="J189" s="33">
        <v>0</v>
      </c>
      <c r="K189" s="21" t="s">
        <v>522</v>
      </c>
      <c r="L189" s="21" t="s">
        <v>523</v>
      </c>
      <c r="N189" s="46">
        <v>11.53</v>
      </c>
      <c r="O189" s="46">
        <v>0</v>
      </c>
      <c r="P189" s="46">
        <v>0</v>
      </c>
      <c r="Q189" s="46">
        <v>11.53</v>
      </c>
      <c r="R189" s="47" t="s">
        <v>55</v>
      </c>
      <c r="S189" s="33" t="s">
        <v>257</v>
      </c>
      <c r="T189" s="33" t="s">
        <v>257</v>
      </c>
      <c r="U189" s="21" t="s">
        <v>460</v>
      </c>
    </row>
    <row r="190" spans="1:21" x14ac:dyDescent="0.25">
      <c r="A190" s="33">
        <v>2013</v>
      </c>
      <c r="B190" s="44">
        <v>41476</v>
      </c>
      <c r="C190" s="45">
        <v>0.83333333333333337</v>
      </c>
      <c r="D190" s="21" t="s">
        <v>51</v>
      </c>
      <c r="E190" s="21" t="s">
        <v>257</v>
      </c>
      <c r="F190" s="33">
        <v>5</v>
      </c>
      <c r="G190" s="21" t="s">
        <v>369</v>
      </c>
      <c r="H190" s="33">
        <v>3</v>
      </c>
      <c r="I190" s="33">
        <v>0</v>
      </c>
      <c r="J190" s="33">
        <v>0</v>
      </c>
      <c r="K190" s="21" t="s">
        <v>358</v>
      </c>
      <c r="L190" s="21" t="s">
        <v>359</v>
      </c>
      <c r="N190" s="46">
        <v>12.47</v>
      </c>
      <c r="O190" s="46">
        <v>0</v>
      </c>
      <c r="P190" s="46">
        <v>0.6</v>
      </c>
      <c r="Q190" s="46">
        <v>12.47</v>
      </c>
      <c r="R190" s="47" t="s">
        <v>55</v>
      </c>
      <c r="S190" s="33" t="s">
        <v>257</v>
      </c>
      <c r="T190" s="33" t="s">
        <v>257</v>
      </c>
      <c r="U190" s="21" t="s">
        <v>461</v>
      </c>
    </row>
    <row r="191" spans="1:21" x14ac:dyDescent="0.25">
      <c r="A191" s="33">
        <v>2013</v>
      </c>
      <c r="B191" s="44">
        <v>41476</v>
      </c>
      <c r="C191" s="45">
        <v>0.83750000000000002</v>
      </c>
      <c r="D191" s="21" t="s">
        <v>51</v>
      </c>
      <c r="E191" s="21" t="s">
        <v>257</v>
      </c>
      <c r="F191" s="33">
        <v>20</v>
      </c>
      <c r="G191" s="21" t="s">
        <v>369</v>
      </c>
      <c r="H191" s="33">
        <v>3</v>
      </c>
      <c r="I191" s="33">
        <v>0</v>
      </c>
      <c r="J191" s="33">
        <v>0</v>
      </c>
      <c r="K191" s="21" t="s">
        <v>358</v>
      </c>
      <c r="L191" s="21" t="s">
        <v>359</v>
      </c>
      <c r="N191" s="46">
        <v>0</v>
      </c>
      <c r="O191" s="46">
        <v>0</v>
      </c>
      <c r="P191" s="46">
        <v>0</v>
      </c>
      <c r="Q191" s="46">
        <v>0</v>
      </c>
      <c r="R191" s="47" t="s">
        <v>55</v>
      </c>
      <c r="S191" s="33" t="s">
        <v>257</v>
      </c>
      <c r="T191" s="33" t="s">
        <v>257</v>
      </c>
      <c r="U191" s="21" t="s">
        <v>462</v>
      </c>
    </row>
    <row r="192" spans="1:21" x14ac:dyDescent="0.25">
      <c r="A192" s="33">
        <v>2013</v>
      </c>
      <c r="B192" s="44">
        <v>41476</v>
      </c>
      <c r="C192" s="45">
        <v>0.84027777777777779</v>
      </c>
      <c r="D192" s="21" t="s">
        <v>51</v>
      </c>
      <c r="E192" s="21" t="s">
        <v>257</v>
      </c>
      <c r="F192" s="33">
        <v>100</v>
      </c>
      <c r="G192" s="21" t="s">
        <v>369</v>
      </c>
      <c r="H192" s="33">
        <v>3</v>
      </c>
      <c r="I192" s="33">
        <v>0</v>
      </c>
      <c r="J192" s="33">
        <v>0</v>
      </c>
      <c r="K192" s="21" t="s">
        <v>288</v>
      </c>
      <c r="L192" s="21" t="s">
        <v>516</v>
      </c>
      <c r="N192" s="46">
        <v>49.56</v>
      </c>
      <c r="O192" s="46">
        <v>102.06</v>
      </c>
      <c r="P192" s="46">
        <v>5.4</v>
      </c>
      <c r="Q192" s="46">
        <v>151.62</v>
      </c>
      <c r="R192" s="47" t="s">
        <v>54</v>
      </c>
      <c r="S192" s="33" t="s">
        <v>257</v>
      </c>
      <c r="T192" s="33" t="s">
        <v>257</v>
      </c>
      <c r="U192" s="21" t="s">
        <v>463</v>
      </c>
    </row>
    <row r="193" spans="1:21" x14ac:dyDescent="0.25">
      <c r="A193" s="33">
        <v>2013</v>
      </c>
      <c r="B193" s="44">
        <v>41476</v>
      </c>
      <c r="C193" s="45">
        <v>0.85833333333333339</v>
      </c>
      <c r="D193" s="21" t="s">
        <v>51</v>
      </c>
      <c r="E193" s="21" t="s">
        <v>257</v>
      </c>
      <c r="F193" s="33">
        <v>106</v>
      </c>
      <c r="G193" s="21" t="s">
        <v>369</v>
      </c>
      <c r="H193" s="33">
        <v>3</v>
      </c>
      <c r="I193" s="33">
        <v>0</v>
      </c>
      <c r="J193" s="33">
        <v>0</v>
      </c>
      <c r="K193" s="21" t="s">
        <v>288</v>
      </c>
      <c r="L193" s="21" t="s">
        <v>516</v>
      </c>
      <c r="N193" s="46">
        <v>62.12</v>
      </c>
      <c r="O193" s="46">
        <v>110.19</v>
      </c>
      <c r="P193" s="46">
        <v>8.1</v>
      </c>
      <c r="Q193" s="46">
        <v>172.31</v>
      </c>
      <c r="R193" s="47" t="s">
        <v>53</v>
      </c>
      <c r="S193" s="33" t="s">
        <v>257</v>
      </c>
      <c r="T193" s="33" t="s">
        <v>257</v>
      </c>
      <c r="U193" s="21" t="s">
        <v>464</v>
      </c>
    </row>
    <row r="194" spans="1:21" x14ac:dyDescent="0.25">
      <c r="A194" s="33">
        <v>2013</v>
      </c>
      <c r="B194" s="44">
        <v>41476</v>
      </c>
      <c r="C194" s="45">
        <v>0.87638888888888899</v>
      </c>
      <c r="D194" s="21" t="s">
        <v>51</v>
      </c>
      <c r="E194" s="21" t="s">
        <v>257</v>
      </c>
      <c r="F194" s="33">
        <v>250</v>
      </c>
      <c r="G194" s="21" t="s">
        <v>369</v>
      </c>
      <c r="H194" s="33">
        <v>3</v>
      </c>
      <c r="I194" s="33">
        <v>0</v>
      </c>
      <c r="J194" s="33">
        <v>0</v>
      </c>
      <c r="K194" s="21" t="s">
        <v>288</v>
      </c>
      <c r="L194" s="21" t="s">
        <v>516</v>
      </c>
      <c r="N194" s="46">
        <v>63.5</v>
      </c>
      <c r="O194" s="46">
        <v>110.8</v>
      </c>
      <c r="P194" s="46">
        <v>8.6</v>
      </c>
      <c r="Q194" s="46">
        <v>174.3</v>
      </c>
      <c r="R194" s="47" t="s">
        <v>53</v>
      </c>
      <c r="S194" s="33" t="s">
        <v>257</v>
      </c>
      <c r="T194" s="33" t="s">
        <v>257</v>
      </c>
      <c r="U194" s="21" t="s">
        <v>465</v>
      </c>
    </row>
    <row r="195" spans="1:21" x14ac:dyDescent="0.25">
      <c r="A195" s="33">
        <v>2013</v>
      </c>
      <c r="B195" s="44">
        <v>41476</v>
      </c>
      <c r="C195" s="45">
        <v>0.88194444444444453</v>
      </c>
      <c r="D195" s="21" t="s">
        <v>51</v>
      </c>
      <c r="E195" s="21" t="s">
        <v>257</v>
      </c>
      <c r="F195" s="33">
        <v>300</v>
      </c>
      <c r="G195" s="21" t="s">
        <v>369</v>
      </c>
      <c r="H195" s="33">
        <v>3</v>
      </c>
      <c r="I195" s="33">
        <v>0</v>
      </c>
      <c r="J195" s="33">
        <v>0</v>
      </c>
      <c r="K195" s="21" t="s">
        <v>358</v>
      </c>
      <c r="L195" s="21" t="s">
        <v>359</v>
      </c>
      <c r="N195" s="46">
        <v>0</v>
      </c>
      <c r="O195" s="46">
        <v>0</v>
      </c>
      <c r="P195" s="46">
        <v>0</v>
      </c>
      <c r="Q195" s="46">
        <v>0</v>
      </c>
      <c r="R195" s="47" t="s">
        <v>55</v>
      </c>
      <c r="S195" s="33" t="s">
        <v>257</v>
      </c>
      <c r="T195" s="33" t="s">
        <v>257</v>
      </c>
      <c r="U195" s="21" t="s">
        <v>466</v>
      </c>
    </row>
    <row r="196" spans="1:21" x14ac:dyDescent="0.25">
      <c r="A196" s="33">
        <v>2013</v>
      </c>
      <c r="B196" s="44">
        <v>41476</v>
      </c>
      <c r="C196" s="45">
        <v>0.88194444444444453</v>
      </c>
      <c r="D196" s="21" t="s">
        <v>51</v>
      </c>
      <c r="E196" s="21" t="s">
        <v>257</v>
      </c>
      <c r="F196" s="33">
        <v>300</v>
      </c>
      <c r="G196" s="21" t="s">
        <v>369</v>
      </c>
      <c r="H196" s="33">
        <v>3</v>
      </c>
      <c r="I196" s="33">
        <v>0</v>
      </c>
      <c r="J196" s="33">
        <v>0</v>
      </c>
      <c r="K196" s="21" t="s">
        <v>358</v>
      </c>
      <c r="L196" s="21" t="s">
        <v>359</v>
      </c>
      <c r="N196" s="46">
        <v>11.47</v>
      </c>
      <c r="O196" s="46">
        <v>17.95</v>
      </c>
      <c r="P196" s="46">
        <v>0.8</v>
      </c>
      <c r="Q196" s="46">
        <v>29.42</v>
      </c>
      <c r="R196" s="47" t="s">
        <v>55</v>
      </c>
      <c r="S196" s="33" t="s">
        <v>257</v>
      </c>
      <c r="T196" s="33" t="s">
        <v>257</v>
      </c>
      <c r="U196" s="21" t="s">
        <v>257</v>
      </c>
    </row>
    <row r="197" spans="1:21" x14ac:dyDescent="0.25">
      <c r="A197" s="33">
        <v>2013</v>
      </c>
      <c r="B197" s="44">
        <v>41476</v>
      </c>
      <c r="C197" s="45">
        <v>0.89236111111111116</v>
      </c>
      <c r="D197" s="21" t="s">
        <v>51</v>
      </c>
      <c r="E197" s="21" t="s">
        <v>257</v>
      </c>
      <c r="F197" s="33">
        <v>320</v>
      </c>
      <c r="G197" s="21" t="s">
        <v>369</v>
      </c>
      <c r="H197" s="33">
        <v>3</v>
      </c>
      <c r="I197" s="33">
        <v>0</v>
      </c>
      <c r="J197" s="33">
        <v>0</v>
      </c>
      <c r="K197" s="21" t="s">
        <v>358</v>
      </c>
      <c r="L197" s="21" t="s">
        <v>359</v>
      </c>
      <c r="N197" s="46">
        <v>32.96</v>
      </c>
      <c r="O197" s="46">
        <v>0</v>
      </c>
      <c r="P197" s="46">
        <v>5.6</v>
      </c>
      <c r="Q197" s="46">
        <v>32.96</v>
      </c>
      <c r="R197" s="47" t="s">
        <v>53</v>
      </c>
      <c r="S197" s="33" t="s">
        <v>257</v>
      </c>
      <c r="T197" s="33" t="s">
        <v>257</v>
      </c>
      <c r="U197" s="21" t="s">
        <v>467</v>
      </c>
    </row>
    <row r="198" spans="1:21" x14ac:dyDescent="0.25">
      <c r="A198" s="33">
        <v>2013</v>
      </c>
      <c r="B198" s="44">
        <v>41477</v>
      </c>
      <c r="C198" s="45">
        <v>0.9375</v>
      </c>
      <c r="D198" s="21" t="s">
        <v>51</v>
      </c>
      <c r="E198" s="21" t="s">
        <v>257</v>
      </c>
      <c r="F198" s="33">
        <v>30</v>
      </c>
      <c r="G198" s="21" t="s">
        <v>369</v>
      </c>
      <c r="H198" s="33">
        <v>2</v>
      </c>
      <c r="I198" s="33">
        <v>0</v>
      </c>
      <c r="J198" s="33">
        <v>0</v>
      </c>
      <c r="K198" s="21" t="s">
        <v>300</v>
      </c>
      <c r="L198" s="21" t="s">
        <v>524</v>
      </c>
      <c r="N198" s="46">
        <v>19.11</v>
      </c>
      <c r="O198" s="46">
        <v>0</v>
      </c>
      <c r="P198" s="46">
        <v>1.5</v>
      </c>
      <c r="Q198" s="46">
        <v>19.11</v>
      </c>
      <c r="R198" s="47" t="s">
        <v>55</v>
      </c>
      <c r="S198" s="33" t="s">
        <v>257</v>
      </c>
      <c r="T198" s="33" t="s">
        <v>257</v>
      </c>
      <c r="U198" s="21" t="s">
        <v>468</v>
      </c>
    </row>
    <row r="199" spans="1:21" x14ac:dyDescent="0.25">
      <c r="A199" s="33">
        <v>2013</v>
      </c>
      <c r="B199" s="44">
        <v>41476</v>
      </c>
      <c r="C199" s="45">
        <v>0.90902777777777777</v>
      </c>
      <c r="D199" s="21" t="s">
        <v>51</v>
      </c>
      <c r="E199" s="21" t="s">
        <v>257</v>
      </c>
      <c r="F199" s="33">
        <v>350</v>
      </c>
      <c r="G199" s="21" t="s">
        <v>369</v>
      </c>
      <c r="H199" s="33">
        <v>3</v>
      </c>
      <c r="I199" s="33">
        <v>0</v>
      </c>
      <c r="J199" s="33">
        <v>0</v>
      </c>
      <c r="K199" s="21" t="s">
        <v>358</v>
      </c>
      <c r="L199" s="21" t="s">
        <v>359</v>
      </c>
      <c r="N199" s="46">
        <v>30.79</v>
      </c>
      <c r="O199" s="46">
        <v>0</v>
      </c>
      <c r="P199" s="46">
        <v>5</v>
      </c>
      <c r="Q199" s="46">
        <v>30.79</v>
      </c>
      <c r="R199" s="47" t="s">
        <v>53</v>
      </c>
      <c r="S199" s="33" t="s">
        <v>257</v>
      </c>
      <c r="T199" s="33" t="s">
        <v>257</v>
      </c>
      <c r="U199" s="21" t="s">
        <v>257</v>
      </c>
    </row>
    <row r="200" spans="1:21" x14ac:dyDescent="0.25">
      <c r="A200" s="33">
        <v>2013</v>
      </c>
      <c r="B200" s="44">
        <v>41444</v>
      </c>
      <c r="C200" s="45">
        <v>0.86736111111111114</v>
      </c>
      <c r="D200" s="21" t="s">
        <v>52</v>
      </c>
      <c r="E200" s="21" t="s">
        <v>220</v>
      </c>
      <c r="F200" s="33">
        <v>150</v>
      </c>
      <c r="G200" s="21" t="s">
        <v>369</v>
      </c>
      <c r="H200" s="33">
        <v>2</v>
      </c>
      <c r="I200" s="33">
        <v>0</v>
      </c>
      <c r="J200" s="33">
        <v>0</v>
      </c>
      <c r="K200" s="21" t="s">
        <v>358</v>
      </c>
      <c r="L200" s="21" t="s">
        <v>359</v>
      </c>
      <c r="N200" s="46">
        <v>18.29</v>
      </c>
      <c r="O200" s="46">
        <v>0</v>
      </c>
      <c r="P200" s="46">
        <v>1.2</v>
      </c>
      <c r="Q200" s="46">
        <v>18.29</v>
      </c>
      <c r="R200" s="47" t="s">
        <v>55</v>
      </c>
      <c r="S200" s="33" t="s">
        <v>257</v>
      </c>
      <c r="T200" s="33" t="s">
        <v>257</v>
      </c>
      <c r="U200" s="21" t="s">
        <v>469</v>
      </c>
    </row>
    <row r="201" spans="1:21" x14ac:dyDescent="0.25">
      <c r="A201" s="33">
        <v>2013</v>
      </c>
      <c r="B201" s="44">
        <v>41444</v>
      </c>
      <c r="C201" s="45">
        <v>0.87847222222222221</v>
      </c>
      <c r="D201" s="21" t="s">
        <v>52</v>
      </c>
      <c r="E201" s="21" t="s">
        <v>220</v>
      </c>
      <c r="F201" s="33">
        <v>500</v>
      </c>
      <c r="G201" s="21" t="s">
        <v>369</v>
      </c>
      <c r="H201" s="33">
        <v>2</v>
      </c>
      <c r="I201" s="33">
        <v>0</v>
      </c>
      <c r="J201" s="33">
        <v>0</v>
      </c>
      <c r="K201" s="21" t="s">
        <v>358</v>
      </c>
      <c r="L201" s="21" t="s">
        <v>359</v>
      </c>
      <c r="N201" s="46">
        <v>35.74</v>
      </c>
      <c r="O201" s="46">
        <v>0</v>
      </c>
      <c r="P201" s="46">
        <v>4.0999999999999996</v>
      </c>
      <c r="Q201" s="46">
        <v>35.74</v>
      </c>
      <c r="R201" s="47" t="s">
        <v>54</v>
      </c>
      <c r="S201" s="33" t="s">
        <v>257</v>
      </c>
      <c r="T201" s="33" t="s">
        <v>257</v>
      </c>
      <c r="U201" s="21" t="s">
        <v>470</v>
      </c>
    </row>
    <row r="202" spans="1:21" x14ac:dyDescent="0.25">
      <c r="A202" s="33">
        <v>2013</v>
      </c>
      <c r="B202" s="44">
        <v>41444</v>
      </c>
      <c r="C202" s="45">
        <v>0.89236111111111116</v>
      </c>
      <c r="D202" s="21" t="s">
        <v>52</v>
      </c>
      <c r="E202" s="21" t="s">
        <v>220</v>
      </c>
      <c r="F202" s="33">
        <v>650</v>
      </c>
      <c r="G202" s="21" t="s">
        <v>369</v>
      </c>
      <c r="H202" s="33">
        <v>2</v>
      </c>
      <c r="I202" s="33">
        <v>0</v>
      </c>
      <c r="J202" s="33">
        <v>0</v>
      </c>
      <c r="K202" s="21" t="s">
        <v>358</v>
      </c>
      <c r="L202" s="21" t="s">
        <v>359</v>
      </c>
      <c r="N202" s="46">
        <v>17.329999999999998</v>
      </c>
      <c r="O202" s="46">
        <v>0</v>
      </c>
      <c r="P202" s="46">
        <v>1.2</v>
      </c>
      <c r="Q202" s="46">
        <v>17.329999999999998</v>
      </c>
      <c r="R202" s="47" t="s">
        <v>55</v>
      </c>
      <c r="S202" s="33" t="s">
        <v>257</v>
      </c>
      <c r="T202" s="33" t="s">
        <v>257</v>
      </c>
      <c r="U202" s="21" t="s">
        <v>257</v>
      </c>
    </row>
    <row r="203" spans="1:21" x14ac:dyDescent="0.25">
      <c r="A203" s="33">
        <v>2013</v>
      </c>
      <c r="B203" s="44">
        <v>41444</v>
      </c>
      <c r="C203" s="45">
        <v>0.95833333333333337</v>
      </c>
      <c r="D203" s="21" t="s">
        <v>52</v>
      </c>
      <c r="E203" s="21" t="s">
        <v>220</v>
      </c>
      <c r="F203" s="33">
        <v>0</v>
      </c>
      <c r="G203" s="21" t="s">
        <v>369</v>
      </c>
      <c r="H203" s="33">
        <v>2</v>
      </c>
      <c r="I203" s="33">
        <v>0</v>
      </c>
      <c r="J203" s="33">
        <v>0</v>
      </c>
      <c r="K203" s="21" t="s">
        <v>282</v>
      </c>
      <c r="L203" s="21" t="s">
        <v>283</v>
      </c>
      <c r="N203" s="46">
        <v>26.55</v>
      </c>
      <c r="O203" s="46">
        <v>16.27</v>
      </c>
      <c r="P203" s="46">
        <v>2.1</v>
      </c>
      <c r="Q203" s="46">
        <v>42.82</v>
      </c>
      <c r="R203" s="47" t="s">
        <v>54</v>
      </c>
      <c r="S203" s="33" t="s">
        <v>257</v>
      </c>
      <c r="T203" s="33" t="s">
        <v>257</v>
      </c>
      <c r="U203" s="21" t="s">
        <v>471</v>
      </c>
    </row>
    <row r="204" spans="1:21" x14ac:dyDescent="0.25">
      <c r="A204" s="33">
        <v>2013</v>
      </c>
      <c r="B204" s="44">
        <v>41447</v>
      </c>
      <c r="C204" s="45">
        <v>0.87083333333333324</v>
      </c>
      <c r="D204" s="21" t="s">
        <v>52</v>
      </c>
      <c r="E204" s="21" t="s">
        <v>257</v>
      </c>
      <c r="F204" s="33">
        <v>30</v>
      </c>
      <c r="G204" s="21" t="s">
        <v>369</v>
      </c>
      <c r="H204" s="33">
        <v>2</v>
      </c>
      <c r="I204" s="33">
        <v>0</v>
      </c>
      <c r="J204" s="33">
        <v>0</v>
      </c>
      <c r="K204" s="21" t="s">
        <v>282</v>
      </c>
      <c r="L204" s="21" t="s">
        <v>357</v>
      </c>
      <c r="N204" s="46">
        <v>35.21</v>
      </c>
      <c r="O204" s="46">
        <v>28.98</v>
      </c>
      <c r="P204" s="46">
        <v>2.1</v>
      </c>
      <c r="Q204" s="46">
        <v>64.19</v>
      </c>
      <c r="R204" s="47" t="s">
        <v>54</v>
      </c>
      <c r="S204" s="33" t="s">
        <v>257</v>
      </c>
      <c r="T204" s="33" t="s">
        <v>257</v>
      </c>
      <c r="U204" s="21" t="s">
        <v>472</v>
      </c>
    </row>
    <row r="205" spans="1:21" x14ac:dyDescent="0.25">
      <c r="A205" s="33">
        <v>2013</v>
      </c>
      <c r="B205" s="44">
        <v>41447</v>
      </c>
      <c r="C205" s="45">
        <v>0.88194444444444453</v>
      </c>
      <c r="D205" s="21" t="s">
        <v>52</v>
      </c>
      <c r="E205" s="21" t="s">
        <v>257</v>
      </c>
      <c r="F205" s="33">
        <v>65</v>
      </c>
      <c r="G205" s="21" t="s">
        <v>369</v>
      </c>
      <c r="H205" s="33">
        <v>2</v>
      </c>
      <c r="I205" s="33">
        <v>0</v>
      </c>
      <c r="J205" s="33">
        <v>0</v>
      </c>
      <c r="K205" s="21" t="s">
        <v>282</v>
      </c>
      <c r="L205" s="21" t="s">
        <v>357</v>
      </c>
      <c r="N205" s="46">
        <v>30.1</v>
      </c>
      <c r="O205" s="46">
        <v>24.71</v>
      </c>
      <c r="P205" s="46">
        <v>1</v>
      </c>
      <c r="Q205" s="46">
        <v>54.81</v>
      </c>
      <c r="R205" s="47" t="s">
        <v>54</v>
      </c>
      <c r="S205" s="33" t="s">
        <v>257</v>
      </c>
      <c r="T205" s="33" t="s">
        <v>257</v>
      </c>
      <c r="U205" s="21" t="s">
        <v>257</v>
      </c>
    </row>
    <row r="206" spans="1:21" x14ac:dyDescent="0.25">
      <c r="A206" s="33">
        <v>2013</v>
      </c>
      <c r="B206" s="44">
        <v>41447</v>
      </c>
      <c r="C206" s="45">
        <v>0.89583333333333337</v>
      </c>
      <c r="D206" s="21" t="s">
        <v>52</v>
      </c>
      <c r="E206" s="21" t="s">
        <v>257</v>
      </c>
      <c r="F206" s="33">
        <v>100</v>
      </c>
      <c r="G206" s="21" t="s">
        <v>369</v>
      </c>
      <c r="H206" s="33">
        <v>2</v>
      </c>
      <c r="I206" s="33">
        <v>0</v>
      </c>
      <c r="J206" s="33">
        <v>0</v>
      </c>
      <c r="K206" s="21" t="s">
        <v>282</v>
      </c>
      <c r="L206" s="21" t="s">
        <v>357</v>
      </c>
      <c r="N206" s="46">
        <v>33.46</v>
      </c>
      <c r="O206" s="46">
        <v>33.909999999999997</v>
      </c>
      <c r="P206" s="46">
        <v>0.4</v>
      </c>
      <c r="Q206" s="46">
        <v>67.37</v>
      </c>
      <c r="R206" s="47" t="s">
        <v>53</v>
      </c>
      <c r="S206" s="33" t="s">
        <v>257</v>
      </c>
      <c r="T206" s="33" t="s">
        <v>257</v>
      </c>
      <c r="U206" s="21" t="s">
        <v>257</v>
      </c>
    </row>
    <row r="207" spans="1:21" x14ac:dyDescent="0.25">
      <c r="A207" s="33">
        <v>2013</v>
      </c>
      <c r="B207" s="44">
        <v>41447</v>
      </c>
      <c r="C207" s="45">
        <v>0.91249999999999998</v>
      </c>
      <c r="D207" s="21" t="s">
        <v>52</v>
      </c>
      <c r="E207" s="21" t="s">
        <v>257</v>
      </c>
      <c r="F207" s="33">
        <v>300</v>
      </c>
      <c r="G207" s="21" t="s">
        <v>369</v>
      </c>
      <c r="H207" s="33">
        <v>2</v>
      </c>
      <c r="I207" s="33">
        <v>0</v>
      </c>
      <c r="J207" s="33">
        <v>0</v>
      </c>
      <c r="K207" s="21" t="s">
        <v>282</v>
      </c>
      <c r="L207" s="21" t="s">
        <v>509</v>
      </c>
      <c r="N207" s="46">
        <v>30.7</v>
      </c>
      <c r="O207" s="46">
        <v>31.33</v>
      </c>
      <c r="P207" s="46">
        <v>1.8</v>
      </c>
      <c r="Q207" s="46">
        <v>62.03</v>
      </c>
      <c r="R207" s="47" t="s">
        <v>53</v>
      </c>
      <c r="S207" s="33" t="s">
        <v>257</v>
      </c>
      <c r="T207" s="33" t="s">
        <v>257</v>
      </c>
      <c r="U207" s="21" t="s">
        <v>257</v>
      </c>
    </row>
    <row r="208" spans="1:21" x14ac:dyDescent="0.25">
      <c r="A208" s="33">
        <v>2013</v>
      </c>
      <c r="B208" s="44">
        <v>41447</v>
      </c>
      <c r="C208" s="45">
        <v>0.9375</v>
      </c>
      <c r="D208" s="21" t="s">
        <v>52</v>
      </c>
      <c r="E208" s="21" t="s">
        <v>257</v>
      </c>
      <c r="F208" s="33">
        <v>1000</v>
      </c>
      <c r="G208" s="21" t="s">
        <v>369</v>
      </c>
      <c r="H208" s="33">
        <v>2</v>
      </c>
      <c r="I208" s="33">
        <v>0</v>
      </c>
      <c r="J208" s="33">
        <v>0</v>
      </c>
      <c r="K208" s="21" t="s">
        <v>338</v>
      </c>
      <c r="L208" s="21" t="s">
        <v>339</v>
      </c>
      <c r="N208" s="46">
        <v>31.42</v>
      </c>
      <c r="O208" s="46">
        <v>0</v>
      </c>
      <c r="P208" s="46">
        <v>2.6</v>
      </c>
      <c r="Q208" s="46">
        <v>31.42</v>
      </c>
      <c r="R208" s="47" t="s">
        <v>54</v>
      </c>
      <c r="S208" s="33" t="s">
        <v>257</v>
      </c>
      <c r="T208" s="33" t="s">
        <v>257</v>
      </c>
      <c r="U208" s="21" t="s">
        <v>257</v>
      </c>
    </row>
    <row r="209" spans="1:21" x14ac:dyDescent="0.25">
      <c r="A209" s="33">
        <v>2013</v>
      </c>
      <c r="B209" s="44">
        <v>41447</v>
      </c>
      <c r="C209" s="45">
        <v>0.93819444444444444</v>
      </c>
      <c r="D209" s="21" t="s">
        <v>52</v>
      </c>
      <c r="E209" s="21" t="s">
        <v>257</v>
      </c>
      <c r="F209" s="33">
        <v>1000</v>
      </c>
      <c r="G209" s="21" t="s">
        <v>369</v>
      </c>
      <c r="H209" s="33">
        <v>2</v>
      </c>
      <c r="I209" s="33">
        <v>0</v>
      </c>
      <c r="J209" s="33">
        <v>0</v>
      </c>
      <c r="K209" s="21" t="s">
        <v>338</v>
      </c>
      <c r="L209" s="21" t="s">
        <v>339</v>
      </c>
      <c r="N209" s="46">
        <v>25.39</v>
      </c>
      <c r="O209" s="46">
        <v>0</v>
      </c>
      <c r="P209" s="46">
        <v>1.2</v>
      </c>
      <c r="Q209" s="46">
        <v>25.39</v>
      </c>
      <c r="R209" s="47" t="s">
        <v>53</v>
      </c>
      <c r="S209" s="33" t="s">
        <v>257</v>
      </c>
      <c r="T209" s="33" t="s">
        <v>257</v>
      </c>
      <c r="U209" s="21" t="s">
        <v>257</v>
      </c>
    </row>
    <row r="210" spans="1:21" x14ac:dyDescent="0.25">
      <c r="A210" s="33">
        <v>2013</v>
      </c>
      <c r="B210" s="44">
        <v>41447</v>
      </c>
      <c r="C210" s="45">
        <v>0.93819444444444444</v>
      </c>
      <c r="D210" s="21" t="s">
        <v>52</v>
      </c>
      <c r="E210" s="21" t="s">
        <v>257</v>
      </c>
      <c r="F210" s="33">
        <v>1000</v>
      </c>
      <c r="G210" s="21" t="s">
        <v>369</v>
      </c>
      <c r="H210" s="33">
        <v>2</v>
      </c>
      <c r="I210" s="33">
        <v>0</v>
      </c>
      <c r="J210" s="33">
        <v>0</v>
      </c>
      <c r="K210" s="21" t="s">
        <v>338</v>
      </c>
      <c r="L210" s="21" t="s">
        <v>339</v>
      </c>
      <c r="N210" s="46">
        <v>26.96</v>
      </c>
      <c r="O210" s="46">
        <v>0</v>
      </c>
      <c r="P210" s="46">
        <v>1.2</v>
      </c>
      <c r="Q210" s="46">
        <v>26.96</v>
      </c>
      <c r="R210" s="47" t="s">
        <v>53</v>
      </c>
      <c r="S210" s="33" t="s">
        <v>257</v>
      </c>
      <c r="T210" s="33" t="s">
        <v>257</v>
      </c>
      <c r="U210" s="21" t="s">
        <v>257</v>
      </c>
    </row>
    <row r="211" spans="1:21" x14ac:dyDescent="0.25">
      <c r="A211" s="33">
        <v>2013</v>
      </c>
      <c r="B211" s="44">
        <v>41447</v>
      </c>
      <c r="C211" s="45">
        <v>0.94791666666666663</v>
      </c>
      <c r="D211" s="21" t="s">
        <v>52</v>
      </c>
      <c r="E211" s="21" t="s">
        <v>257</v>
      </c>
      <c r="F211" s="33">
        <v>1000</v>
      </c>
      <c r="G211" s="21" t="s">
        <v>369</v>
      </c>
      <c r="H211" s="33">
        <v>2</v>
      </c>
      <c r="I211" s="33">
        <v>0</v>
      </c>
      <c r="J211" s="33">
        <v>0</v>
      </c>
      <c r="K211" s="21" t="s">
        <v>495</v>
      </c>
      <c r="L211" s="21" t="s">
        <v>499</v>
      </c>
      <c r="N211" s="46">
        <v>17.68</v>
      </c>
      <c r="O211" s="46">
        <v>20.54</v>
      </c>
      <c r="P211" s="46">
        <v>0.7</v>
      </c>
      <c r="Q211" s="46">
        <v>38.22</v>
      </c>
      <c r="R211" s="47" t="s">
        <v>55</v>
      </c>
      <c r="S211" s="33" t="s">
        <v>257</v>
      </c>
      <c r="T211" s="33" t="s">
        <v>257</v>
      </c>
      <c r="U211" s="21" t="s">
        <v>257</v>
      </c>
    </row>
    <row r="212" spans="1:21" x14ac:dyDescent="0.25">
      <c r="A212" s="33">
        <v>2013</v>
      </c>
      <c r="B212" s="44">
        <v>41447</v>
      </c>
      <c r="C212" s="45">
        <v>0.94930555555555562</v>
      </c>
      <c r="D212" s="21" t="s">
        <v>52</v>
      </c>
      <c r="E212" s="21" t="s">
        <v>257</v>
      </c>
      <c r="F212" s="33">
        <v>1000</v>
      </c>
      <c r="G212" s="21" t="s">
        <v>369</v>
      </c>
      <c r="H212" s="33">
        <v>2</v>
      </c>
      <c r="I212" s="33">
        <v>0</v>
      </c>
      <c r="J212" s="33">
        <v>0</v>
      </c>
      <c r="K212" s="21" t="s">
        <v>495</v>
      </c>
      <c r="L212" s="21" t="s">
        <v>499</v>
      </c>
      <c r="N212" s="46">
        <v>16.690000000000001</v>
      </c>
      <c r="O212" s="46">
        <v>21.42</v>
      </c>
      <c r="P212" s="46">
        <v>0.6</v>
      </c>
      <c r="Q212" s="46">
        <v>38.11</v>
      </c>
      <c r="R212" s="47" t="s">
        <v>55</v>
      </c>
      <c r="S212" s="33" t="s">
        <v>257</v>
      </c>
      <c r="T212" s="33" t="s">
        <v>257</v>
      </c>
      <c r="U212" s="21" t="s">
        <v>257</v>
      </c>
    </row>
    <row r="213" spans="1:21" x14ac:dyDescent="0.25">
      <c r="A213" s="33">
        <v>2013</v>
      </c>
      <c r="B213" s="44">
        <v>41447</v>
      </c>
      <c r="C213" s="45">
        <v>0.95833333333333337</v>
      </c>
      <c r="D213" s="21" t="s">
        <v>52</v>
      </c>
      <c r="E213" s="21" t="s">
        <v>257</v>
      </c>
      <c r="F213" s="33">
        <v>1000</v>
      </c>
      <c r="G213" s="21" t="s">
        <v>369</v>
      </c>
      <c r="H213" s="33">
        <v>2</v>
      </c>
      <c r="I213" s="33">
        <v>0</v>
      </c>
      <c r="J213" s="33">
        <v>0</v>
      </c>
      <c r="K213" s="21" t="s">
        <v>495</v>
      </c>
      <c r="L213" s="21" t="s">
        <v>499</v>
      </c>
      <c r="N213" s="46">
        <v>18.22</v>
      </c>
      <c r="O213" s="46">
        <v>23.68</v>
      </c>
      <c r="P213" s="46">
        <v>0.6</v>
      </c>
      <c r="Q213" s="46">
        <v>41.9</v>
      </c>
      <c r="R213" s="47" t="s">
        <v>55</v>
      </c>
      <c r="S213" s="33" t="s">
        <v>257</v>
      </c>
      <c r="T213" s="33" t="s">
        <v>257</v>
      </c>
      <c r="U213" s="21" t="s">
        <v>257</v>
      </c>
    </row>
    <row r="214" spans="1:21" x14ac:dyDescent="0.25">
      <c r="A214" s="33">
        <v>2013</v>
      </c>
      <c r="B214" s="44">
        <v>41477</v>
      </c>
      <c r="C214" s="45">
        <v>0.95833333333333337</v>
      </c>
      <c r="D214" s="21" t="s">
        <v>52</v>
      </c>
      <c r="E214" s="21" t="s">
        <v>257</v>
      </c>
      <c r="F214" s="33">
        <v>1000</v>
      </c>
      <c r="G214" s="21" t="s">
        <v>369</v>
      </c>
      <c r="H214" s="33">
        <v>2</v>
      </c>
      <c r="I214" s="33">
        <v>0</v>
      </c>
      <c r="J214" s="33">
        <v>0</v>
      </c>
      <c r="K214" s="21" t="s">
        <v>338</v>
      </c>
      <c r="L214" s="21" t="s">
        <v>339</v>
      </c>
      <c r="N214" s="46">
        <v>26.83</v>
      </c>
      <c r="O214" s="46">
        <v>0</v>
      </c>
      <c r="P214" s="46">
        <v>1.5</v>
      </c>
      <c r="Q214" s="46">
        <v>26.83</v>
      </c>
      <c r="R214" s="47" t="s">
        <v>55</v>
      </c>
      <c r="S214" s="33" t="s">
        <v>257</v>
      </c>
      <c r="T214" s="33" t="s">
        <v>257</v>
      </c>
      <c r="U214" s="21" t="s">
        <v>257</v>
      </c>
    </row>
    <row r="215" spans="1:21" x14ac:dyDescent="0.25">
      <c r="A215" s="33">
        <v>2013</v>
      </c>
      <c r="B215" s="44">
        <v>41477</v>
      </c>
      <c r="C215" s="45">
        <v>0.95833333333333337</v>
      </c>
      <c r="D215" s="21" t="s">
        <v>52</v>
      </c>
      <c r="E215" s="21" t="s">
        <v>257</v>
      </c>
      <c r="F215" s="33">
        <v>1000</v>
      </c>
      <c r="G215" s="21" t="s">
        <v>369</v>
      </c>
      <c r="H215" s="33">
        <v>2</v>
      </c>
      <c r="I215" s="33">
        <v>0</v>
      </c>
      <c r="J215" s="33">
        <v>0</v>
      </c>
      <c r="K215" s="21" t="s">
        <v>338</v>
      </c>
      <c r="L215" s="21" t="s">
        <v>339</v>
      </c>
      <c r="N215" s="46">
        <v>24.7</v>
      </c>
      <c r="O215" s="46">
        <v>0</v>
      </c>
      <c r="P215" s="46">
        <v>1.4</v>
      </c>
      <c r="Q215" s="46">
        <v>24.7</v>
      </c>
      <c r="R215" s="47" t="s">
        <v>55</v>
      </c>
      <c r="S215" s="33" t="s">
        <v>257</v>
      </c>
      <c r="T215" s="33" t="s">
        <v>257</v>
      </c>
      <c r="U215" s="21" t="s">
        <v>257</v>
      </c>
    </row>
    <row r="216" spans="1:21" x14ac:dyDescent="0.25">
      <c r="A216" s="33">
        <v>2013</v>
      </c>
      <c r="B216" s="44">
        <v>41477</v>
      </c>
      <c r="C216" s="45">
        <v>0.8979166666666667</v>
      </c>
      <c r="D216" s="21" t="s">
        <v>52</v>
      </c>
      <c r="E216" s="21" t="s">
        <v>220</v>
      </c>
      <c r="F216" s="33">
        <v>850</v>
      </c>
      <c r="G216" s="21" t="s">
        <v>369</v>
      </c>
      <c r="H216" s="33">
        <v>5</v>
      </c>
      <c r="I216" s="33">
        <v>0</v>
      </c>
      <c r="J216" s="33">
        <v>0</v>
      </c>
      <c r="K216" s="21" t="s">
        <v>338</v>
      </c>
      <c r="L216" s="21" t="s">
        <v>339</v>
      </c>
      <c r="N216" s="46">
        <v>37.229999999999997</v>
      </c>
      <c r="O216" s="46">
        <v>0</v>
      </c>
      <c r="P216" s="46">
        <v>4.0999999999999996</v>
      </c>
      <c r="Q216" s="46">
        <v>37.229999999999997</v>
      </c>
      <c r="R216" s="47" t="s">
        <v>54</v>
      </c>
      <c r="S216" s="33" t="s">
        <v>257</v>
      </c>
      <c r="T216" s="33" t="s">
        <v>257</v>
      </c>
      <c r="U216" s="21" t="s">
        <v>473</v>
      </c>
    </row>
    <row r="217" spans="1:21" x14ac:dyDescent="0.25">
      <c r="A217" s="33">
        <v>2013</v>
      </c>
      <c r="B217" s="44">
        <v>41477</v>
      </c>
      <c r="C217" s="45">
        <v>0.8979166666666667</v>
      </c>
      <c r="D217" s="21" t="s">
        <v>52</v>
      </c>
      <c r="E217" s="21" t="s">
        <v>220</v>
      </c>
      <c r="F217" s="33">
        <v>850</v>
      </c>
      <c r="G217" s="21" t="s">
        <v>369</v>
      </c>
      <c r="H217" s="33">
        <v>5</v>
      </c>
      <c r="I217" s="33">
        <v>0</v>
      </c>
      <c r="J217" s="33">
        <v>0</v>
      </c>
      <c r="K217" s="21" t="s">
        <v>338</v>
      </c>
      <c r="L217" s="21" t="s">
        <v>339</v>
      </c>
      <c r="N217" s="46">
        <v>26.08</v>
      </c>
      <c r="O217" s="46">
        <v>0</v>
      </c>
      <c r="P217" s="46">
        <v>1.2</v>
      </c>
      <c r="Q217" s="46">
        <v>26.08</v>
      </c>
      <c r="R217" s="47" t="s">
        <v>53</v>
      </c>
      <c r="S217" s="33" t="s">
        <v>257</v>
      </c>
      <c r="T217" s="33" t="s">
        <v>257</v>
      </c>
      <c r="U217" s="21" t="s">
        <v>257</v>
      </c>
    </row>
    <row r="218" spans="1:21" x14ac:dyDescent="0.25">
      <c r="A218" s="33">
        <v>2013</v>
      </c>
      <c r="B218" s="44">
        <v>41479</v>
      </c>
      <c r="C218" s="45">
        <v>0.8979166666666667</v>
      </c>
      <c r="D218" s="21" t="s">
        <v>52</v>
      </c>
      <c r="E218" s="21" t="s">
        <v>220</v>
      </c>
      <c r="F218" s="33">
        <v>850</v>
      </c>
      <c r="G218" s="21" t="s">
        <v>369</v>
      </c>
      <c r="H218" s="33">
        <v>5</v>
      </c>
      <c r="I218" s="33">
        <v>0</v>
      </c>
      <c r="J218" s="33">
        <v>0</v>
      </c>
      <c r="K218" s="21" t="s">
        <v>338</v>
      </c>
      <c r="L218" s="21" t="s">
        <v>339</v>
      </c>
      <c r="N218" s="46">
        <v>26.9</v>
      </c>
      <c r="O218" s="46">
        <v>0</v>
      </c>
      <c r="P218" s="46">
        <v>1.22</v>
      </c>
      <c r="Q218" s="46">
        <v>26.9</v>
      </c>
      <c r="R218" s="47" t="s">
        <v>53</v>
      </c>
      <c r="S218" s="33" t="s">
        <v>257</v>
      </c>
      <c r="T218" s="33" t="s">
        <v>257</v>
      </c>
      <c r="U218" s="21" t="s">
        <v>257</v>
      </c>
    </row>
    <row r="219" spans="1:21" x14ac:dyDescent="0.25">
      <c r="A219" s="33">
        <v>2013</v>
      </c>
      <c r="B219" s="44">
        <v>41479</v>
      </c>
      <c r="C219" s="45">
        <v>0.8979166666666667</v>
      </c>
      <c r="D219" s="21" t="s">
        <v>52</v>
      </c>
      <c r="E219" s="21" t="s">
        <v>220</v>
      </c>
      <c r="F219" s="33">
        <v>850</v>
      </c>
      <c r="G219" s="21" t="s">
        <v>369</v>
      </c>
      <c r="H219" s="33">
        <v>5</v>
      </c>
      <c r="I219" s="33">
        <v>0</v>
      </c>
      <c r="J219" s="33">
        <v>0</v>
      </c>
      <c r="K219" s="21" t="s">
        <v>338</v>
      </c>
      <c r="L219" s="21" t="s">
        <v>339</v>
      </c>
      <c r="N219" s="46">
        <v>26.06</v>
      </c>
      <c r="O219" s="46">
        <v>0</v>
      </c>
      <c r="P219" s="46">
        <v>1.2</v>
      </c>
      <c r="Q219" s="46">
        <v>26.06</v>
      </c>
      <c r="R219" s="47" t="s">
        <v>53</v>
      </c>
      <c r="S219" s="33" t="s">
        <v>257</v>
      </c>
      <c r="T219" s="33" t="s">
        <v>257</v>
      </c>
      <c r="U219" s="21" t="s">
        <v>257</v>
      </c>
    </row>
    <row r="220" spans="1:21" x14ac:dyDescent="0.25">
      <c r="A220" s="33">
        <v>2013</v>
      </c>
      <c r="B220" s="44">
        <v>41479</v>
      </c>
      <c r="C220" s="45">
        <v>0.8979166666666667</v>
      </c>
      <c r="D220" s="21" t="s">
        <v>52</v>
      </c>
      <c r="E220" s="21" t="s">
        <v>220</v>
      </c>
      <c r="F220" s="33">
        <v>850</v>
      </c>
      <c r="G220" s="21" t="s">
        <v>369</v>
      </c>
      <c r="H220" s="33">
        <v>5</v>
      </c>
      <c r="I220" s="33">
        <v>0</v>
      </c>
      <c r="J220" s="33">
        <v>0</v>
      </c>
      <c r="K220" s="21" t="s">
        <v>338</v>
      </c>
      <c r="L220" s="21" t="s">
        <v>339</v>
      </c>
      <c r="N220" s="46">
        <v>26.06</v>
      </c>
      <c r="O220" s="46">
        <v>0</v>
      </c>
      <c r="P220" s="46">
        <v>1.2</v>
      </c>
      <c r="Q220" s="46">
        <v>26.06</v>
      </c>
      <c r="R220" s="47" t="s">
        <v>53</v>
      </c>
      <c r="S220" s="33" t="s">
        <v>257</v>
      </c>
      <c r="T220" s="33" t="s">
        <v>257</v>
      </c>
      <c r="U220" s="21" t="s">
        <v>257</v>
      </c>
    </row>
    <row r="221" spans="1:21" x14ac:dyDescent="0.25">
      <c r="A221" s="33">
        <v>2013</v>
      </c>
      <c r="B221" s="44">
        <v>41480</v>
      </c>
      <c r="C221" s="45">
        <v>0.4381944444444445</v>
      </c>
      <c r="D221" s="21" t="s">
        <v>52</v>
      </c>
      <c r="E221" s="21" t="s">
        <v>257</v>
      </c>
      <c r="F221" s="33">
        <v>1500</v>
      </c>
      <c r="G221" s="21" t="s">
        <v>369</v>
      </c>
      <c r="H221" s="33">
        <v>4</v>
      </c>
      <c r="I221" s="33">
        <v>0</v>
      </c>
      <c r="J221" s="33">
        <v>0</v>
      </c>
      <c r="K221" s="21" t="s">
        <v>347</v>
      </c>
      <c r="L221" s="21" t="s">
        <v>348</v>
      </c>
      <c r="N221" s="46">
        <v>297</v>
      </c>
      <c r="O221" s="46">
        <v>144</v>
      </c>
      <c r="P221" s="46">
        <v>10.199999999999999</v>
      </c>
      <c r="Q221" s="46">
        <v>441</v>
      </c>
      <c r="R221" s="47" t="s">
        <v>54</v>
      </c>
      <c r="S221" s="33" t="s">
        <v>257</v>
      </c>
      <c r="T221" s="33" t="s">
        <v>257</v>
      </c>
      <c r="U221" s="21" t="s">
        <v>257</v>
      </c>
    </row>
    <row r="222" spans="1:21" x14ac:dyDescent="0.25">
      <c r="A222" s="33">
        <v>2013</v>
      </c>
      <c r="B222" s="44">
        <v>41481</v>
      </c>
      <c r="C222" s="45">
        <v>0.82013888888888886</v>
      </c>
      <c r="D222" s="21" t="s">
        <v>52</v>
      </c>
      <c r="E222" s="21" t="s">
        <v>257</v>
      </c>
      <c r="F222" s="33">
        <v>0</v>
      </c>
      <c r="G222" s="21" t="s">
        <v>369</v>
      </c>
      <c r="H222" s="33">
        <v>1</v>
      </c>
      <c r="I222" s="33">
        <v>0</v>
      </c>
      <c r="J222" s="33">
        <v>0</v>
      </c>
      <c r="K222" s="21" t="s">
        <v>492</v>
      </c>
      <c r="L222" s="21" t="s">
        <v>525</v>
      </c>
      <c r="N222" s="46">
        <v>204</v>
      </c>
      <c r="O222" s="46">
        <v>92</v>
      </c>
      <c r="P222" s="46">
        <v>4.5999999999999996</v>
      </c>
      <c r="Q222" s="46">
        <v>296</v>
      </c>
      <c r="R222" s="47" t="s">
        <v>53</v>
      </c>
      <c r="S222" s="33" t="s">
        <v>257</v>
      </c>
      <c r="T222" s="33" t="s">
        <v>257</v>
      </c>
      <c r="U222" s="21" t="s">
        <v>380</v>
      </c>
    </row>
    <row r="223" spans="1:21" x14ac:dyDescent="0.25">
      <c r="A223" s="33">
        <v>2013</v>
      </c>
      <c r="B223" s="44">
        <v>41483</v>
      </c>
      <c r="C223" s="45">
        <v>0.91666666666666663</v>
      </c>
      <c r="D223" s="21" t="s">
        <v>52</v>
      </c>
      <c r="E223" s="21" t="s">
        <v>218</v>
      </c>
      <c r="F223" s="33">
        <v>370</v>
      </c>
      <c r="G223" s="21" t="s">
        <v>369</v>
      </c>
      <c r="H223" s="33">
        <v>2</v>
      </c>
      <c r="I223" s="33">
        <v>0</v>
      </c>
      <c r="J223" s="33">
        <v>0</v>
      </c>
      <c r="K223" s="21" t="s">
        <v>300</v>
      </c>
      <c r="L223" s="21" t="s">
        <v>301</v>
      </c>
      <c r="N223" s="46">
        <v>45.07</v>
      </c>
      <c r="O223" s="46">
        <v>0</v>
      </c>
      <c r="P223" s="46">
        <v>6.4</v>
      </c>
      <c r="Q223" s="46">
        <v>45.07</v>
      </c>
      <c r="R223" s="47" t="s">
        <v>54</v>
      </c>
      <c r="S223" s="33" t="s">
        <v>257</v>
      </c>
      <c r="T223" s="33" t="s">
        <v>257</v>
      </c>
      <c r="U223" s="21" t="s">
        <v>257</v>
      </c>
    </row>
    <row r="224" spans="1:21" x14ac:dyDescent="0.25">
      <c r="A224" s="33">
        <v>2013</v>
      </c>
      <c r="B224" s="44">
        <v>41480</v>
      </c>
      <c r="C224" s="45">
        <v>0.875</v>
      </c>
      <c r="D224" s="21" t="s">
        <v>52</v>
      </c>
      <c r="E224" s="21" t="s">
        <v>217</v>
      </c>
      <c r="F224" s="33">
        <v>100</v>
      </c>
      <c r="G224" s="21" t="s">
        <v>375</v>
      </c>
      <c r="H224" s="33">
        <v>6</v>
      </c>
      <c r="I224" s="33">
        <v>0</v>
      </c>
      <c r="J224" s="33">
        <v>0</v>
      </c>
      <c r="K224" s="21" t="s">
        <v>338</v>
      </c>
      <c r="L224" s="21" t="s">
        <v>339</v>
      </c>
      <c r="N224" s="46">
        <v>23.58</v>
      </c>
      <c r="O224" s="46">
        <v>0</v>
      </c>
      <c r="P224" s="46">
        <v>1.3</v>
      </c>
      <c r="Q224" s="46">
        <v>23.58</v>
      </c>
      <c r="R224" s="47" t="s">
        <v>54</v>
      </c>
      <c r="S224" s="33" t="s">
        <v>257</v>
      </c>
      <c r="T224" s="33" t="s">
        <v>257</v>
      </c>
      <c r="U224" s="21" t="s">
        <v>474</v>
      </c>
    </row>
    <row r="225" spans="1:21" x14ac:dyDescent="0.25">
      <c r="A225" s="33">
        <v>2013</v>
      </c>
      <c r="B225" s="44">
        <v>41480</v>
      </c>
      <c r="C225" s="45">
        <v>0.88263888888888886</v>
      </c>
      <c r="D225" s="21" t="s">
        <v>52</v>
      </c>
      <c r="E225" s="21" t="s">
        <v>217</v>
      </c>
      <c r="F225" s="33">
        <v>100</v>
      </c>
      <c r="G225" s="21" t="s">
        <v>375</v>
      </c>
      <c r="H225" s="33">
        <v>6</v>
      </c>
      <c r="I225" s="33">
        <v>0</v>
      </c>
      <c r="J225" s="33">
        <v>0</v>
      </c>
      <c r="K225" s="21" t="s">
        <v>338</v>
      </c>
      <c r="L225" s="21" t="s">
        <v>339</v>
      </c>
      <c r="N225" s="46">
        <v>25.63</v>
      </c>
      <c r="O225" s="46">
        <v>0</v>
      </c>
      <c r="P225" s="46">
        <v>1.5</v>
      </c>
      <c r="Q225" s="46">
        <v>25.63</v>
      </c>
      <c r="R225" s="47" t="s">
        <v>54</v>
      </c>
      <c r="S225" s="33" t="s">
        <v>257</v>
      </c>
      <c r="T225" s="33" t="s">
        <v>257</v>
      </c>
      <c r="U225" s="21" t="s">
        <v>475</v>
      </c>
    </row>
    <row r="226" spans="1:21" x14ac:dyDescent="0.25">
      <c r="A226" s="33">
        <v>2013</v>
      </c>
      <c r="B226" s="44">
        <v>41480</v>
      </c>
      <c r="C226" s="45">
        <v>0.88958333333333339</v>
      </c>
      <c r="D226" s="21" t="s">
        <v>52</v>
      </c>
      <c r="E226" s="21" t="s">
        <v>217</v>
      </c>
      <c r="F226" s="33">
        <v>180</v>
      </c>
      <c r="G226" s="21" t="s">
        <v>375</v>
      </c>
      <c r="H226" s="33">
        <v>6</v>
      </c>
      <c r="I226" s="33">
        <v>0</v>
      </c>
      <c r="J226" s="33">
        <v>0</v>
      </c>
      <c r="K226" s="21" t="s">
        <v>495</v>
      </c>
      <c r="L226" s="21" t="s">
        <v>499</v>
      </c>
      <c r="N226" s="46">
        <v>39.57</v>
      </c>
      <c r="O226" s="46">
        <v>0</v>
      </c>
      <c r="P226" s="46">
        <v>6.1</v>
      </c>
      <c r="Q226" s="46">
        <v>39.57</v>
      </c>
      <c r="R226" s="47" t="s">
        <v>54</v>
      </c>
      <c r="S226" s="33" t="s">
        <v>257</v>
      </c>
      <c r="T226" s="33" t="s">
        <v>257</v>
      </c>
      <c r="U226" s="21" t="s">
        <v>476</v>
      </c>
    </row>
    <row r="227" spans="1:21" x14ac:dyDescent="0.25">
      <c r="A227" s="33">
        <v>2013</v>
      </c>
      <c r="B227" s="44">
        <v>41480</v>
      </c>
      <c r="C227" s="45">
        <v>0.91319444444444453</v>
      </c>
      <c r="D227" s="21" t="s">
        <v>52</v>
      </c>
      <c r="E227" s="21" t="s">
        <v>217</v>
      </c>
      <c r="F227" s="33">
        <v>300</v>
      </c>
      <c r="G227" s="21" t="s">
        <v>377</v>
      </c>
      <c r="H227" s="33">
        <v>6</v>
      </c>
      <c r="I227" s="33">
        <v>0</v>
      </c>
      <c r="J227" s="33">
        <v>0</v>
      </c>
      <c r="K227" s="21" t="s">
        <v>495</v>
      </c>
      <c r="L227" s="21" t="s">
        <v>499</v>
      </c>
      <c r="N227" s="46">
        <v>34.299999999999997</v>
      </c>
      <c r="O227" s="46">
        <v>0</v>
      </c>
      <c r="P227" s="46">
        <v>5.6</v>
      </c>
      <c r="Q227" s="46">
        <v>34.299999999999997</v>
      </c>
      <c r="R227" s="47" t="s">
        <v>53</v>
      </c>
      <c r="S227" s="33" t="s">
        <v>257</v>
      </c>
      <c r="T227" s="33" t="s">
        <v>257</v>
      </c>
      <c r="U227" s="21" t="s">
        <v>477</v>
      </c>
    </row>
    <row r="228" spans="1:21" x14ac:dyDescent="0.25">
      <c r="A228" s="33">
        <v>2013</v>
      </c>
      <c r="B228" s="44">
        <v>41480</v>
      </c>
      <c r="C228" s="45">
        <v>0.92499999999999993</v>
      </c>
      <c r="D228" s="21" t="s">
        <v>52</v>
      </c>
      <c r="E228" s="21" t="s">
        <v>217</v>
      </c>
      <c r="F228" s="33">
        <v>300</v>
      </c>
      <c r="G228" s="21" t="s">
        <v>377</v>
      </c>
      <c r="H228" s="33">
        <v>6</v>
      </c>
      <c r="I228" s="33">
        <v>0</v>
      </c>
      <c r="J228" s="33">
        <v>0</v>
      </c>
      <c r="K228" s="21" t="s">
        <v>495</v>
      </c>
      <c r="L228" s="21" t="s">
        <v>499</v>
      </c>
      <c r="N228" s="46">
        <v>30.68</v>
      </c>
      <c r="O228" s="46">
        <v>0</v>
      </c>
      <c r="P228" s="46">
        <v>5.2</v>
      </c>
      <c r="Q228" s="46">
        <v>30.68</v>
      </c>
      <c r="R228" s="47" t="s">
        <v>53</v>
      </c>
      <c r="S228" s="33" t="s">
        <v>257</v>
      </c>
      <c r="T228" s="33" t="s">
        <v>257</v>
      </c>
      <c r="U228" s="21" t="s">
        <v>478</v>
      </c>
    </row>
    <row r="229" spans="1:21" x14ac:dyDescent="0.25">
      <c r="A229" s="33">
        <v>2013</v>
      </c>
      <c r="B229" s="44">
        <v>41480</v>
      </c>
      <c r="C229" s="45">
        <v>0.93888888888888899</v>
      </c>
      <c r="D229" s="21" t="s">
        <v>52</v>
      </c>
      <c r="E229" s="21" t="s">
        <v>217</v>
      </c>
      <c r="F229" s="33">
        <v>360</v>
      </c>
      <c r="G229" s="21" t="s">
        <v>377</v>
      </c>
      <c r="H229" s="33">
        <v>6</v>
      </c>
      <c r="I229" s="33">
        <v>0</v>
      </c>
      <c r="J229" s="33">
        <v>0</v>
      </c>
      <c r="K229" s="21" t="s">
        <v>495</v>
      </c>
      <c r="L229" s="21" t="s">
        <v>499</v>
      </c>
      <c r="N229" s="46">
        <v>32.130000000000003</v>
      </c>
      <c r="O229" s="46">
        <v>0</v>
      </c>
      <c r="P229" s="46">
        <v>0</v>
      </c>
      <c r="Q229" s="46">
        <v>32.130000000000003</v>
      </c>
      <c r="R229" s="47" t="s">
        <v>53</v>
      </c>
      <c r="S229" s="33" t="s">
        <v>257</v>
      </c>
      <c r="T229" s="33" t="s">
        <v>257</v>
      </c>
      <c r="U229" s="21" t="s">
        <v>478</v>
      </c>
    </row>
    <row r="230" spans="1:21" x14ac:dyDescent="0.25">
      <c r="A230" s="33">
        <v>2013</v>
      </c>
      <c r="B230" s="44">
        <v>41486</v>
      </c>
      <c r="C230" s="45">
        <v>0.88541666666666663</v>
      </c>
      <c r="D230" s="21" t="s">
        <v>52</v>
      </c>
      <c r="E230" s="21" t="s">
        <v>220</v>
      </c>
      <c r="F230" s="33">
        <v>1250</v>
      </c>
      <c r="G230" s="21" t="s">
        <v>369</v>
      </c>
      <c r="H230" s="33">
        <v>1</v>
      </c>
      <c r="I230" s="33">
        <v>0</v>
      </c>
      <c r="J230" s="33">
        <v>0</v>
      </c>
      <c r="K230" s="21" t="s">
        <v>522</v>
      </c>
      <c r="L230" s="21" t="s">
        <v>523</v>
      </c>
      <c r="N230" s="46">
        <v>11.5</v>
      </c>
      <c r="O230" s="46">
        <v>0</v>
      </c>
      <c r="P230" s="46">
        <v>0.2</v>
      </c>
      <c r="Q230" s="46">
        <v>11.5</v>
      </c>
      <c r="R230" s="47" t="s">
        <v>55</v>
      </c>
      <c r="S230" s="33" t="s">
        <v>257</v>
      </c>
      <c r="T230" s="33" t="s">
        <v>257</v>
      </c>
      <c r="U230" s="21" t="s">
        <v>257</v>
      </c>
    </row>
    <row r="231" spans="1:21" x14ac:dyDescent="0.25">
      <c r="A231" s="33">
        <v>2013</v>
      </c>
      <c r="B231" s="44">
        <v>41477</v>
      </c>
      <c r="C231" s="45">
        <v>0</v>
      </c>
      <c r="D231" s="21" t="s">
        <v>51</v>
      </c>
      <c r="E231" s="21" t="s">
        <v>224</v>
      </c>
      <c r="F231" s="33">
        <v>1000</v>
      </c>
      <c r="G231" s="21" t="s">
        <v>376</v>
      </c>
      <c r="H231" s="33">
        <v>1</v>
      </c>
      <c r="I231" s="33">
        <v>0</v>
      </c>
      <c r="J231" s="33">
        <v>0</v>
      </c>
      <c r="K231" s="21" t="s">
        <v>300</v>
      </c>
      <c r="L231" s="21" t="s">
        <v>526</v>
      </c>
      <c r="N231" s="46" t="s">
        <v>257</v>
      </c>
      <c r="O231" s="46" t="s">
        <v>257</v>
      </c>
      <c r="P231" s="46" t="s">
        <v>257</v>
      </c>
      <c r="Q231" s="46" t="s">
        <v>257</v>
      </c>
      <c r="R231" s="47" t="s">
        <v>257</v>
      </c>
      <c r="S231" s="33" t="s">
        <v>257</v>
      </c>
      <c r="T231" s="33" t="s">
        <v>257</v>
      </c>
      <c r="U231" s="21" t="s">
        <v>257</v>
      </c>
    </row>
    <row r="232" spans="1:21" x14ac:dyDescent="0.25">
      <c r="A232" s="33">
        <v>2013</v>
      </c>
      <c r="B232" s="44">
        <v>41460</v>
      </c>
      <c r="C232" s="45">
        <v>0.84375</v>
      </c>
      <c r="D232" s="21" t="s">
        <v>50</v>
      </c>
      <c r="E232" s="21" t="s">
        <v>257</v>
      </c>
      <c r="F232" s="33" t="s">
        <v>257</v>
      </c>
      <c r="G232" s="21" t="s">
        <v>244</v>
      </c>
      <c r="H232" s="33">
        <v>2</v>
      </c>
      <c r="I232" s="33">
        <v>0</v>
      </c>
      <c r="J232" s="33">
        <v>0</v>
      </c>
      <c r="K232" s="21" t="s">
        <v>302</v>
      </c>
      <c r="L232" s="21" t="s">
        <v>303</v>
      </c>
      <c r="N232" s="46">
        <v>70</v>
      </c>
      <c r="O232" s="46" t="s">
        <v>257</v>
      </c>
      <c r="P232" s="46">
        <v>25</v>
      </c>
      <c r="Q232" s="46">
        <v>70</v>
      </c>
      <c r="R232" s="47" t="s">
        <v>55</v>
      </c>
      <c r="S232" s="33" t="s">
        <v>257</v>
      </c>
      <c r="T232" s="33" t="s">
        <v>257</v>
      </c>
      <c r="U232" s="21" t="s">
        <v>530</v>
      </c>
    </row>
    <row r="233" spans="1:21" x14ac:dyDescent="0.25">
      <c r="A233" s="33">
        <v>2013</v>
      </c>
      <c r="B233" s="44">
        <v>41460</v>
      </c>
      <c r="C233" s="45">
        <v>0.94374999999999998</v>
      </c>
      <c r="D233" s="21" t="s">
        <v>50</v>
      </c>
      <c r="E233" s="21" t="s">
        <v>257</v>
      </c>
      <c r="F233" s="33" t="s">
        <v>257</v>
      </c>
      <c r="G233" s="21" t="s">
        <v>244</v>
      </c>
      <c r="H233" s="33">
        <v>1</v>
      </c>
      <c r="I233" s="33">
        <v>0</v>
      </c>
      <c r="J233" s="33">
        <v>0</v>
      </c>
      <c r="K233" s="21" t="s">
        <v>302</v>
      </c>
      <c r="L233" s="21" t="s">
        <v>303</v>
      </c>
      <c r="N233" s="46">
        <v>53</v>
      </c>
      <c r="O233" s="46" t="s">
        <v>257</v>
      </c>
      <c r="P233" s="46">
        <v>93</v>
      </c>
      <c r="Q233" s="46">
        <v>53</v>
      </c>
      <c r="R233" s="47" t="s">
        <v>53</v>
      </c>
      <c r="S233" s="33" t="s">
        <v>257</v>
      </c>
      <c r="T233" s="33" t="s">
        <v>257</v>
      </c>
      <c r="U233" s="21" t="s">
        <v>531</v>
      </c>
    </row>
    <row r="234" spans="1:21" x14ac:dyDescent="0.25">
      <c r="A234" s="33">
        <v>2013</v>
      </c>
      <c r="B234" s="44">
        <v>41461</v>
      </c>
      <c r="C234" s="45">
        <v>0.56111111111111112</v>
      </c>
      <c r="D234" s="21" t="s">
        <v>50</v>
      </c>
      <c r="E234" s="21" t="s">
        <v>226</v>
      </c>
      <c r="F234" s="33">
        <v>150</v>
      </c>
      <c r="G234" s="21" t="s">
        <v>243</v>
      </c>
      <c r="H234" s="33">
        <v>6</v>
      </c>
      <c r="I234" s="33">
        <v>0</v>
      </c>
      <c r="J234" s="33">
        <v>0</v>
      </c>
      <c r="K234" s="21" t="s">
        <v>347</v>
      </c>
      <c r="L234" s="21" t="s">
        <v>348</v>
      </c>
      <c r="N234" s="46">
        <v>79</v>
      </c>
      <c r="O234" s="46">
        <v>45.4</v>
      </c>
      <c r="P234" s="46" t="s">
        <v>257</v>
      </c>
      <c r="Q234" s="46">
        <v>124.4</v>
      </c>
      <c r="R234" s="47" t="s">
        <v>53</v>
      </c>
      <c r="S234" s="33">
        <v>1716718.3496011558</v>
      </c>
      <c r="T234" s="33">
        <v>361857.46027682337</v>
      </c>
      <c r="U234" s="21" t="s">
        <v>532</v>
      </c>
    </row>
    <row r="235" spans="1:21" x14ac:dyDescent="0.25">
      <c r="A235" s="33">
        <v>2013</v>
      </c>
      <c r="B235" s="44">
        <v>41461</v>
      </c>
      <c r="C235" s="45">
        <v>0.88888888888888884</v>
      </c>
      <c r="D235" s="21" t="s">
        <v>50</v>
      </c>
      <c r="E235" s="21" t="s">
        <v>479</v>
      </c>
      <c r="F235" s="33">
        <v>40</v>
      </c>
      <c r="G235" s="21" t="s">
        <v>243</v>
      </c>
      <c r="H235" s="33">
        <v>5</v>
      </c>
      <c r="I235" s="33">
        <v>0</v>
      </c>
      <c r="J235" s="33">
        <v>0</v>
      </c>
      <c r="K235" s="21" t="s">
        <v>510</v>
      </c>
      <c r="L235" s="21" t="s">
        <v>511</v>
      </c>
      <c r="N235" s="46" t="s">
        <v>257</v>
      </c>
      <c r="O235" s="46" t="s">
        <v>257</v>
      </c>
      <c r="P235" s="46" t="s">
        <v>257</v>
      </c>
      <c r="Q235" s="46" t="s">
        <v>257</v>
      </c>
      <c r="R235" s="47" t="s">
        <v>257</v>
      </c>
      <c r="S235" s="33" t="s">
        <v>257</v>
      </c>
      <c r="T235" s="33" t="s">
        <v>257</v>
      </c>
      <c r="U235" s="21" t="s">
        <v>533</v>
      </c>
    </row>
    <row r="236" spans="1:21" x14ac:dyDescent="0.25">
      <c r="A236" s="33">
        <v>2013</v>
      </c>
      <c r="B236" s="44">
        <v>41461</v>
      </c>
      <c r="C236" s="45">
        <v>0.89236111111111116</v>
      </c>
      <c r="D236" s="21" t="s">
        <v>50</v>
      </c>
      <c r="E236" s="21" t="s">
        <v>479</v>
      </c>
      <c r="F236" s="33">
        <v>39</v>
      </c>
      <c r="G236" s="21" t="s">
        <v>243</v>
      </c>
      <c r="H236" s="33">
        <v>5</v>
      </c>
      <c r="I236" s="33">
        <v>0</v>
      </c>
      <c r="J236" s="33">
        <v>0</v>
      </c>
      <c r="K236" s="21" t="s">
        <v>510</v>
      </c>
      <c r="L236" s="21" t="s">
        <v>511</v>
      </c>
      <c r="N236" s="46" t="s">
        <v>257</v>
      </c>
      <c r="O236" s="46" t="s">
        <v>257</v>
      </c>
      <c r="P236" s="46" t="s">
        <v>257</v>
      </c>
      <c r="Q236" s="46" t="s">
        <v>257</v>
      </c>
      <c r="R236" s="47" t="s">
        <v>257</v>
      </c>
      <c r="S236" s="33" t="s">
        <v>257</v>
      </c>
      <c r="T236" s="33" t="s">
        <v>257</v>
      </c>
      <c r="U236" s="21" t="s">
        <v>314</v>
      </c>
    </row>
    <row r="237" spans="1:21" x14ac:dyDescent="0.25">
      <c r="A237" s="33">
        <v>2013</v>
      </c>
      <c r="B237" s="44">
        <v>41461</v>
      </c>
      <c r="C237" s="45">
        <v>0.11805555555555557</v>
      </c>
      <c r="D237" s="21" t="s">
        <v>50</v>
      </c>
      <c r="E237" s="21" t="s">
        <v>479</v>
      </c>
      <c r="F237" s="33">
        <v>79</v>
      </c>
      <c r="G237" s="21" t="s">
        <v>243</v>
      </c>
      <c r="H237" s="33">
        <v>5</v>
      </c>
      <c r="I237" s="33">
        <v>0</v>
      </c>
      <c r="J237" s="33">
        <v>0</v>
      </c>
      <c r="K237" s="21" t="s">
        <v>510</v>
      </c>
      <c r="L237" s="21" t="s">
        <v>511</v>
      </c>
      <c r="N237" s="46" t="s">
        <v>257</v>
      </c>
      <c r="O237" s="46" t="s">
        <v>257</v>
      </c>
      <c r="P237" s="46" t="s">
        <v>257</v>
      </c>
      <c r="Q237" s="46" t="s">
        <v>257</v>
      </c>
      <c r="R237" s="47" t="s">
        <v>257</v>
      </c>
      <c r="S237" s="33" t="s">
        <v>257</v>
      </c>
      <c r="T237" s="33" t="s">
        <v>257</v>
      </c>
      <c r="U237" s="21" t="s">
        <v>481</v>
      </c>
    </row>
    <row r="238" spans="1:21" x14ac:dyDescent="0.25">
      <c r="A238" s="33">
        <v>2013</v>
      </c>
      <c r="B238" s="44">
        <v>41462</v>
      </c>
      <c r="C238" s="45">
        <v>4.8611111111111112E-2</v>
      </c>
      <c r="D238" s="21" t="s">
        <v>50</v>
      </c>
      <c r="E238" s="21" t="s">
        <v>257</v>
      </c>
      <c r="F238" s="33" t="s">
        <v>257</v>
      </c>
      <c r="G238" s="21" t="s">
        <v>244</v>
      </c>
      <c r="H238" s="33">
        <v>4</v>
      </c>
      <c r="I238" s="33">
        <v>0</v>
      </c>
      <c r="J238" s="33">
        <v>0</v>
      </c>
      <c r="K238" s="21" t="s">
        <v>338</v>
      </c>
      <c r="L238" s="21" t="s">
        <v>339</v>
      </c>
      <c r="N238" s="46">
        <v>36</v>
      </c>
      <c r="O238" s="46" t="s">
        <v>257</v>
      </c>
      <c r="P238" s="46">
        <v>2.9</v>
      </c>
      <c r="Q238" s="46">
        <v>36</v>
      </c>
      <c r="R238" s="47" t="s">
        <v>54</v>
      </c>
      <c r="S238" s="33" t="s">
        <v>257</v>
      </c>
      <c r="T238" s="33" t="s">
        <v>257</v>
      </c>
      <c r="U238" s="21" t="s">
        <v>482</v>
      </c>
    </row>
    <row r="239" spans="1:21" x14ac:dyDescent="0.25">
      <c r="A239" s="33">
        <v>2013</v>
      </c>
      <c r="B239" s="44">
        <v>41462</v>
      </c>
      <c r="C239" s="45">
        <v>4.8611111111111112E-2</v>
      </c>
      <c r="D239" s="21" t="s">
        <v>50</v>
      </c>
      <c r="E239" s="21" t="s">
        <v>257</v>
      </c>
      <c r="F239" s="33" t="s">
        <v>257</v>
      </c>
      <c r="G239" s="21" t="s">
        <v>243</v>
      </c>
      <c r="H239" s="33">
        <v>4</v>
      </c>
      <c r="I239" s="33">
        <v>0</v>
      </c>
      <c r="J239" s="33">
        <v>0</v>
      </c>
      <c r="K239" s="21" t="s">
        <v>510</v>
      </c>
      <c r="L239" s="21" t="s">
        <v>511</v>
      </c>
      <c r="N239" s="46" t="s">
        <v>257</v>
      </c>
      <c r="O239" s="46" t="s">
        <v>257</v>
      </c>
      <c r="P239" s="46" t="s">
        <v>257</v>
      </c>
      <c r="Q239" s="46" t="s">
        <v>257</v>
      </c>
      <c r="R239" s="47" t="s">
        <v>55</v>
      </c>
      <c r="S239" s="33" t="s">
        <v>257</v>
      </c>
      <c r="T239" s="33" t="s">
        <v>257</v>
      </c>
      <c r="U239" s="21" t="s">
        <v>483</v>
      </c>
    </row>
    <row r="240" spans="1:21" x14ac:dyDescent="0.25">
      <c r="A240" s="33">
        <v>2013</v>
      </c>
      <c r="B240" s="44">
        <v>41463</v>
      </c>
      <c r="C240" s="45">
        <v>0.875</v>
      </c>
      <c r="D240" s="21" t="s">
        <v>50</v>
      </c>
      <c r="E240" s="21" t="s">
        <v>257</v>
      </c>
      <c r="F240" s="33" t="s">
        <v>257</v>
      </c>
      <c r="G240" s="21" t="s">
        <v>480</v>
      </c>
      <c r="H240" s="33">
        <v>1</v>
      </c>
      <c r="I240" s="33">
        <v>1</v>
      </c>
      <c r="J240" s="33">
        <v>0</v>
      </c>
      <c r="K240" s="21" t="s">
        <v>288</v>
      </c>
      <c r="L240" s="21" t="s">
        <v>506</v>
      </c>
      <c r="N240" s="46">
        <v>50</v>
      </c>
      <c r="O240" s="46">
        <v>91</v>
      </c>
      <c r="P240" s="46">
        <v>2.95</v>
      </c>
      <c r="Q240" s="46">
        <v>141</v>
      </c>
      <c r="R240" s="47" t="s">
        <v>54</v>
      </c>
      <c r="S240" s="33" t="s">
        <v>257</v>
      </c>
      <c r="T240" s="33" t="s">
        <v>257</v>
      </c>
      <c r="U240" s="21" t="s">
        <v>534</v>
      </c>
    </row>
    <row r="241" spans="1:21" x14ac:dyDescent="0.25">
      <c r="A241" s="33">
        <v>2013</v>
      </c>
      <c r="B241" s="44">
        <v>41460</v>
      </c>
      <c r="C241" s="45">
        <v>0.87847222222222221</v>
      </c>
      <c r="D241" s="21" t="s">
        <v>50</v>
      </c>
      <c r="E241" s="21" t="s">
        <v>479</v>
      </c>
      <c r="F241" s="33" t="s">
        <v>257</v>
      </c>
      <c r="G241" s="21" t="s">
        <v>377</v>
      </c>
      <c r="H241" s="33">
        <v>5</v>
      </c>
      <c r="I241" s="33">
        <v>0</v>
      </c>
      <c r="J241" s="33">
        <v>0</v>
      </c>
      <c r="K241" s="21" t="s">
        <v>338</v>
      </c>
      <c r="L241" s="21" t="s">
        <v>339</v>
      </c>
      <c r="N241" s="46">
        <v>29</v>
      </c>
      <c r="O241" s="46" t="s">
        <v>257</v>
      </c>
      <c r="P241" s="46">
        <v>1.5</v>
      </c>
      <c r="Q241" s="46">
        <v>29</v>
      </c>
      <c r="R241" s="47" t="s">
        <v>53</v>
      </c>
      <c r="S241" s="33" t="s">
        <v>257</v>
      </c>
      <c r="T241" s="33" t="s">
        <v>257</v>
      </c>
      <c r="U241" s="21" t="s">
        <v>535</v>
      </c>
    </row>
    <row r="242" spans="1:21" x14ac:dyDescent="0.25">
      <c r="A242" s="33">
        <v>2013</v>
      </c>
      <c r="B242" s="44">
        <v>41460</v>
      </c>
      <c r="C242" s="45">
        <v>0.88124999999999998</v>
      </c>
      <c r="D242" s="21" t="s">
        <v>50</v>
      </c>
      <c r="E242" s="21" t="s">
        <v>479</v>
      </c>
      <c r="F242" s="33" t="s">
        <v>257</v>
      </c>
      <c r="G242" s="21" t="s">
        <v>377</v>
      </c>
      <c r="H242" s="33">
        <v>5</v>
      </c>
      <c r="I242" s="33">
        <v>0</v>
      </c>
      <c r="J242" s="33">
        <v>0</v>
      </c>
      <c r="K242" s="21" t="s">
        <v>302</v>
      </c>
      <c r="L242" s="21" t="s">
        <v>303</v>
      </c>
      <c r="N242" s="46">
        <v>66</v>
      </c>
      <c r="O242" s="46" t="s">
        <v>257</v>
      </c>
      <c r="P242" s="46">
        <v>30.5</v>
      </c>
      <c r="Q242" s="46">
        <v>66</v>
      </c>
      <c r="R242" s="47" t="s">
        <v>53</v>
      </c>
      <c r="S242" s="33" t="s">
        <v>257</v>
      </c>
      <c r="T242" s="33" t="s">
        <v>257</v>
      </c>
      <c r="U242" s="21" t="s">
        <v>536</v>
      </c>
    </row>
    <row r="243" spans="1:21" x14ac:dyDescent="0.25">
      <c r="A243" s="33">
        <v>2013</v>
      </c>
      <c r="B243" s="44">
        <v>41460</v>
      </c>
      <c r="C243" s="45">
        <v>0.88611111111111107</v>
      </c>
      <c r="D243" s="21" t="s">
        <v>50</v>
      </c>
      <c r="E243" s="21" t="s">
        <v>479</v>
      </c>
      <c r="F243" s="33" t="s">
        <v>257</v>
      </c>
      <c r="G243" s="21" t="s">
        <v>377</v>
      </c>
      <c r="H243" s="33">
        <v>5</v>
      </c>
      <c r="I243" s="33">
        <v>0</v>
      </c>
      <c r="J243" s="33">
        <v>0</v>
      </c>
      <c r="K243" s="21" t="s">
        <v>338</v>
      </c>
      <c r="L243" s="21" t="s">
        <v>339</v>
      </c>
      <c r="N243" s="46" t="s">
        <v>257</v>
      </c>
      <c r="O243" s="46" t="s">
        <v>257</v>
      </c>
      <c r="P243" s="46" t="s">
        <v>257</v>
      </c>
      <c r="Q243" s="46" t="s">
        <v>257</v>
      </c>
      <c r="R243" s="47" t="s">
        <v>55</v>
      </c>
      <c r="S243" s="33" t="s">
        <v>257</v>
      </c>
      <c r="T243" s="33" t="s">
        <v>257</v>
      </c>
      <c r="U243" s="21" t="s">
        <v>484</v>
      </c>
    </row>
    <row r="244" spans="1:21" x14ac:dyDescent="0.25">
      <c r="A244" s="33">
        <v>2013</v>
      </c>
      <c r="B244" s="44">
        <v>41460</v>
      </c>
      <c r="C244" s="45">
        <v>0.88680555555555562</v>
      </c>
      <c r="D244" s="21" t="s">
        <v>50</v>
      </c>
      <c r="E244" s="21" t="s">
        <v>479</v>
      </c>
      <c r="F244" s="33" t="s">
        <v>257</v>
      </c>
      <c r="G244" s="21" t="s">
        <v>377</v>
      </c>
      <c r="H244" s="33">
        <v>5</v>
      </c>
      <c r="I244" s="33">
        <v>0</v>
      </c>
      <c r="J244" s="33">
        <v>0</v>
      </c>
      <c r="K244" s="21" t="s">
        <v>358</v>
      </c>
      <c r="L244" s="21" t="s">
        <v>359</v>
      </c>
      <c r="N244" s="46" t="s">
        <v>257</v>
      </c>
      <c r="O244" s="46" t="s">
        <v>257</v>
      </c>
      <c r="P244" s="46" t="s">
        <v>257</v>
      </c>
      <c r="Q244" s="46" t="s">
        <v>257</v>
      </c>
      <c r="R244" s="47" t="s">
        <v>55</v>
      </c>
      <c r="S244" s="33" t="s">
        <v>257</v>
      </c>
      <c r="T244" s="33" t="s">
        <v>257</v>
      </c>
      <c r="U244" s="21" t="s">
        <v>484</v>
      </c>
    </row>
    <row r="245" spans="1:21" x14ac:dyDescent="0.25">
      <c r="A245" s="33">
        <v>2013</v>
      </c>
      <c r="B245" s="44">
        <v>41460</v>
      </c>
      <c r="C245" s="45">
        <v>0.88888888888888884</v>
      </c>
      <c r="D245" s="21" t="s">
        <v>50</v>
      </c>
      <c r="E245" s="21" t="s">
        <v>479</v>
      </c>
      <c r="F245" s="33" t="s">
        <v>257</v>
      </c>
      <c r="G245" s="21" t="s">
        <v>377</v>
      </c>
      <c r="H245" s="33">
        <v>5</v>
      </c>
      <c r="I245" s="33">
        <v>0</v>
      </c>
      <c r="J245" s="33">
        <v>0</v>
      </c>
      <c r="K245" s="21" t="s">
        <v>495</v>
      </c>
      <c r="L245" s="21" t="s">
        <v>499</v>
      </c>
      <c r="N245" s="46" t="s">
        <v>257</v>
      </c>
      <c r="O245" s="46" t="s">
        <v>257</v>
      </c>
      <c r="P245" s="46" t="s">
        <v>257</v>
      </c>
      <c r="Q245" s="46" t="s">
        <v>257</v>
      </c>
      <c r="R245" s="47" t="s">
        <v>55</v>
      </c>
      <c r="S245" s="33" t="s">
        <v>257</v>
      </c>
      <c r="T245" s="33" t="s">
        <v>257</v>
      </c>
      <c r="U245" s="21" t="s">
        <v>484</v>
      </c>
    </row>
    <row r="246" spans="1:21" x14ac:dyDescent="0.25">
      <c r="A246" s="33">
        <v>2013</v>
      </c>
      <c r="B246" s="44">
        <v>41460</v>
      </c>
      <c r="C246" s="45">
        <v>0.90416666666666667</v>
      </c>
      <c r="D246" s="21" t="s">
        <v>50</v>
      </c>
      <c r="E246" s="21" t="s">
        <v>479</v>
      </c>
      <c r="F246" s="33" t="s">
        <v>257</v>
      </c>
      <c r="G246" s="21" t="s">
        <v>377</v>
      </c>
      <c r="H246" s="33">
        <v>5</v>
      </c>
      <c r="I246" s="33">
        <v>0</v>
      </c>
      <c r="J246" s="33">
        <v>0</v>
      </c>
      <c r="K246" s="21" t="s">
        <v>338</v>
      </c>
      <c r="L246" s="21" t="s">
        <v>339</v>
      </c>
      <c r="N246" s="46" t="s">
        <v>257</v>
      </c>
      <c r="O246" s="46" t="s">
        <v>257</v>
      </c>
      <c r="P246" s="46" t="s">
        <v>257</v>
      </c>
      <c r="Q246" s="46" t="s">
        <v>257</v>
      </c>
      <c r="R246" s="47" t="s">
        <v>55</v>
      </c>
      <c r="S246" s="33" t="s">
        <v>257</v>
      </c>
      <c r="T246" s="33" t="s">
        <v>257</v>
      </c>
      <c r="U246" s="21" t="s">
        <v>484</v>
      </c>
    </row>
    <row r="247" spans="1:21" x14ac:dyDescent="0.25">
      <c r="A247" s="33">
        <v>2013</v>
      </c>
      <c r="B247" s="44">
        <v>41460</v>
      </c>
      <c r="C247" s="45">
        <v>0.91319444444444453</v>
      </c>
      <c r="D247" s="21" t="s">
        <v>50</v>
      </c>
      <c r="E247" s="21" t="s">
        <v>479</v>
      </c>
      <c r="F247" s="33" t="s">
        <v>257</v>
      </c>
      <c r="G247" s="21" t="s">
        <v>377</v>
      </c>
      <c r="H247" s="33">
        <v>5</v>
      </c>
      <c r="I247" s="33">
        <v>0</v>
      </c>
      <c r="J247" s="33">
        <v>0</v>
      </c>
      <c r="K247" s="21" t="s">
        <v>338</v>
      </c>
      <c r="L247" s="21" t="s">
        <v>339</v>
      </c>
      <c r="N247" s="46">
        <v>25</v>
      </c>
      <c r="O247" s="46" t="s">
        <v>257</v>
      </c>
      <c r="P247" s="46">
        <v>1.7</v>
      </c>
      <c r="Q247" s="46">
        <v>25</v>
      </c>
      <c r="R247" s="47" t="s">
        <v>53</v>
      </c>
      <c r="S247" s="33" t="s">
        <v>257</v>
      </c>
      <c r="T247" s="33" t="s">
        <v>257</v>
      </c>
      <c r="U247" s="21" t="s">
        <v>537</v>
      </c>
    </row>
    <row r="248" spans="1:21" x14ac:dyDescent="0.25">
      <c r="A248" s="33">
        <v>2013</v>
      </c>
      <c r="B248" s="44">
        <v>41460</v>
      </c>
      <c r="C248" s="45">
        <v>0.91319444444444453</v>
      </c>
      <c r="D248" s="21" t="s">
        <v>50</v>
      </c>
      <c r="E248" s="21" t="s">
        <v>479</v>
      </c>
      <c r="F248" s="33" t="s">
        <v>257</v>
      </c>
      <c r="G248" s="21" t="s">
        <v>377</v>
      </c>
      <c r="H248" s="33">
        <v>5</v>
      </c>
      <c r="I248" s="33">
        <v>0</v>
      </c>
      <c r="J248" s="33">
        <v>0</v>
      </c>
      <c r="K248" s="21" t="s">
        <v>338</v>
      </c>
      <c r="L248" s="21" t="s">
        <v>339</v>
      </c>
      <c r="N248" s="46">
        <v>30</v>
      </c>
      <c r="O248" s="46" t="s">
        <v>257</v>
      </c>
      <c r="P248" s="46">
        <v>1</v>
      </c>
      <c r="Q248" s="46">
        <v>30</v>
      </c>
      <c r="R248" s="47" t="s">
        <v>54</v>
      </c>
      <c r="S248" s="33" t="s">
        <v>257</v>
      </c>
      <c r="T248" s="33" t="s">
        <v>257</v>
      </c>
      <c r="U248" s="21" t="s">
        <v>538</v>
      </c>
    </row>
    <row r="249" spans="1:21" x14ac:dyDescent="0.25">
      <c r="A249" s="33">
        <v>2013</v>
      </c>
      <c r="B249" s="44">
        <v>41460</v>
      </c>
      <c r="C249" s="45">
        <v>0.91736111111111107</v>
      </c>
      <c r="D249" s="21" t="s">
        <v>50</v>
      </c>
      <c r="E249" s="21" t="s">
        <v>479</v>
      </c>
      <c r="F249" s="33" t="s">
        <v>257</v>
      </c>
      <c r="G249" s="21" t="s">
        <v>377</v>
      </c>
      <c r="H249" s="33">
        <v>5</v>
      </c>
      <c r="I249" s="33">
        <v>0</v>
      </c>
      <c r="J249" s="33">
        <v>0</v>
      </c>
      <c r="K249" s="21" t="s">
        <v>338</v>
      </c>
      <c r="L249" s="21" t="s">
        <v>339</v>
      </c>
      <c r="N249" s="46" t="s">
        <v>257</v>
      </c>
      <c r="O249" s="46" t="s">
        <v>257</v>
      </c>
      <c r="P249" s="46" t="s">
        <v>257</v>
      </c>
      <c r="Q249" s="46" t="s">
        <v>257</v>
      </c>
      <c r="R249" s="47" t="s">
        <v>55</v>
      </c>
      <c r="S249" s="33" t="s">
        <v>257</v>
      </c>
      <c r="T249" s="33" t="s">
        <v>257</v>
      </c>
      <c r="U249" s="21" t="s">
        <v>484</v>
      </c>
    </row>
    <row r="250" spans="1:21" x14ac:dyDescent="0.25">
      <c r="A250" s="33">
        <v>2013</v>
      </c>
      <c r="B250" s="44">
        <v>41460</v>
      </c>
      <c r="C250" s="45">
        <v>0.92361111111111116</v>
      </c>
      <c r="D250" s="21" t="s">
        <v>50</v>
      </c>
      <c r="E250" s="21" t="s">
        <v>479</v>
      </c>
      <c r="F250" s="33" t="s">
        <v>257</v>
      </c>
      <c r="G250" s="21" t="s">
        <v>377</v>
      </c>
      <c r="H250" s="33">
        <v>5</v>
      </c>
      <c r="I250" s="33">
        <v>0</v>
      </c>
      <c r="J250" s="33">
        <v>0</v>
      </c>
      <c r="K250" s="21" t="s">
        <v>338</v>
      </c>
      <c r="L250" s="21" t="s">
        <v>339</v>
      </c>
      <c r="N250" s="46">
        <v>26</v>
      </c>
      <c r="O250" s="46" t="s">
        <v>257</v>
      </c>
      <c r="P250" s="46">
        <v>1.8</v>
      </c>
      <c r="Q250" s="46">
        <v>26</v>
      </c>
      <c r="R250" s="47" t="s">
        <v>55</v>
      </c>
      <c r="S250" s="33" t="s">
        <v>257</v>
      </c>
      <c r="T250" s="33" t="s">
        <v>257</v>
      </c>
      <c r="U250" s="21" t="s">
        <v>539</v>
      </c>
    </row>
    <row r="251" spans="1:21" x14ac:dyDescent="0.25">
      <c r="A251" s="33">
        <v>2013</v>
      </c>
      <c r="B251" s="44">
        <v>41460</v>
      </c>
      <c r="C251" s="45">
        <v>0.92708333333333337</v>
      </c>
      <c r="D251" s="21" t="s">
        <v>50</v>
      </c>
      <c r="E251" s="21" t="s">
        <v>479</v>
      </c>
      <c r="F251" s="33" t="s">
        <v>257</v>
      </c>
      <c r="G251" s="21" t="s">
        <v>377</v>
      </c>
      <c r="H251" s="33">
        <v>5</v>
      </c>
      <c r="I251" s="33">
        <v>0</v>
      </c>
      <c r="J251" s="33">
        <v>0</v>
      </c>
      <c r="K251" s="21" t="s">
        <v>358</v>
      </c>
      <c r="L251" s="21" t="s">
        <v>359</v>
      </c>
      <c r="N251" s="46" t="s">
        <v>257</v>
      </c>
      <c r="O251" s="46" t="s">
        <v>257</v>
      </c>
      <c r="P251" s="46" t="s">
        <v>257</v>
      </c>
      <c r="Q251" s="46" t="s">
        <v>257</v>
      </c>
      <c r="R251" s="47" t="s">
        <v>55</v>
      </c>
      <c r="S251" s="33" t="s">
        <v>257</v>
      </c>
      <c r="T251" s="33" t="s">
        <v>257</v>
      </c>
      <c r="U251" s="21" t="s">
        <v>484</v>
      </c>
    </row>
    <row r="252" spans="1:21" x14ac:dyDescent="0.25">
      <c r="A252" s="33">
        <v>2013</v>
      </c>
      <c r="B252" s="44">
        <v>41460</v>
      </c>
      <c r="C252" s="45">
        <v>0.93819444444444444</v>
      </c>
      <c r="D252" s="21" t="s">
        <v>50</v>
      </c>
      <c r="E252" s="21" t="s">
        <v>479</v>
      </c>
      <c r="F252" s="33" t="s">
        <v>257</v>
      </c>
      <c r="G252" s="21" t="s">
        <v>377</v>
      </c>
      <c r="H252" s="33">
        <v>5</v>
      </c>
      <c r="I252" s="33">
        <v>0</v>
      </c>
      <c r="J252" s="33">
        <v>0</v>
      </c>
      <c r="K252" s="21" t="s">
        <v>338</v>
      </c>
      <c r="L252" s="21" t="s">
        <v>339</v>
      </c>
      <c r="N252" s="46">
        <v>24</v>
      </c>
      <c r="O252" s="46" t="s">
        <v>257</v>
      </c>
      <c r="P252" s="46">
        <v>1.5</v>
      </c>
      <c r="Q252" s="46">
        <v>24</v>
      </c>
      <c r="R252" s="47" t="s">
        <v>55</v>
      </c>
      <c r="S252" s="33" t="s">
        <v>257</v>
      </c>
      <c r="T252" s="33" t="s">
        <v>257</v>
      </c>
      <c r="U252" s="21" t="s">
        <v>540</v>
      </c>
    </row>
    <row r="253" spans="1:21" x14ac:dyDescent="0.25">
      <c r="A253" s="33">
        <v>2013</v>
      </c>
      <c r="B253" s="44">
        <v>41460</v>
      </c>
      <c r="C253" s="45">
        <v>0.94513888888888886</v>
      </c>
      <c r="D253" s="21" t="s">
        <v>50</v>
      </c>
      <c r="E253" s="21" t="s">
        <v>479</v>
      </c>
      <c r="F253" s="33" t="s">
        <v>257</v>
      </c>
      <c r="G253" s="21" t="s">
        <v>377</v>
      </c>
      <c r="H253" s="33">
        <v>5</v>
      </c>
      <c r="I253" s="33">
        <v>0</v>
      </c>
      <c r="J253" s="33">
        <v>0</v>
      </c>
      <c r="K253" s="21" t="s">
        <v>338</v>
      </c>
      <c r="L253" s="21" t="s">
        <v>339</v>
      </c>
      <c r="N253" s="46">
        <v>34</v>
      </c>
      <c r="O253" s="46" t="s">
        <v>257</v>
      </c>
      <c r="P253" s="46">
        <v>4.2</v>
      </c>
      <c r="Q253" s="46">
        <v>34</v>
      </c>
      <c r="R253" s="47" t="s">
        <v>54</v>
      </c>
      <c r="S253" s="33" t="s">
        <v>257</v>
      </c>
      <c r="T253" s="33" t="s">
        <v>257</v>
      </c>
      <c r="U253" s="21" t="s">
        <v>541</v>
      </c>
    </row>
    <row r="254" spans="1:21" x14ac:dyDescent="0.25">
      <c r="A254" s="33">
        <v>2013</v>
      </c>
      <c r="B254" s="44">
        <v>41460</v>
      </c>
      <c r="C254" s="45">
        <v>0.9458333333333333</v>
      </c>
      <c r="D254" s="21" t="s">
        <v>50</v>
      </c>
      <c r="E254" s="21" t="s">
        <v>479</v>
      </c>
      <c r="F254" s="33" t="s">
        <v>257</v>
      </c>
      <c r="G254" s="21" t="s">
        <v>377</v>
      </c>
      <c r="H254" s="33">
        <v>5</v>
      </c>
      <c r="I254" s="33">
        <v>0</v>
      </c>
      <c r="J254" s="33">
        <v>0</v>
      </c>
      <c r="K254" s="21" t="s">
        <v>338</v>
      </c>
      <c r="L254" s="21" t="s">
        <v>339</v>
      </c>
      <c r="N254" s="46">
        <v>24</v>
      </c>
      <c r="O254" s="46" t="s">
        <v>257</v>
      </c>
      <c r="P254" s="46">
        <v>1.5</v>
      </c>
      <c r="Q254" s="46">
        <v>24</v>
      </c>
      <c r="R254" s="47" t="s">
        <v>55</v>
      </c>
      <c r="S254" s="33" t="s">
        <v>257</v>
      </c>
      <c r="T254" s="33" t="s">
        <v>257</v>
      </c>
      <c r="U254" s="21" t="s">
        <v>542</v>
      </c>
    </row>
    <row r="255" spans="1:21" x14ac:dyDescent="0.25">
      <c r="A255" s="33">
        <v>2013</v>
      </c>
      <c r="B255" s="44">
        <v>41460</v>
      </c>
      <c r="C255" s="45">
        <v>0.95347222222222217</v>
      </c>
      <c r="D255" s="21" t="s">
        <v>50</v>
      </c>
      <c r="E255" s="21" t="s">
        <v>479</v>
      </c>
      <c r="F255" s="33" t="s">
        <v>257</v>
      </c>
      <c r="G255" s="21" t="s">
        <v>377</v>
      </c>
      <c r="H255" s="33">
        <v>5</v>
      </c>
      <c r="I255" s="33">
        <v>0</v>
      </c>
      <c r="J255" s="33">
        <v>0</v>
      </c>
      <c r="K255" s="21" t="s">
        <v>338</v>
      </c>
      <c r="L255" s="21" t="s">
        <v>339</v>
      </c>
      <c r="N255" s="46">
        <v>23</v>
      </c>
      <c r="O255" s="46" t="s">
        <v>257</v>
      </c>
      <c r="P255" s="46">
        <v>1.4</v>
      </c>
      <c r="Q255" s="46">
        <v>23</v>
      </c>
      <c r="R255" s="47" t="s">
        <v>55</v>
      </c>
      <c r="S255" s="33" t="s">
        <v>257</v>
      </c>
      <c r="T255" s="33" t="s">
        <v>257</v>
      </c>
      <c r="U255" s="21" t="s">
        <v>543</v>
      </c>
    </row>
    <row r="256" spans="1:21" x14ac:dyDescent="0.25">
      <c r="A256" s="33">
        <v>2013</v>
      </c>
      <c r="B256" s="44">
        <v>41460</v>
      </c>
      <c r="C256" s="45">
        <v>0.9555555555555556</v>
      </c>
      <c r="D256" s="21" t="s">
        <v>50</v>
      </c>
      <c r="E256" s="21" t="s">
        <v>479</v>
      </c>
      <c r="F256" s="33" t="s">
        <v>257</v>
      </c>
      <c r="G256" s="21" t="s">
        <v>377</v>
      </c>
      <c r="H256" s="33">
        <v>5</v>
      </c>
      <c r="I256" s="33">
        <v>0</v>
      </c>
      <c r="J256" s="33">
        <v>0</v>
      </c>
      <c r="K256" s="21" t="s">
        <v>338</v>
      </c>
      <c r="L256" s="21" t="s">
        <v>339</v>
      </c>
      <c r="N256" s="46">
        <v>25</v>
      </c>
      <c r="O256" s="46" t="s">
        <v>257</v>
      </c>
      <c r="P256" s="46">
        <v>1.5</v>
      </c>
      <c r="Q256" s="46">
        <v>25</v>
      </c>
      <c r="R256" s="47" t="s">
        <v>55</v>
      </c>
      <c r="S256" s="33" t="s">
        <v>257</v>
      </c>
      <c r="T256" s="33" t="s">
        <v>257</v>
      </c>
      <c r="U256" s="21" t="s">
        <v>544</v>
      </c>
    </row>
    <row r="257" spans="1:21" x14ac:dyDescent="0.25">
      <c r="A257" s="33">
        <v>2013</v>
      </c>
      <c r="B257" s="44">
        <v>41460</v>
      </c>
      <c r="C257" s="45">
        <v>0.97222222222222221</v>
      </c>
      <c r="D257" s="21" t="s">
        <v>50</v>
      </c>
      <c r="E257" s="21" t="s">
        <v>479</v>
      </c>
      <c r="F257" s="33" t="s">
        <v>257</v>
      </c>
      <c r="G257" s="21" t="s">
        <v>377</v>
      </c>
      <c r="H257" s="33">
        <v>5</v>
      </c>
      <c r="I257" s="33">
        <v>0</v>
      </c>
      <c r="J257" s="33">
        <v>0</v>
      </c>
      <c r="K257" s="21" t="s">
        <v>358</v>
      </c>
      <c r="L257" s="21" t="s">
        <v>359</v>
      </c>
      <c r="N257" s="46">
        <v>41</v>
      </c>
      <c r="O257" s="46" t="s">
        <v>257</v>
      </c>
      <c r="P257" s="46">
        <v>8.6999999999999993</v>
      </c>
      <c r="Q257" s="46">
        <v>41</v>
      </c>
      <c r="R257" s="47" t="s">
        <v>55</v>
      </c>
      <c r="S257" s="33" t="s">
        <v>257</v>
      </c>
      <c r="T257" s="33" t="s">
        <v>257</v>
      </c>
      <c r="U257" s="21" t="s">
        <v>545</v>
      </c>
    </row>
    <row r="258" spans="1:21" x14ac:dyDescent="0.25">
      <c r="A258" s="33">
        <v>2013</v>
      </c>
      <c r="B258" s="44">
        <v>41460</v>
      </c>
      <c r="C258" s="45">
        <v>0.97499999999999998</v>
      </c>
      <c r="D258" s="21" t="s">
        <v>50</v>
      </c>
      <c r="E258" s="21" t="s">
        <v>479</v>
      </c>
      <c r="F258" s="33" t="s">
        <v>257</v>
      </c>
      <c r="G258" s="21" t="s">
        <v>377</v>
      </c>
      <c r="H258" s="33">
        <v>5</v>
      </c>
      <c r="I258" s="33">
        <v>0</v>
      </c>
      <c r="J258" s="33">
        <v>0</v>
      </c>
      <c r="K258" s="21" t="s">
        <v>338</v>
      </c>
      <c r="L258" s="21" t="s">
        <v>339</v>
      </c>
      <c r="N258" s="46">
        <v>30</v>
      </c>
      <c r="O258" s="46" t="s">
        <v>257</v>
      </c>
      <c r="P258" s="46">
        <v>1.7</v>
      </c>
      <c r="Q258" s="46">
        <v>30</v>
      </c>
      <c r="R258" s="47" t="s">
        <v>55</v>
      </c>
      <c r="S258" s="33" t="s">
        <v>257</v>
      </c>
      <c r="T258" s="33" t="s">
        <v>257</v>
      </c>
      <c r="U258" s="21" t="s">
        <v>546</v>
      </c>
    </row>
    <row r="259" spans="1:21" x14ac:dyDescent="0.25">
      <c r="A259" s="33">
        <v>2013</v>
      </c>
      <c r="B259" s="44">
        <v>41465</v>
      </c>
      <c r="C259" s="45">
        <v>0.58402777777777781</v>
      </c>
      <c r="D259" s="21" t="s">
        <v>50</v>
      </c>
      <c r="E259" s="21" t="s">
        <v>227</v>
      </c>
      <c r="F259" s="33">
        <v>800</v>
      </c>
      <c r="G259" s="21" t="s">
        <v>244</v>
      </c>
      <c r="H259" s="33">
        <v>3</v>
      </c>
      <c r="I259" s="33">
        <v>1</v>
      </c>
      <c r="J259" s="33">
        <v>0</v>
      </c>
      <c r="K259" s="21" t="s">
        <v>300</v>
      </c>
      <c r="L259" s="21" t="s">
        <v>301</v>
      </c>
      <c r="N259" s="46">
        <v>30</v>
      </c>
      <c r="O259" s="46" t="s">
        <v>257</v>
      </c>
      <c r="P259" s="46">
        <v>4.0999999999999996</v>
      </c>
      <c r="Q259" s="46">
        <v>30</v>
      </c>
      <c r="R259" s="47" t="s">
        <v>55</v>
      </c>
      <c r="S259" s="33" t="s">
        <v>257</v>
      </c>
      <c r="T259" s="33" t="s">
        <v>257</v>
      </c>
      <c r="U259" s="21" t="s">
        <v>547</v>
      </c>
    </row>
    <row r="260" spans="1:21" x14ac:dyDescent="0.25">
      <c r="A260" s="33">
        <v>2013</v>
      </c>
      <c r="B260" s="44">
        <v>41469</v>
      </c>
      <c r="C260" s="45">
        <v>0.87847222222222221</v>
      </c>
      <c r="D260" s="21" t="s">
        <v>50</v>
      </c>
      <c r="E260" s="21" t="s">
        <v>479</v>
      </c>
      <c r="F260" s="33">
        <v>48</v>
      </c>
      <c r="G260" s="21" t="s">
        <v>243</v>
      </c>
      <c r="H260" s="33">
        <v>5</v>
      </c>
      <c r="I260" s="33">
        <v>0</v>
      </c>
      <c r="J260" s="33">
        <v>0</v>
      </c>
      <c r="K260" s="21" t="s">
        <v>510</v>
      </c>
      <c r="L260" s="21" t="s">
        <v>511</v>
      </c>
      <c r="N260" s="46" t="s">
        <v>257</v>
      </c>
      <c r="O260" s="46" t="s">
        <v>257</v>
      </c>
      <c r="P260" s="46" t="s">
        <v>257</v>
      </c>
      <c r="Q260" s="46" t="s">
        <v>257</v>
      </c>
      <c r="R260" s="47" t="s">
        <v>55</v>
      </c>
      <c r="S260" s="33" t="s">
        <v>257</v>
      </c>
      <c r="T260" s="33" t="s">
        <v>257</v>
      </c>
      <c r="U260" s="21" t="s">
        <v>257</v>
      </c>
    </row>
    <row r="261" spans="1:21" x14ac:dyDescent="0.25">
      <c r="A261" s="33">
        <v>2013</v>
      </c>
      <c r="B261" s="44">
        <v>41442</v>
      </c>
      <c r="C261" s="45">
        <v>0.92013888888888884</v>
      </c>
      <c r="D261" s="21" t="s">
        <v>52</v>
      </c>
      <c r="E261" s="21" t="s">
        <v>217</v>
      </c>
      <c r="F261" s="33" t="s">
        <v>257</v>
      </c>
      <c r="G261" s="21" t="s">
        <v>527</v>
      </c>
      <c r="H261" s="33">
        <v>9</v>
      </c>
      <c r="I261" s="33">
        <v>0</v>
      </c>
      <c r="J261" s="33">
        <v>0</v>
      </c>
      <c r="K261" s="21" t="s">
        <v>338</v>
      </c>
      <c r="L261" s="21" t="s">
        <v>339</v>
      </c>
      <c r="N261" s="46">
        <v>25.4</v>
      </c>
      <c r="O261" s="46" t="s">
        <v>257</v>
      </c>
      <c r="P261" s="46">
        <v>1.4</v>
      </c>
      <c r="Q261" s="46">
        <v>25.4</v>
      </c>
      <c r="R261" s="47" t="s">
        <v>55</v>
      </c>
      <c r="S261" s="33" t="s">
        <v>257</v>
      </c>
      <c r="T261" s="33" t="s">
        <v>257</v>
      </c>
      <c r="U261" s="21" t="s">
        <v>528</v>
      </c>
    </row>
    <row r="262" spans="1:21" x14ac:dyDescent="0.25">
      <c r="A262" s="33">
        <v>2013</v>
      </c>
      <c r="B262" s="44">
        <v>41445</v>
      </c>
      <c r="C262" s="45">
        <v>0.4236111111111111</v>
      </c>
      <c r="D262" s="21" t="s">
        <v>47</v>
      </c>
      <c r="E262" s="21" t="s">
        <v>236</v>
      </c>
      <c r="F262" s="33" t="s">
        <v>257</v>
      </c>
      <c r="G262" s="21" t="s">
        <v>527</v>
      </c>
      <c r="H262" s="33">
        <v>1</v>
      </c>
      <c r="I262" s="33">
        <v>0</v>
      </c>
      <c r="J262" s="33">
        <v>0</v>
      </c>
      <c r="K262" s="21" t="s">
        <v>300</v>
      </c>
      <c r="L262" s="21" t="s">
        <v>301</v>
      </c>
      <c r="N262" s="46">
        <v>27</v>
      </c>
      <c r="O262" s="46" t="s">
        <v>257</v>
      </c>
      <c r="P262" s="46">
        <v>4</v>
      </c>
      <c r="Q262" s="46">
        <v>27</v>
      </c>
      <c r="R262" s="47" t="s">
        <v>55</v>
      </c>
      <c r="S262" s="33" t="s">
        <v>257</v>
      </c>
      <c r="T262" s="33" t="s">
        <v>257</v>
      </c>
      <c r="U262" s="21" t="s">
        <v>529</v>
      </c>
    </row>
    <row r="263" spans="1:21" x14ac:dyDescent="0.25">
      <c r="A263" s="33">
        <v>2013</v>
      </c>
      <c r="B263" s="44">
        <v>41469</v>
      </c>
      <c r="C263" s="45">
        <v>0.62638888888888888</v>
      </c>
      <c r="D263" s="21" t="s">
        <v>52</v>
      </c>
      <c r="E263" s="21" t="s">
        <v>257</v>
      </c>
      <c r="F263" s="33" t="s">
        <v>257</v>
      </c>
      <c r="G263" s="21" t="s">
        <v>548</v>
      </c>
      <c r="H263" s="33">
        <v>3</v>
      </c>
      <c r="I263" s="33">
        <v>0</v>
      </c>
      <c r="J263" s="33">
        <v>0</v>
      </c>
      <c r="K263" s="21" t="s">
        <v>347</v>
      </c>
      <c r="L263" s="21" t="s">
        <v>348</v>
      </c>
      <c r="N263" s="46">
        <v>670</v>
      </c>
      <c r="O263" s="46">
        <v>338</v>
      </c>
      <c r="P263" s="46">
        <v>110</v>
      </c>
      <c r="Q263" s="46">
        <v>1008</v>
      </c>
      <c r="R263" s="47" t="s">
        <v>53</v>
      </c>
      <c r="S263" s="33">
        <v>1712809.8421277159</v>
      </c>
      <c r="T263" s="33">
        <v>368988.69081122195</v>
      </c>
      <c r="U263" s="21" t="s">
        <v>549</v>
      </c>
    </row>
    <row r="264" spans="1:21" x14ac:dyDescent="0.25">
      <c r="A264" s="33">
        <v>2013</v>
      </c>
      <c r="B264" s="44">
        <v>41469</v>
      </c>
      <c r="C264" s="45">
        <v>0.83333333333333337</v>
      </c>
      <c r="D264" s="21" t="s">
        <v>52</v>
      </c>
      <c r="E264" s="21" t="s">
        <v>257</v>
      </c>
      <c r="F264" s="33">
        <v>0</v>
      </c>
      <c r="G264" s="21" t="s">
        <v>548</v>
      </c>
      <c r="H264" s="33">
        <v>4</v>
      </c>
      <c r="I264" s="33">
        <v>0</v>
      </c>
      <c r="J264" s="33">
        <v>0</v>
      </c>
      <c r="K264" s="21" t="s">
        <v>288</v>
      </c>
      <c r="L264" s="21" t="s">
        <v>362</v>
      </c>
      <c r="N264" s="46">
        <v>43</v>
      </c>
      <c r="O264" s="46">
        <v>78</v>
      </c>
      <c r="P264" s="46">
        <v>2.4</v>
      </c>
      <c r="Q264" s="46">
        <v>121</v>
      </c>
      <c r="R264" s="47" t="s">
        <v>54</v>
      </c>
      <c r="U264" s="21" t="s">
        <v>550</v>
      </c>
    </row>
    <row r="265" spans="1:21" x14ac:dyDescent="0.25">
      <c r="A265" s="33">
        <v>2013</v>
      </c>
      <c r="B265" s="44">
        <v>41471</v>
      </c>
      <c r="C265" s="45">
        <v>0.47916666666666669</v>
      </c>
      <c r="D265" s="21" t="s">
        <v>52</v>
      </c>
      <c r="E265" s="21" t="s">
        <v>257</v>
      </c>
      <c r="F265" s="33" t="s">
        <v>257</v>
      </c>
      <c r="G265" s="21" t="s">
        <v>548</v>
      </c>
      <c r="H265" s="33">
        <v>12</v>
      </c>
      <c r="I265" s="33">
        <v>0</v>
      </c>
      <c r="J265" s="33">
        <v>0</v>
      </c>
      <c r="K265" s="21" t="s">
        <v>296</v>
      </c>
      <c r="L265" s="21" t="s">
        <v>346</v>
      </c>
      <c r="N265" s="46" t="s">
        <v>257</v>
      </c>
      <c r="O265" s="46" t="s">
        <v>257</v>
      </c>
      <c r="P265" s="46" t="s">
        <v>257</v>
      </c>
      <c r="Q265" s="46" t="s">
        <v>257</v>
      </c>
      <c r="R265" s="47" t="s">
        <v>53</v>
      </c>
      <c r="U265" s="21" t="s">
        <v>551</v>
      </c>
    </row>
    <row r="266" spans="1:21" x14ac:dyDescent="0.25">
      <c r="A266" s="33">
        <v>2013</v>
      </c>
      <c r="B266" s="44">
        <v>41471</v>
      </c>
      <c r="C266" s="45">
        <v>0.47916666666666669</v>
      </c>
      <c r="D266" s="21" t="s">
        <v>52</v>
      </c>
      <c r="E266" s="21" t="s">
        <v>257</v>
      </c>
      <c r="F266" s="33" t="s">
        <v>257</v>
      </c>
      <c r="G266" s="21" t="s">
        <v>548</v>
      </c>
      <c r="H266" s="33">
        <v>12</v>
      </c>
      <c r="I266" s="33">
        <v>0</v>
      </c>
      <c r="J266" s="33">
        <v>0</v>
      </c>
      <c r="K266" s="21" t="s">
        <v>296</v>
      </c>
      <c r="L266" s="21" t="s">
        <v>346</v>
      </c>
      <c r="N266" s="46" t="s">
        <v>257</v>
      </c>
      <c r="O266" s="46" t="s">
        <v>257</v>
      </c>
      <c r="P266" s="46" t="s">
        <v>257</v>
      </c>
      <c r="Q266" s="46" t="s">
        <v>257</v>
      </c>
      <c r="R266" s="47" t="s">
        <v>55</v>
      </c>
      <c r="U266" s="21" t="s">
        <v>552</v>
      </c>
    </row>
    <row r="267" spans="1:21" x14ac:dyDescent="0.25">
      <c r="A267" s="33">
        <v>2013</v>
      </c>
      <c r="B267" s="44">
        <v>41471</v>
      </c>
      <c r="C267" s="45">
        <v>0.52083333333333337</v>
      </c>
      <c r="D267" s="21" t="s">
        <v>52</v>
      </c>
      <c r="E267" s="21" t="s">
        <v>257</v>
      </c>
      <c r="F267" s="33" t="s">
        <v>257</v>
      </c>
      <c r="G267" s="21" t="s">
        <v>548</v>
      </c>
      <c r="H267" s="33">
        <v>2</v>
      </c>
      <c r="I267" s="33">
        <v>0</v>
      </c>
      <c r="J267" s="33">
        <v>0</v>
      </c>
      <c r="K267" s="21" t="s">
        <v>288</v>
      </c>
      <c r="L267" s="21" t="s">
        <v>564</v>
      </c>
      <c r="N267" s="46">
        <v>18</v>
      </c>
      <c r="O267" s="46">
        <v>33</v>
      </c>
      <c r="P267" s="46">
        <v>0.2</v>
      </c>
      <c r="Q267" s="46">
        <v>51</v>
      </c>
      <c r="R267" s="47" t="s">
        <v>55</v>
      </c>
      <c r="U267" s="21" t="s">
        <v>553</v>
      </c>
    </row>
    <row r="268" spans="1:21" x14ac:dyDescent="0.25">
      <c r="A268" s="33">
        <v>2013</v>
      </c>
      <c r="B268" s="44">
        <v>41472</v>
      </c>
      <c r="C268" s="45">
        <v>0.58333333333333337</v>
      </c>
      <c r="D268" s="21" t="s">
        <v>52</v>
      </c>
      <c r="E268" s="21" t="s">
        <v>257</v>
      </c>
      <c r="F268" s="33" t="s">
        <v>257</v>
      </c>
      <c r="G268" s="21" t="s">
        <v>548</v>
      </c>
      <c r="H268" s="33">
        <v>2</v>
      </c>
      <c r="I268" s="33">
        <v>0</v>
      </c>
      <c r="J268" s="33">
        <v>0</v>
      </c>
      <c r="K268" s="21" t="s">
        <v>288</v>
      </c>
      <c r="L268" s="21" t="s">
        <v>362</v>
      </c>
      <c r="N268" s="46">
        <v>38</v>
      </c>
      <c r="O268" s="46">
        <v>64</v>
      </c>
      <c r="P268" s="46">
        <v>1.4</v>
      </c>
      <c r="Q268" s="46">
        <v>102</v>
      </c>
      <c r="R268" s="47" t="s">
        <v>54</v>
      </c>
      <c r="U268" s="21" t="s">
        <v>554</v>
      </c>
    </row>
    <row r="269" spans="1:21" x14ac:dyDescent="0.25">
      <c r="A269" s="33">
        <v>2013</v>
      </c>
      <c r="B269" s="44">
        <v>41473</v>
      </c>
      <c r="C269" s="45">
        <v>0.52083333333333337</v>
      </c>
      <c r="D269" s="21" t="s">
        <v>52</v>
      </c>
      <c r="E269" s="21" t="s">
        <v>257</v>
      </c>
      <c r="F269" s="33" t="s">
        <v>257</v>
      </c>
      <c r="G269" s="21" t="s">
        <v>548</v>
      </c>
      <c r="H269" s="33">
        <v>9</v>
      </c>
      <c r="I269" s="33">
        <v>0</v>
      </c>
      <c r="J269" s="33">
        <v>0</v>
      </c>
      <c r="K269" s="21" t="s">
        <v>288</v>
      </c>
      <c r="L269" s="21" t="s">
        <v>362</v>
      </c>
      <c r="N269" s="46">
        <v>38</v>
      </c>
      <c r="O269" s="46">
        <v>65</v>
      </c>
      <c r="P269" s="46">
        <v>1.6</v>
      </c>
      <c r="Q269" s="46">
        <v>103</v>
      </c>
      <c r="R269" s="47" t="s">
        <v>54</v>
      </c>
      <c r="U269" s="21" t="s">
        <v>555</v>
      </c>
    </row>
    <row r="270" spans="1:21" x14ac:dyDescent="0.25">
      <c r="A270" s="33">
        <v>2013</v>
      </c>
      <c r="B270" s="44">
        <v>41475</v>
      </c>
      <c r="C270" s="45">
        <v>0.5625</v>
      </c>
      <c r="D270" s="21" t="s">
        <v>52</v>
      </c>
      <c r="E270" s="21" t="s">
        <v>257</v>
      </c>
      <c r="F270" s="33" t="s">
        <v>257</v>
      </c>
      <c r="G270" s="21" t="s">
        <v>548</v>
      </c>
      <c r="H270" s="33">
        <v>1</v>
      </c>
      <c r="I270" s="33">
        <v>0</v>
      </c>
      <c r="J270" s="33">
        <v>0</v>
      </c>
      <c r="K270" s="21" t="s">
        <v>288</v>
      </c>
      <c r="L270" s="21" t="s">
        <v>362</v>
      </c>
      <c r="N270" s="46">
        <v>40</v>
      </c>
      <c r="O270" s="46">
        <v>60</v>
      </c>
      <c r="P270" s="46">
        <v>1.2</v>
      </c>
      <c r="Q270" s="46">
        <v>100</v>
      </c>
      <c r="R270" s="47" t="s">
        <v>54</v>
      </c>
      <c r="U270" s="21" t="s">
        <v>556</v>
      </c>
    </row>
    <row r="271" spans="1:21" x14ac:dyDescent="0.25">
      <c r="A271" s="33">
        <v>2013</v>
      </c>
      <c r="B271" s="44">
        <v>41476</v>
      </c>
      <c r="C271" s="45">
        <v>0.44097222222222227</v>
      </c>
      <c r="D271" s="21" t="s">
        <v>52</v>
      </c>
      <c r="E271" s="21" t="s">
        <v>257</v>
      </c>
      <c r="F271" s="33" t="s">
        <v>257</v>
      </c>
      <c r="G271" s="21" t="s">
        <v>548</v>
      </c>
      <c r="H271" s="33">
        <v>11</v>
      </c>
      <c r="I271" s="33">
        <v>0</v>
      </c>
      <c r="J271" s="33">
        <v>0</v>
      </c>
      <c r="K271" s="21" t="s">
        <v>347</v>
      </c>
      <c r="L271" s="21" t="s">
        <v>348</v>
      </c>
      <c r="N271" s="46">
        <v>975</v>
      </c>
      <c r="O271" s="46">
        <v>470</v>
      </c>
      <c r="P271" s="46">
        <v>309</v>
      </c>
      <c r="Q271" s="46">
        <v>1445</v>
      </c>
      <c r="R271" s="47" t="s">
        <v>53</v>
      </c>
      <c r="S271" s="33">
        <v>1714251.3457592996</v>
      </c>
      <c r="T271" s="33">
        <v>368097.56181476708</v>
      </c>
      <c r="U271" s="21" t="s">
        <v>557</v>
      </c>
    </row>
    <row r="272" spans="1:21" x14ac:dyDescent="0.25">
      <c r="A272" s="33">
        <v>2013</v>
      </c>
      <c r="B272" s="44">
        <v>41478</v>
      </c>
      <c r="C272" s="45">
        <v>0.44791666666666669</v>
      </c>
      <c r="D272" s="21" t="s">
        <v>51</v>
      </c>
      <c r="E272" s="21" t="s">
        <v>257</v>
      </c>
      <c r="F272" s="33" t="s">
        <v>257</v>
      </c>
      <c r="G272" s="21" t="s">
        <v>548</v>
      </c>
      <c r="H272" s="33">
        <v>5</v>
      </c>
      <c r="I272" s="33">
        <v>1</v>
      </c>
      <c r="J272" s="33">
        <v>0</v>
      </c>
      <c r="K272" s="21" t="s">
        <v>296</v>
      </c>
      <c r="L272" s="21" t="s">
        <v>346</v>
      </c>
      <c r="N272" s="46">
        <v>45</v>
      </c>
      <c r="O272" s="46">
        <v>49</v>
      </c>
      <c r="P272" s="46">
        <v>3.6</v>
      </c>
      <c r="Q272" s="46">
        <v>94</v>
      </c>
      <c r="R272" s="47" t="s">
        <v>53</v>
      </c>
      <c r="S272" s="33">
        <v>1714536.3000553502</v>
      </c>
      <c r="T272" s="33">
        <v>367604.65418075409</v>
      </c>
      <c r="U272" s="21" t="s">
        <v>558</v>
      </c>
    </row>
    <row r="273" spans="1:21" x14ac:dyDescent="0.25">
      <c r="A273" s="33">
        <v>2013</v>
      </c>
      <c r="B273" s="44">
        <v>41478</v>
      </c>
      <c r="C273" s="45">
        <v>0.54305555555555551</v>
      </c>
      <c r="D273" s="21" t="s">
        <v>51</v>
      </c>
      <c r="E273" s="21" t="s">
        <v>223</v>
      </c>
      <c r="F273" s="33">
        <v>910</v>
      </c>
      <c r="G273" s="21" t="s">
        <v>548</v>
      </c>
      <c r="H273" s="33">
        <v>5</v>
      </c>
      <c r="I273" s="33">
        <v>1</v>
      </c>
      <c r="J273" s="33">
        <v>0</v>
      </c>
      <c r="K273" s="21" t="s">
        <v>335</v>
      </c>
      <c r="L273" s="21" t="s">
        <v>517</v>
      </c>
      <c r="N273" s="46">
        <v>402</v>
      </c>
      <c r="O273" s="46">
        <v>50</v>
      </c>
      <c r="P273" s="46">
        <v>65</v>
      </c>
      <c r="Q273" s="46">
        <v>452</v>
      </c>
      <c r="R273" s="47" t="s">
        <v>257</v>
      </c>
      <c r="U273" s="21" t="s">
        <v>559</v>
      </c>
    </row>
    <row r="274" spans="1:21" x14ac:dyDescent="0.25">
      <c r="A274" s="33">
        <v>2013</v>
      </c>
      <c r="B274" s="44">
        <v>41478</v>
      </c>
      <c r="C274" s="45">
        <v>0.61111111111111105</v>
      </c>
      <c r="D274" s="21" t="s">
        <v>51</v>
      </c>
      <c r="E274" s="21" t="s">
        <v>257</v>
      </c>
      <c r="F274" s="33" t="s">
        <v>257</v>
      </c>
      <c r="G274" s="21" t="s">
        <v>548</v>
      </c>
      <c r="H274" s="33">
        <v>5</v>
      </c>
      <c r="I274" s="33">
        <v>1</v>
      </c>
      <c r="J274" s="33">
        <v>0</v>
      </c>
      <c r="K274" s="21" t="s">
        <v>514</v>
      </c>
      <c r="L274" s="21" t="s">
        <v>515</v>
      </c>
      <c r="N274" s="46">
        <v>67</v>
      </c>
      <c r="O274" s="46">
        <v>72</v>
      </c>
      <c r="P274" s="46">
        <v>8.1999999999999993</v>
      </c>
      <c r="Q274" s="46">
        <v>139</v>
      </c>
      <c r="R274" s="47" t="s">
        <v>54</v>
      </c>
      <c r="U274" s="21" t="s">
        <v>560</v>
      </c>
    </row>
    <row r="275" spans="1:21" x14ac:dyDescent="0.25">
      <c r="A275" s="33">
        <v>2013</v>
      </c>
      <c r="B275" s="44">
        <v>41481</v>
      </c>
      <c r="C275" s="45">
        <v>0.91319444444444453</v>
      </c>
      <c r="D275" s="21" t="s">
        <v>52</v>
      </c>
      <c r="E275" s="21" t="s">
        <v>257</v>
      </c>
      <c r="F275" s="33" t="s">
        <v>257</v>
      </c>
      <c r="G275" s="21" t="s">
        <v>548</v>
      </c>
      <c r="H275" s="33">
        <v>7</v>
      </c>
      <c r="I275" s="33">
        <v>0</v>
      </c>
      <c r="J275" s="33">
        <v>0</v>
      </c>
      <c r="K275" s="21" t="s">
        <v>282</v>
      </c>
      <c r="L275" s="21" t="s">
        <v>283</v>
      </c>
      <c r="N275" s="46">
        <v>41</v>
      </c>
      <c r="O275" s="46">
        <v>29</v>
      </c>
      <c r="P275" s="46">
        <v>3.1</v>
      </c>
      <c r="Q275" s="46">
        <v>70</v>
      </c>
      <c r="R275" s="47" t="s">
        <v>53</v>
      </c>
      <c r="S275" s="33">
        <v>1713653.8797583072</v>
      </c>
      <c r="T275" s="33">
        <v>370046.62489443732</v>
      </c>
      <c r="U275" s="21" t="s">
        <v>561</v>
      </c>
    </row>
    <row r="276" spans="1:21" x14ac:dyDescent="0.25">
      <c r="A276" s="33">
        <v>2013</v>
      </c>
      <c r="B276" s="44">
        <v>41487</v>
      </c>
      <c r="C276" s="45">
        <v>0.48958333333333331</v>
      </c>
      <c r="D276" s="21" t="s">
        <v>47</v>
      </c>
      <c r="E276" s="21" t="s">
        <v>257</v>
      </c>
      <c r="F276" s="33" t="s">
        <v>257</v>
      </c>
      <c r="G276" s="21" t="s">
        <v>548</v>
      </c>
      <c r="H276" s="33">
        <v>6</v>
      </c>
      <c r="I276" s="33">
        <v>0</v>
      </c>
      <c r="J276" s="33">
        <v>0</v>
      </c>
      <c r="K276" s="21" t="s">
        <v>347</v>
      </c>
      <c r="L276" s="21" t="s">
        <v>348</v>
      </c>
      <c r="N276" s="46">
        <v>651</v>
      </c>
      <c r="O276" s="46">
        <v>303</v>
      </c>
      <c r="P276" s="46">
        <v>68</v>
      </c>
      <c r="Q276" s="46">
        <v>954</v>
      </c>
      <c r="R276" s="47" t="s">
        <v>54</v>
      </c>
      <c r="S276" s="33" t="s">
        <v>257</v>
      </c>
      <c r="T276" s="33" t="s">
        <v>257</v>
      </c>
      <c r="U276" s="21" t="s">
        <v>562</v>
      </c>
    </row>
    <row r="277" spans="1:21" x14ac:dyDescent="0.25">
      <c r="A277" s="33">
        <v>2013</v>
      </c>
      <c r="B277" s="44">
        <v>41488</v>
      </c>
      <c r="C277" s="45">
        <v>0.53472222222222221</v>
      </c>
      <c r="D277" s="21" t="s">
        <v>47</v>
      </c>
      <c r="E277" s="21" t="s">
        <v>257</v>
      </c>
      <c r="F277" s="33" t="s">
        <v>257</v>
      </c>
      <c r="G277" s="21" t="s">
        <v>548</v>
      </c>
      <c r="H277" s="33">
        <v>2</v>
      </c>
      <c r="I277" s="33">
        <v>0</v>
      </c>
      <c r="J277" s="33">
        <v>0</v>
      </c>
      <c r="K277" s="21" t="s">
        <v>288</v>
      </c>
      <c r="L277" s="21" t="s">
        <v>506</v>
      </c>
      <c r="N277" s="46">
        <v>40</v>
      </c>
      <c r="O277" s="46">
        <v>83</v>
      </c>
      <c r="P277" s="46">
        <v>1.3</v>
      </c>
      <c r="Q277" s="46">
        <v>123</v>
      </c>
      <c r="R277" s="47" t="s">
        <v>53</v>
      </c>
      <c r="S277" s="33" t="s">
        <v>257</v>
      </c>
      <c r="T277" s="33" t="s">
        <v>257</v>
      </c>
      <c r="U277" s="21" t="s">
        <v>563</v>
      </c>
    </row>
  </sheetData>
  <phoneticPr fontId="5" type="noConversion"/>
  <pageMargins left="0.7" right="0.7" top="0.75" bottom="0.75" header="0.3" footer="0.3"/>
  <pageSetup orientation="portrait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Y367"/>
  <sheetViews>
    <sheetView workbookViewId="0">
      <selection activeCell="B2" sqref="B2"/>
    </sheetView>
  </sheetViews>
  <sheetFormatPr defaultColWidth="9.140625" defaultRowHeight="15" x14ac:dyDescent="0.25"/>
  <cols>
    <col min="2" max="2" width="9.85546875" bestFit="1" customWidth="1"/>
    <col min="6" max="6" width="22.140625" customWidth="1"/>
    <col min="8" max="8" width="30.7109375" style="18" bestFit="1" customWidth="1"/>
    <col min="13" max="13" width="10.140625" style="5" bestFit="1" customWidth="1"/>
    <col min="15" max="15" width="10.140625" style="5" bestFit="1" customWidth="1"/>
    <col min="17" max="17" width="10.140625" style="5" bestFit="1" customWidth="1"/>
    <col min="19" max="19" width="10.140625" style="5" bestFit="1" customWidth="1"/>
    <col min="21" max="21" width="10.140625" style="5" bestFit="1" customWidth="1"/>
    <col min="23" max="23" width="10.140625" style="5" bestFit="1" customWidth="1"/>
    <col min="25" max="25" width="10.140625" style="5" bestFit="1" customWidth="1"/>
  </cols>
  <sheetData>
    <row r="1" spans="1:25" s="1" customFormat="1" ht="30" x14ac:dyDescent="0.25">
      <c r="A1" s="1" t="s">
        <v>45</v>
      </c>
      <c r="B1" s="1" t="s">
        <v>670</v>
      </c>
      <c r="C1" s="1" t="s">
        <v>20</v>
      </c>
      <c r="D1" s="1" t="s">
        <v>1</v>
      </c>
      <c r="E1" s="1" t="s">
        <v>212</v>
      </c>
      <c r="F1" s="1" t="s">
        <v>2</v>
      </c>
      <c r="G1" s="1" t="s">
        <v>44</v>
      </c>
      <c r="H1" s="20" t="s">
        <v>4</v>
      </c>
      <c r="I1" s="1" t="s">
        <v>5</v>
      </c>
      <c r="L1" s="6" t="s">
        <v>56</v>
      </c>
      <c r="M1" s="7" t="s">
        <v>63</v>
      </c>
      <c r="N1" s="8" t="s">
        <v>57</v>
      </c>
      <c r="O1" s="7" t="s">
        <v>64</v>
      </c>
      <c r="P1" s="8" t="s">
        <v>58</v>
      </c>
      <c r="Q1" s="7" t="s">
        <v>65</v>
      </c>
      <c r="R1" s="8" t="s">
        <v>59</v>
      </c>
      <c r="S1" s="7" t="s">
        <v>66</v>
      </c>
      <c r="T1" s="8" t="s">
        <v>60</v>
      </c>
      <c r="U1" s="7" t="s">
        <v>67</v>
      </c>
      <c r="V1" s="8" t="s">
        <v>61</v>
      </c>
      <c r="W1" s="7" t="s">
        <v>68</v>
      </c>
      <c r="X1" s="9" t="s">
        <v>62</v>
      </c>
      <c r="Y1" s="3" t="s">
        <v>69</v>
      </c>
    </row>
    <row r="2" spans="1:25" x14ac:dyDescent="0.25">
      <c r="A2">
        <v>159</v>
      </c>
      <c r="B2" s="2">
        <v>41798</v>
      </c>
      <c r="C2" t="s">
        <v>52</v>
      </c>
      <c r="D2" t="s">
        <v>213</v>
      </c>
      <c r="E2" t="s">
        <v>70</v>
      </c>
      <c r="F2" s="19" t="s">
        <v>243</v>
      </c>
      <c r="G2">
        <v>0</v>
      </c>
      <c r="H2" s="63" t="s">
        <v>265</v>
      </c>
      <c r="I2" t="s">
        <v>54</v>
      </c>
      <c r="L2" s="10">
        <v>1</v>
      </c>
      <c r="M2" s="4">
        <v>38718</v>
      </c>
      <c r="N2" s="11">
        <v>1</v>
      </c>
      <c r="O2" s="4">
        <v>39083</v>
      </c>
      <c r="P2" s="11">
        <v>1</v>
      </c>
      <c r="Q2" s="4">
        <v>39448</v>
      </c>
      <c r="R2" s="11">
        <v>1</v>
      </c>
      <c r="S2" s="4">
        <v>39814</v>
      </c>
      <c r="T2" s="11">
        <v>1</v>
      </c>
      <c r="U2" s="4">
        <v>40179</v>
      </c>
      <c r="V2" s="11">
        <v>1</v>
      </c>
      <c r="W2" s="4">
        <v>40544</v>
      </c>
      <c r="X2" s="12">
        <v>1</v>
      </c>
      <c r="Y2" s="4">
        <v>40909</v>
      </c>
    </row>
    <row r="3" spans="1:25" x14ac:dyDescent="0.25">
      <c r="A3">
        <v>160</v>
      </c>
      <c r="B3" s="2">
        <v>41799</v>
      </c>
      <c r="C3" t="s">
        <v>46</v>
      </c>
      <c r="D3" t="s">
        <v>214</v>
      </c>
      <c r="E3" t="s">
        <v>71</v>
      </c>
      <c r="F3" s="19" t="s">
        <v>244</v>
      </c>
      <c r="G3">
        <v>1</v>
      </c>
      <c r="H3" s="63" t="s">
        <v>566</v>
      </c>
      <c r="I3" t="s">
        <v>53</v>
      </c>
      <c r="L3" s="10">
        <v>2</v>
      </c>
      <c r="M3" s="4">
        <v>38719</v>
      </c>
      <c r="N3" s="11">
        <v>2</v>
      </c>
      <c r="O3" s="4">
        <v>39084</v>
      </c>
      <c r="P3" s="11">
        <v>2</v>
      </c>
      <c r="Q3" s="4">
        <v>39449</v>
      </c>
      <c r="R3" s="11">
        <v>2</v>
      </c>
      <c r="S3" s="4">
        <v>39815</v>
      </c>
      <c r="T3" s="11">
        <v>2</v>
      </c>
      <c r="U3" s="4">
        <v>40180</v>
      </c>
      <c r="V3" s="11">
        <v>2</v>
      </c>
      <c r="W3" s="4">
        <v>40545</v>
      </c>
      <c r="X3" s="12">
        <v>2</v>
      </c>
      <c r="Y3" s="4">
        <v>40910</v>
      </c>
    </row>
    <row r="4" spans="1:25" x14ac:dyDescent="0.25">
      <c r="A4">
        <v>161</v>
      </c>
      <c r="B4" s="2">
        <v>41800</v>
      </c>
      <c r="C4" t="s">
        <v>51</v>
      </c>
      <c r="D4" t="s">
        <v>215</v>
      </c>
      <c r="E4" t="s">
        <v>72</v>
      </c>
      <c r="F4" s="19" t="s">
        <v>245</v>
      </c>
      <c r="H4" s="63" t="s">
        <v>567</v>
      </c>
      <c r="I4" t="s">
        <v>55</v>
      </c>
      <c r="L4" s="10">
        <v>3</v>
      </c>
      <c r="M4" s="4">
        <v>38720</v>
      </c>
      <c r="N4" s="11">
        <v>3</v>
      </c>
      <c r="O4" s="4">
        <v>39085</v>
      </c>
      <c r="P4" s="11">
        <v>3</v>
      </c>
      <c r="Q4" s="4">
        <v>39450</v>
      </c>
      <c r="R4" s="11">
        <v>3</v>
      </c>
      <c r="S4" s="4">
        <v>39816</v>
      </c>
      <c r="T4" s="11">
        <v>3</v>
      </c>
      <c r="U4" s="4">
        <v>40181</v>
      </c>
      <c r="V4" s="11">
        <v>3</v>
      </c>
      <c r="W4" s="4">
        <v>40546</v>
      </c>
      <c r="X4" s="12">
        <v>3</v>
      </c>
      <c r="Y4" s="4">
        <v>40911</v>
      </c>
    </row>
    <row r="5" spans="1:25" x14ac:dyDescent="0.25">
      <c r="A5">
        <v>162</v>
      </c>
      <c r="B5" s="2">
        <v>41801</v>
      </c>
      <c r="C5" t="s">
        <v>50</v>
      </c>
      <c r="D5" t="s">
        <v>216</v>
      </c>
      <c r="E5" t="s">
        <v>73</v>
      </c>
      <c r="F5" s="19" t="s">
        <v>246</v>
      </c>
      <c r="H5" s="63" t="s">
        <v>568</v>
      </c>
      <c r="L5" s="10">
        <v>4</v>
      </c>
      <c r="M5" s="4">
        <v>38721</v>
      </c>
      <c r="N5" s="11">
        <v>4</v>
      </c>
      <c r="O5" s="4">
        <v>39086</v>
      </c>
      <c r="P5" s="11">
        <v>4</v>
      </c>
      <c r="Q5" s="4">
        <v>39451</v>
      </c>
      <c r="R5" s="11">
        <v>4</v>
      </c>
      <c r="S5" s="4">
        <v>39817</v>
      </c>
      <c r="T5" s="11">
        <v>4</v>
      </c>
      <c r="U5" s="4">
        <v>40182</v>
      </c>
      <c r="V5" s="11">
        <v>4</v>
      </c>
      <c r="W5" s="4">
        <v>40547</v>
      </c>
      <c r="X5" s="12">
        <v>4</v>
      </c>
      <c r="Y5" s="4">
        <v>40912</v>
      </c>
    </row>
    <row r="6" spans="1:25" x14ac:dyDescent="0.25">
      <c r="A6">
        <v>163</v>
      </c>
      <c r="B6" s="2">
        <v>41802</v>
      </c>
      <c r="C6" t="s">
        <v>49</v>
      </c>
      <c r="D6" t="s">
        <v>217</v>
      </c>
      <c r="E6" t="s">
        <v>74</v>
      </c>
      <c r="F6" s="19" t="s">
        <v>247</v>
      </c>
      <c r="H6" s="63" t="s">
        <v>569</v>
      </c>
      <c r="L6" s="10">
        <v>5</v>
      </c>
      <c r="M6" s="4">
        <v>38722</v>
      </c>
      <c r="N6" s="11">
        <v>5</v>
      </c>
      <c r="O6" s="4">
        <v>39087</v>
      </c>
      <c r="P6" s="11">
        <v>5</v>
      </c>
      <c r="Q6" s="4">
        <v>39452</v>
      </c>
      <c r="R6" s="11">
        <v>5</v>
      </c>
      <c r="S6" s="4">
        <v>39818</v>
      </c>
      <c r="T6" s="11">
        <v>5</v>
      </c>
      <c r="U6" s="4">
        <v>40183</v>
      </c>
      <c r="V6" s="11">
        <v>5</v>
      </c>
      <c r="W6" s="4">
        <v>40548</v>
      </c>
      <c r="X6" s="12">
        <v>5</v>
      </c>
      <c r="Y6" s="4">
        <v>40913</v>
      </c>
    </row>
    <row r="7" spans="1:25" x14ac:dyDescent="0.25">
      <c r="A7">
        <v>164</v>
      </c>
      <c r="B7" s="2">
        <v>41803</v>
      </c>
      <c r="C7" t="s">
        <v>47</v>
      </c>
      <c r="D7" t="s">
        <v>218</v>
      </c>
      <c r="E7" t="s">
        <v>75</v>
      </c>
      <c r="F7" s="19" t="s">
        <v>248</v>
      </c>
      <c r="H7" s="63" t="s">
        <v>570</v>
      </c>
      <c r="L7" s="10">
        <v>6</v>
      </c>
      <c r="M7" s="4">
        <v>38723</v>
      </c>
      <c r="N7" s="11">
        <v>6</v>
      </c>
      <c r="O7" s="4">
        <v>39088</v>
      </c>
      <c r="P7" s="11">
        <v>6</v>
      </c>
      <c r="Q7" s="4">
        <v>39453</v>
      </c>
      <c r="R7" s="11">
        <v>6</v>
      </c>
      <c r="S7" s="4">
        <v>39819</v>
      </c>
      <c r="T7" s="11">
        <v>6</v>
      </c>
      <c r="U7" s="4">
        <v>40184</v>
      </c>
      <c r="V7" s="11">
        <v>6</v>
      </c>
      <c r="W7" s="4">
        <v>40549</v>
      </c>
      <c r="X7" s="12">
        <v>6</v>
      </c>
      <c r="Y7" s="4">
        <v>40914</v>
      </c>
    </row>
    <row r="8" spans="1:25" x14ac:dyDescent="0.25">
      <c r="A8">
        <v>165</v>
      </c>
      <c r="B8" s="2">
        <v>41804</v>
      </c>
      <c r="C8" t="s">
        <v>48</v>
      </c>
      <c r="D8" t="s">
        <v>219</v>
      </c>
      <c r="E8" t="s">
        <v>76</v>
      </c>
      <c r="F8" s="19" t="s">
        <v>249</v>
      </c>
      <c r="H8" s="63" t="s">
        <v>571</v>
      </c>
      <c r="L8" s="10">
        <v>7</v>
      </c>
      <c r="M8" s="4">
        <v>38724</v>
      </c>
      <c r="N8" s="11">
        <v>7</v>
      </c>
      <c r="O8" s="4">
        <v>39089</v>
      </c>
      <c r="P8" s="11">
        <v>7</v>
      </c>
      <c r="Q8" s="4">
        <v>39454</v>
      </c>
      <c r="R8" s="11">
        <v>7</v>
      </c>
      <c r="S8" s="4">
        <v>39820</v>
      </c>
      <c r="T8" s="11">
        <v>7</v>
      </c>
      <c r="U8" s="4">
        <v>40185</v>
      </c>
      <c r="V8" s="11">
        <v>7</v>
      </c>
      <c r="W8" s="4">
        <v>40550</v>
      </c>
      <c r="X8" s="12">
        <v>7</v>
      </c>
      <c r="Y8" s="4">
        <v>40915</v>
      </c>
    </row>
    <row r="9" spans="1:25" x14ac:dyDescent="0.25">
      <c r="A9">
        <v>166</v>
      </c>
      <c r="B9" s="2">
        <v>41805</v>
      </c>
      <c r="D9" t="s">
        <v>220</v>
      </c>
      <c r="E9" t="s">
        <v>77</v>
      </c>
      <c r="F9" s="19"/>
      <c r="H9" s="63" t="s">
        <v>572</v>
      </c>
      <c r="L9" s="10">
        <v>8</v>
      </c>
      <c r="M9" s="4">
        <v>38725</v>
      </c>
      <c r="N9" s="11">
        <v>8</v>
      </c>
      <c r="O9" s="4">
        <v>39090</v>
      </c>
      <c r="P9" s="11">
        <v>8</v>
      </c>
      <c r="Q9" s="4">
        <v>39455</v>
      </c>
      <c r="R9" s="11">
        <v>8</v>
      </c>
      <c r="S9" s="4">
        <v>39821</v>
      </c>
      <c r="T9" s="11">
        <v>8</v>
      </c>
      <c r="U9" s="4">
        <v>40186</v>
      </c>
      <c r="V9" s="11">
        <v>8</v>
      </c>
      <c r="W9" s="4">
        <v>40551</v>
      </c>
      <c r="X9" s="12">
        <v>8</v>
      </c>
      <c r="Y9" s="4">
        <v>40916</v>
      </c>
    </row>
    <row r="10" spans="1:25" x14ac:dyDescent="0.25">
      <c r="A10">
        <v>167</v>
      </c>
      <c r="B10" s="2">
        <v>41806</v>
      </c>
      <c r="D10" t="s">
        <v>221</v>
      </c>
      <c r="E10" t="s">
        <v>78</v>
      </c>
      <c r="H10" s="63" t="s">
        <v>573</v>
      </c>
      <c r="L10" s="10">
        <v>9</v>
      </c>
      <c r="M10" s="4">
        <v>38726</v>
      </c>
      <c r="N10" s="11">
        <v>9</v>
      </c>
      <c r="O10" s="4">
        <v>39091</v>
      </c>
      <c r="P10" s="11">
        <v>9</v>
      </c>
      <c r="Q10" s="4">
        <v>39456</v>
      </c>
      <c r="R10" s="11">
        <v>9</v>
      </c>
      <c r="S10" s="4">
        <v>39822</v>
      </c>
      <c r="T10" s="11">
        <v>9</v>
      </c>
      <c r="U10" s="4">
        <v>40187</v>
      </c>
      <c r="V10" s="11">
        <v>9</v>
      </c>
      <c r="W10" s="4">
        <v>40552</v>
      </c>
      <c r="X10" s="12">
        <v>9</v>
      </c>
      <c r="Y10" s="4">
        <v>40917</v>
      </c>
    </row>
    <row r="11" spans="1:25" x14ac:dyDescent="0.25">
      <c r="A11">
        <v>168</v>
      </c>
      <c r="B11" s="2">
        <v>41807</v>
      </c>
      <c r="D11" t="s">
        <v>222</v>
      </c>
      <c r="E11" t="s">
        <v>79</v>
      </c>
      <c r="H11" s="63" t="s">
        <v>574</v>
      </c>
      <c r="L11" s="10">
        <v>10</v>
      </c>
      <c r="M11" s="4">
        <v>38727</v>
      </c>
      <c r="N11" s="11">
        <v>10</v>
      </c>
      <c r="O11" s="4">
        <v>39092</v>
      </c>
      <c r="P11" s="11">
        <v>10</v>
      </c>
      <c r="Q11" s="4">
        <v>39457</v>
      </c>
      <c r="R11" s="11">
        <v>10</v>
      </c>
      <c r="S11" s="4">
        <v>39823</v>
      </c>
      <c r="T11" s="11">
        <v>10</v>
      </c>
      <c r="U11" s="4">
        <v>40188</v>
      </c>
      <c r="V11" s="11">
        <v>10</v>
      </c>
      <c r="W11" s="4">
        <v>40553</v>
      </c>
      <c r="X11" s="12">
        <v>10</v>
      </c>
      <c r="Y11" s="4">
        <v>40918</v>
      </c>
    </row>
    <row r="12" spans="1:25" x14ac:dyDescent="0.25">
      <c r="A12">
        <v>169</v>
      </c>
      <c r="B12" s="2">
        <v>41808</v>
      </c>
      <c r="D12" t="s">
        <v>223</v>
      </c>
      <c r="E12" t="s">
        <v>80</v>
      </c>
      <c r="H12" s="63" t="s">
        <v>575</v>
      </c>
      <c r="L12" s="10">
        <v>11</v>
      </c>
      <c r="M12" s="4">
        <v>38728</v>
      </c>
      <c r="N12" s="11">
        <v>11</v>
      </c>
      <c r="O12" s="4">
        <v>39093</v>
      </c>
      <c r="P12" s="11">
        <v>11</v>
      </c>
      <c r="Q12" s="4">
        <v>39458</v>
      </c>
      <c r="R12" s="11">
        <v>11</v>
      </c>
      <c r="S12" s="4">
        <v>39824</v>
      </c>
      <c r="T12" s="11">
        <v>11</v>
      </c>
      <c r="U12" s="4">
        <v>40189</v>
      </c>
      <c r="V12" s="11">
        <v>11</v>
      </c>
      <c r="W12" s="4">
        <v>40554</v>
      </c>
      <c r="X12" s="12">
        <v>11</v>
      </c>
      <c r="Y12" s="4">
        <v>40919</v>
      </c>
    </row>
    <row r="13" spans="1:25" x14ac:dyDescent="0.25">
      <c r="A13">
        <v>170</v>
      </c>
      <c r="B13" s="2">
        <v>41809</v>
      </c>
      <c r="D13" t="s">
        <v>224</v>
      </c>
      <c r="E13" t="s">
        <v>81</v>
      </c>
      <c r="H13" s="63" t="s">
        <v>576</v>
      </c>
      <c r="L13" s="10">
        <v>12</v>
      </c>
      <c r="M13" s="4">
        <v>38729</v>
      </c>
      <c r="N13" s="11">
        <v>12</v>
      </c>
      <c r="O13" s="4">
        <v>39094</v>
      </c>
      <c r="P13" s="11">
        <v>12</v>
      </c>
      <c r="Q13" s="4">
        <v>39459</v>
      </c>
      <c r="R13" s="11">
        <v>12</v>
      </c>
      <c r="S13" s="4">
        <v>39825</v>
      </c>
      <c r="T13" s="11">
        <v>12</v>
      </c>
      <c r="U13" s="4">
        <v>40190</v>
      </c>
      <c r="V13" s="11">
        <v>12</v>
      </c>
      <c r="W13" s="4">
        <v>40555</v>
      </c>
      <c r="X13" s="12">
        <v>12</v>
      </c>
      <c r="Y13" s="4">
        <v>40920</v>
      </c>
    </row>
    <row r="14" spans="1:25" x14ac:dyDescent="0.25">
      <c r="A14">
        <v>171</v>
      </c>
      <c r="B14" s="2">
        <v>41810</v>
      </c>
      <c r="D14" t="s">
        <v>225</v>
      </c>
      <c r="E14" t="s">
        <v>82</v>
      </c>
      <c r="H14" s="63" t="s">
        <v>577</v>
      </c>
      <c r="L14" s="10">
        <v>13</v>
      </c>
      <c r="M14" s="4">
        <v>38730</v>
      </c>
      <c r="N14" s="11">
        <v>13</v>
      </c>
      <c r="O14" s="4">
        <v>39095</v>
      </c>
      <c r="P14" s="11">
        <v>13</v>
      </c>
      <c r="Q14" s="4">
        <v>39460</v>
      </c>
      <c r="R14" s="11">
        <v>13</v>
      </c>
      <c r="S14" s="4">
        <v>39826</v>
      </c>
      <c r="T14" s="11">
        <v>13</v>
      </c>
      <c r="U14" s="4">
        <v>40191</v>
      </c>
      <c r="V14" s="11">
        <v>13</v>
      </c>
      <c r="W14" s="4">
        <v>40556</v>
      </c>
      <c r="X14" s="12">
        <v>13</v>
      </c>
      <c r="Y14" s="4">
        <v>40921</v>
      </c>
    </row>
    <row r="15" spans="1:25" x14ac:dyDescent="0.25">
      <c r="A15">
        <v>172</v>
      </c>
      <c r="B15" s="2">
        <v>41811</v>
      </c>
      <c r="D15" t="s">
        <v>226</v>
      </c>
      <c r="E15" t="s">
        <v>83</v>
      </c>
      <c r="H15" s="63" t="s">
        <v>578</v>
      </c>
      <c r="L15" s="10">
        <v>14</v>
      </c>
      <c r="M15" s="4">
        <v>38731</v>
      </c>
      <c r="N15" s="11">
        <v>14</v>
      </c>
      <c r="O15" s="4">
        <v>39096</v>
      </c>
      <c r="P15" s="11">
        <v>14</v>
      </c>
      <c r="Q15" s="4">
        <v>39461</v>
      </c>
      <c r="R15" s="11">
        <v>14</v>
      </c>
      <c r="S15" s="4">
        <v>39827</v>
      </c>
      <c r="T15" s="11">
        <v>14</v>
      </c>
      <c r="U15" s="4">
        <v>40192</v>
      </c>
      <c r="V15" s="11">
        <v>14</v>
      </c>
      <c r="W15" s="4">
        <v>40557</v>
      </c>
      <c r="X15" s="12">
        <v>14</v>
      </c>
      <c r="Y15" s="4">
        <v>40922</v>
      </c>
    </row>
    <row r="16" spans="1:25" x14ac:dyDescent="0.25">
      <c r="A16">
        <v>173</v>
      </c>
      <c r="B16" s="2">
        <v>41812</v>
      </c>
      <c r="D16" t="s">
        <v>227</v>
      </c>
      <c r="E16" t="s">
        <v>84</v>
      </c>
      <c r="H16" s="63" t="s">
        <v>579</v>
      </c>
      <c r="L16" s="10">
        <v>15</v>
      </c>
      <c r="M16" s="4">
        <v>38732</v>
      </c>
      <c r="N16" s="11">
        <v>15</v>
      </c>
      <c r="O16" s="4">
        <v>39097</v>
      </c>
      <c r="P16" s="11">
        <v>15</v>
      </c>
      <c r="Q16" s="4">
        <v>39462</v>
      </c>
      <c r="R16" s="11">
        <v>15</v>
      </c>
      <c r="S16" s="4">
        <v>39828</v>
      </c>
      <c r="T16" s="11">
        <v>15</v>
      </c>
      <c r="U16" s="4">
        <v>40193</v>
      </c>
      <c r="V16" s="11">
        <v>15</v>
      </c>
      <c r="W16" s="4">
        <v>40558</v>
      </c>
      <c r="X16" s="12">
        <v>15</v>
      </c>
      <c r="Y16" s="4">
        <v>40923</v>
      </c>
    </row>
    <row r="17" spans="1:25" x14ac:dyDescent="0.25">
      <c r="A17">
        <v>174</v>
      </c>
      <c r="B17" s="2">
        <v>41813</v>
      </c>
      <c r="D17" t="s">
        <v>228</v>
      </c>
      <c r="E17" t="s">
        <v>85</v>
      </c>
      <c r="H17" s="63" t="s">
        <v>580</v>
      </c>
      <c r="L17" s="10">
        <v>16</v>
      </c>
      <c r="M17" s="4">
        <v>38733</v>
      </c>
      <c r="N17" s="11">
        <v>16</v>
      </c>
      <c r="O17" s="4">
        <v>39098</v>
      </c>
      <c r="P17" s="11">
        <v>16</v>
      </c>
      <c r="Q17" s="4">
        <v>39463</v>
      </c>
      <c r="R17" s="11">
        <v>16</v>
      </c>
      <c r="S17" s="4">
        <v>39829</v>
      </c>
      <c r="T17" s="11">
        <v>16</v>
      </c>
      <c r="U17" s="4">
        <v>40194</v>
      </c>
      <c r="V17" s="11">
        <v>16</v>
      </c>
      <c r="W17" s="4">
        <v>40559</v>
      </c>
      <c r="X17" s="12">
        <v>16</v>
      </c>
      <c r="Y17" s="4">
        <v>40924</v>
      </c>
    </row>
    <row r="18" spans="1:25" x14ac:dyDescent="0.25">
      <c r="A18">
        <v>175</v>
      </c>
      <c r="B18" s="2">
        <v>41814</v>
      </c>
      <c r="D18" t="s">
        <v>229</v>
      </c>
      <c r="E18" t="s">
        <v>86</v>
      </c>
      <c r="H18" s="63" t="s">
        <v>581</v>
      </c>
      <c r="L18" s="10">
        <v>17</v>
      </c>
      <c r="M18" s="4">
        <v>38734</v>
      </c>
      <c r="N18" s="11">
        <v>17</v>
      </c>
      <c r="O18" s="4">
        <v>39099</v>
      </c>
      <c r="P18" s="11">
        <v>17</v>
      </c>
      <c r="Q18" s="4">
        <v>39464</v>
      </c>
      <c r="R18" s="11">
        <v>17</v>
      </c>
      <c r="S18" s="4">
        <v>39830</v>
      </c>
      <c r="T18" s="11">
        <v>17</v>
      </c>
      <c r="U18" s="4">
        <v>40195</v>
      </c>
      <c r="V18" s="11">
        <v>17</v>
      </c>
      <c r="W18" s="4">
        <v>40560</v>
      </c>
      <c r="X18" s="12">
        <v>17</v>
      </c>
      <c r="Y18" s="4">
        <v>40925</v>
      </c>
    </row>
    <row r="19" spans="1:25" x14ac:dyDescent="0.25">
      <c r="A19">
        <v>176</v>
      </c>
      <c r="B19" s="2">
        <v>41815</v>
      </c>
      <c r="D19" t="s">
        <v>230</v>
      </c>
      <c r="E19" t="s">
        <v>87</v>
      </c>
      <c r="H19" s="63" t="s">
        <v>582</v>
      </c>
      <c r="L19" s="10">
        <v>18</v>
      </c>
      <c r="M19" s="4">
        <v>38735</v>
      </c>
      <c r="N19" s="11">
        <v>18</v>
      </c>
      <c r="O19" s="4">
        <v>39100</v>
      </c>
      <c r="P19" s="11">
        <v>18</v>
      </c>
      <c r="Q19" s="4">
        <v>39465</v>
      </c>
      <c r="R19" s="11">
        <v>18</v>
      </c>
      <c r="S19" s="4">
        <v>39831</v>
      </c>
      <c r="T19" s="11">
        <v>18</v>
      </c>
      <c r="U19" s="4">
        <v>40196</v>
      </c>
      <c r="V19" s="11">
        <v>18</v>
      </c>
      <c r="W19" s="4">
        <v>40561</v>
      </c>
      <c r="X19" s="12">
        <v>18</v>
      </c>
      <c r="Y19" s="4">
        <v>40926</v>
      </c>
    </row>
    <row r="20" spans="1:25" x14ac:dyDescent="0.25">
      <c r="A20">
        <v>177</v>
      </c>
      <c r="B20" s="2">
        <v>41816</v>
      </c>
      <c r="D20" t="s">
        <v>231</v>
      </c>
      <c r="E20" t="s">
        <v>88</v>
      </c>
      <c r="H20" s="63" t="s">
        <v>583</v>
      </c>
      <c r="L20" s="10">
        <v>19</v>
      </c>
      <c r="M20" s="4">
        <v>38736</v>
      </c>
      <c r="N20" s="11">
        <v>19</v>
      </c>
      <c r="O20" s="4">
        <v>39101</v>
      </c>
      <c r="P20" s="11">
        <v>19</v>
      </c>
      <c r="Q20" s="4">
        <v>39466</v>
      </c>
      <c r="R20" s="11">
        <v>19</v>
      </c>
      <c r="S20" s="4">
        <v>39832</v>
      </c>
      <c r="T20" s="11">
        <v>19</v>
      </c>
      <c r="U20" s="4">
        <v>40197</v>
      </c>
      <c r="V20" s="11">
        <v>19</v>
      </c>
      <c r="W20" s="4">
        <v>40562</v>
      </c>
      <c r="X20" s="12">
        <v>19</v>
      </c>
      <c r="Y20" s="4">
        <v>40927</v>
      </c>
    </row>
    <row r="21" spans="1:25" x14ac:dyDescent="0.25">
      <c r="A21">
        <v>178</v>
      </c>
      <c r="B21" s="2">
        <v>41817</v>
      </c>
      <c r="D21" t="s">
        <v>232</v>
      </c>
      <c r="E21" t="s">
        <v>89</v>
      </c>
      <c r="H21" s="63" t="s">
        <v>311</v>
      </c>
      <c r="L21" s="10">
        <v>20</v>
      </c>
      <c r="M21" s="4">
        <v>38737</v>
      </c>
      <c r="N21" s="11">
        <v>20</v>
      </c>
      <c r="O21" s="4">
        <v>39102</v>
      </c>
      <c r="P21" s="11">
        <v>20</v>
      </c>
      <c r="Q21" s="4">
        <v>39467</v>
      </c>
      <c r="R21" s="11">
        <v>20</v>
      </c>
      <c r="S21" s="4">
        <v>39833</v>
      </c>
      <c r="T21" s="11">
        <v>20</v>
      </c>
      <c r="U21" s="4">
        <v>40198</v>
      </c>
      <c r="V21" s="11">
        <v>20</v>
      </c>
      <c r="W21" s="4">
        <v>40563</v>
      </c>
      <c r="X21" s="12">
        <v>20</v>
      </c>
      <c r="Y21" s="4">
        <v>40928</v>
      </c>
    </row>
    <row r="22" spans="1:25" x14ac:dyDescent="0.25">
      <c r="A22">
        <v>179</v>
      </c>
      <c r="B22" s="2">
        <v>41818</v>
      </c>
      <c r="D22" t="s">
        <v>233</v>
      </c>
      <c r="E22" t="s">
        <v>90</v>
      </c>
      <c r="H22" s="63" t="s">
        <v>584</v>
      </c>
      <c r="L22" s="10">
        <v>21</v>
      </c>
      <c r="M22" s="4">
        <v>38738</v>
      </c>
      <c r="N22" s="11">
        <v>21</v>
      </c>
      <c r="O22" s="4">
        <v>39103</v>
      </c>
      <c r="P22" s="11">
        <v>21</v>
      </c>
      <c r="Q22" s="4">
        <v>39468</v>
      </c>
      <c r="R22" s="11">
        <v>21</v>
      </c>
      <c r="S22" s="4">
        <v>39834</v>
      </c>
      <c r="T22" s="11">
        <v>21</v>
      </c>
      <c r="U22" s="4">
        <v>40199</v>
      </c>
      <c r="V22" s="11">
        <v>21</v>
      </c>
      <c r="W22" s="4">
        <v>40564</v>
      </c>
      <c r="X22" s="12">
        <v>21</v>
      </c>
      <c r="Y22" s="4">
        <v>40929</v>
      </c>
    </row>
    <row r="23" spans="1:25" x14ac:dyDescent="0.25">
      <c r="A23">
        <v>180</v>
      </c>
      <c r="B23" s="2">
        <v>41819</v>
      </c>
      <c r="D23" t="s">
        <v>234</v>
      </c>
      <c r="E23" t="s">
        <v>91</v>
      </c>
      <c r="H23" s="63" t="s">
        <v>585</v>
      </c>
      <c r="L23" s="10">
        <v>22</v>
      </c>
      <c r="M23" s="4">
        <v>38739</v>
      </c>
      <c r="N23" s="11">
        <v>22</v>
      </c>
      <c r="O23" s="4">
        <v>39104</v>
      </c>
      <c r="P23" s="11">
        <v>22</v>
      </c>
      <c r="Q23" s="4">
        <v>39469</v>
      </c>
      <c r="R23" s="11">
        <v>22</v>
      </c>
      <c r="S23" s="4">
        <v>39835</v>
      </c>
      <c r="T23" s="11">
        <v>22</v>
      </c>
      <c r="U23" s="4">
        <v>40200</v>
      </c>
      <c r="V23" s="11">
        <v>22</v>
      </c>
      <c r="W23" s="4">
        <v>40565</v>
      </c>
      <c r="X23" s="12">
        <v>22</v>
      </c>
      <c r="Y23" s="4">
        <v>40930</v>
      </c>
    </row>
    <row r="24" spans="1:25" x14ac:dyDescent="0.25">
      <c r="A24">
        <v>181</v>
      </c>
      <c r="B24" s="2">
        <v>41820</v>
      </c>
      <c r="D24" t="s">
        <v>235</v>
      </c>
      <c r="E24" t="s">
        <v>92</v>
      </c>
      <c r="H24" s="63" t="s">
        <v>586</v>
      </c>
      <c r="L24" s="10">
        <v>23</v>
      </c>
      <c r="M24" s="4">
        <v>38740</v>
      </c>
      <c r="N24" s="11">
        <v>23</v>
      </c>
      <c r="O24" s="4">
        <v>39105</v>
      </c>
      <c r="P24" s="11">
        <v>23</v>
      </c>
      <c r="Q24" s="4">
        <v>39470</v>
      </c>
      <c r="R24" s="11">
        <v>23</v>
      </c>
      <c r="S24" s="4">
        <v>39836</v>
      </c>
      <c r="T24" s="11">
        <v>23</v>
      </c>
      <c r="U24" s="4">
        <v>40201</v>
      </c>
      <c r="V24" s="11">
        <v>23</v>
      </c>
      <c r="W24" s="4">
        <v>40566</v>
      </c>
      <c r="X24" s="12">
        <v>23</v>
      </c>
      <c r="Y24" s="4">
        <v>40931</v>
      </c>
    </row>
    <row r="25" spans="1:25" x14ac:dyDescent="0.25">
      <c r="A25">
        <v>182</v>
      </c>
      <c r="B25" s="2">
        <v>41821</v>
      </c>
      <c r="D25" t="s">
        <v>236</v>
      </c>
      <c r="E25" t="s">
        <v>93</v>
      </c>
      <c r="H25" s="63" t="s">
        <v>587</v>
      </c>
      <c r="L25" s="10">
        <v>24</v>
      </c>
      <c r="M25" s="4">
        <v>38741</v>
      </c>
      <c r="N25" s="11">
        <v>24</v>
      </c>
      <c r="O25" s="4">
        <v>39106</v>
      </c>
      <c r="P25" s="11">
        <v>24</v>
      </c>
      <c r="Q25" s="4">
        <v>39471</v>
      </c>
      <c r="R25" s="11">
        <v>24</v>
      </c>
      <c r="S25" s="4">
        <v>39837</v>
      </c>
      <c r="T25" s="11">
        <v>24</v>
      </c>
      <c r="U25" s="4">
        <v>40202</v>
      </c>
      <c r="V25" s="11">
        <v>24</v>
      </c>
      <c r="W25" s="4">
        <v>40567</v>
      </c>
      <c r="X25" s="12">
        <v>24</v>
      </c>
      <c r="Y25" s="4">
        <v>40932</v>
      </c>
    </row>
    <row r="26" spans="1:25" x14ac:dyDescent="0.25">
      <c r="A26">
        <v>183</v>
      </c>
      <c r="B26" s="2">
        <v>41822</v>
      </c>
      <c r="D26" t="s">
        <v>237</v>
      </c>
      <c r="E26" t="s">
        <v>94</v>
      </c>
      <c r="H26" s="63" t="s">
        <v>588</v>
      </c>
      <c r="L26" s="10">
        <v>25</v>
      </c>
      <c r="M26" s="4">
        <v>38742</v>
      </c>
      <c r="N26" s="11">
        <v>25</v>
      </c>
      <c r="O26" s="4">
        <v>39107</v>
      </c>
      <c r="P26" s="11">
        <v>25</v>
      </c>
      <c r="Q26" s="4">
        <v>39472</v>
      </c>
      <c r="R26" s="11">
        <v>25</v>
      </c>
      <c r="S26" s="4">
        <v>39838</v>
      </c>
      <c r="T26" s="11">
        <v>25</v>
      </c>
      <c r="U26" s="4">
        <v>40203</v>
      </c>
      <c r="V26" s="11">
        <v>25</v>
      </c>
      <c r="W26" s="4">
        <v>40568</v>
      </c>
      <c r="X26" s="12">
        <v>25</v>
      </c>
      <c r="Y26" s="4">
        <v>40933</v>
      </c>
    </row>
    <row r="27" spans="1:25" x14ac:dyDescent="0.25">
      <c r="A27">
        <v>184</v>
      </c>
      <c r="B27" s="2">
        <v>41823</v>
      </c>
      <c r="D27" t="s">
        <v>238</v>
      </c>
      <c r="E27" t="s">
        <v>95</v>
      </c>
      <c r="H27" s="63" t="s">
        <v>589</v>
      </c>
      <c r="L27" s="10">
        <v>26</v>
      </c>
      <c r="M27" s="4">
        <v>38743</v>
      </c>
      <c r="N27" s="11">
        <v>26</v>
      </c>
      <c r="O27" s="4">
        <v>39108</v>
      </c>
      <c r="P27" s="11">
        <v>26</v>
      </c>
      <c r="Q27" s="4">
        <v>39473</v>
      </c>
      <c r="R27" s="11">
        <v>26</v>
      </c>
      <c r="S27" s="4">
        <v>39839</v>
      </c>
      <c r="T27" s="11">
        <v>26</v>
      </c>
      <c r="U27" s="4">
        <v>40204</v>
      </c>
      <c r="V27" s="11">
        <v>26</v>
      </c>
      <c r="W27" s="4">
        <v>40569</v>
      </c>
      <c r="X27" s="12">
        <v>26</v>
      </c>
      <c r="Y27" s="4">
        <v>40934</v>
      </c>
    </row>
    <row r="28" spans="1:25" x14ac:dyDescent="0.25">
      <c r="A28">
        <v>185</v>
      </c>
      <c r="B28" s="2">
        <v>41824</v>
      </c>
      <c r="D28" t="s">
        <v>239</v>
      </c>
      <c r="E28" t="s">
        <v>96</v>
      </c>
      <c r="H28" s="63" t="s">
        <v>590</v>
      </c>
      <c r="L28" s="10">
        <v>27</v>
      </c>
      <c r="M28" s="4">
        <v>38744</v>
      </c>
      <c r="N28" s="11">
        <v>27</v>
      </c>
      <c r="O28" s="4">
        <v>39109</v>
      </c>
      <c r="P28" s="11">
        <v>27</v>
      </c>
      <c r="Q28" s="4">
        <v>39474</v>
      </c>
      <c r="R28" s="11">
        <v>27</v>
      </c>
      <c r="S28" s="4">
        <v>39840</v>
      </c>
      <c r="T28" s="11">
        <v>27</v>
      </c>
      <c r="U28" s="4">
        <v>40205</v>
      </c>
      <c r="V28" s="11">
        <v>27</v>
      </c>
      <c r="W28" s="4">
        <v>40570</v>
      </c>
      <c r="X28" s="12">
        <v>27</v>
      </c>
      <c r="Y28" s="4">
        <v>40935</v>
      </c>
    </row>
    <row r="29" spans="1:25" x14ac:dyDescent="0.25">
      <c r="A29">
        <v>186</v>
      </c>
      <c r="B29" s="2">
        <v>41825</v>
      </c>
      <c r="D29" t="s">
        <v>240</v>
      </c>
      <c r="E29" t="s">
        <v>97</v>
      </c>
      <c r="H29" s="63" t="s">
        <v>591</v>
      </c>
      <c r="L29" s="10">
        <v>28</v>
      </c>
      <c r="M29" s="4">
        <v>38745</v>
      </c>
      <c r="N29" s="11">
        <v>28</v>
      </c>
      <c r="O29" s="4">
        <v>39110</v>
      </c>
      <c r="P29" s="11">
        <v>28</v>
      </c>
      <c r="Q29" s="4">
        <v>39475</v>
      </c>
      <c r="R29" s="11">
        <v>28</v>
      </c>
      <c r="S29" s="4">
        <v>39841</v>
      </c>
      <c r="T29" s="11">
        <v>28</v>
      </c>
      <c r="U29" s="4">
        <v>40206</v>
      </c>
      <c r="V29" s="11">
        <v>28</v>
      </c>
      <c r="W29" s="4">
        <v>40571</v>
      </c>
      <c r="X29" s="12">
        <v>28</v>
      </c>
      <c r="Y29" s="4">
        <v>40936</v>
      </c>
    </row>
    <row r="30" spans="1:25" x14ac:dyDescent="0.25">
      <c r="A30">
        <v>187</v>
      </c>
      <c r="B30" s="2">
        <v>41826</v>
      </c>
      <c r="D30" t="s">
        <v>241</v>
      </c>
      <c r="E30" t="s">
        <v>98</v>
      </c>
      <c r="H30" s="63" t="s">
        <v>374</v>
      </c>
      <c r="L30" s="10">
        <v>29</v>
      </c>
      <c r="M30" s="4">
        <v>38746</v>
      </c>
      <c r="N30" s="11">
        <v>29</v>
      </c>
      <c r="O30" s="4">
        <v>39111</v>
      </c>
      <c r="P30" s="11">
        <v>29</v>
      </c>
      <c r="Q30" s="4">
        <v>39476</v>
      </c>
      <c r="R30" s="11">
        <v>29</v>
      </c>
      <c r="S30" s="4">
        <v>39842</v>
      </c>
      <c r="T30" s="11">
        <v>29</v>
      </c>
      <c r="U30" s="4">
        <v>40207</v>
      </c>
      <c r="V30" s="11">
        <v>29</v>
      </c>
      <c r="W30" s="4">
        <v>40572</v>
      </c>
      <c r="X30" s="12">
        <v>29</v>
      </c>
      <c r="Y30" s="4">
        <v>40937</v>
      </c>
    </row>
    <row r="31" spans="1:25" x14ac:dyDescent="0.25">
      <c r="A31">
        <v>188</v>
      </c>
      <c r="B31" s="2">
        <v>41827</v>
      </c>
      <c r="E31" t="s">
        <v>99</v>
      </c>
      <c r="H31" s="63" t="s">
        <v>592</v>
      </c>
      <c r="L31" s="10">
        <v>30</v>
      </c>
      <c r="M31" s="4">
        <v>38747</v>
      </c>
      <c r="N31" s="11">
        <v>30</v>
      </c>
      <c r="O31" s="4">
        <v>39112</v>
      </c>
      <c r="P31" s="11">
        <v>30</v>
      </c>
      <c r="Q31" s="4">
        <v>39477</v>
      </c>
      <c r="R31" s="11">
        <v>30</v>
      </c>
      <c r="S31" s="4">
        <v>39843</v>
      </c>
      <c r="T31" s="11">
        <v>30</v>
      </c>
      <c r="U31" s="4">
        <v>40208</v>
      </c>
      <c r="V31" s="11">
        <v>30</v>
      </c>
      <c r="W31" s="4">
        <v>40573</v>
      </c>
      <c r="X31" s="12">
        <v>30</v>
      </c>
      <c r="Y31" s="4">
        <v>40938</v>
      </c>
    </row>
    <row r="32" spans="1:25" x14ac:dyDescent="0.25">
      <c r="A32">
        <v>189</v>
      </c>
      <c r="B32" s="2">
        <v>41828</v>
      </c>
      <c r="E32" t="s">
        <v>100</v>
      </c>
      <c r="H32" s="63" t="s">
        <v>593</v>
      </c>
      <c r="L32" s="10">
        <v>31</v>
      </c>
      <c r="M32" s="4">
        <v>38748</v>
      </c>
      <c r="N32" s="11">
        <v>31</v>
      </c>
      <c r="O32" s="4">
        <v>39113</v>
      </c>
      <c r="P32" s="11">
        <v>31</v>
      </c>
      <c r="Q32" s="4">
        <v>39478</v>
      </c>
      <c r="R32" s="11">
        <v>31</v>
      </c>
      <c r="S32" s="4">
        <v>39844</v>
      </c>
      <c r="T32" s="11">
        <v>31</v>
      </c>
      <c r="U32" s="4">
        <v>40209</v>
      </c>
      <c r="V32" s="11">
        <v>31</v>
      </c>
      <c r="W32" s="4">
        <v>40574</v>
      </c>
      <c r="X32" s="12">
        <v>31</v>
      </c>
      <c r="Y32" s="4">
        <v>40939</v>
      </c>
    </row>
    <row r="33" spans="1:25" x14ac:dyDescent="0.25">
      <c r="A33">
        <v>190</v>
      </c>
      <c r="B33" s="2">
        <v>41829</v>
      </c>
      <c r="E33" t="s">
        <v>101</v>
      </c>
      <c r="H33" s="63" t="s">
        <v>594</v>
      </c>
      <c r="L33" s="10">
        <v>32</v>
      </c>
      <c r="M33" s="4">
        <v>38749</v>
      </c>
      <c r="N33" s="11">
        <v>32</v>
      </c>
      <c r="O33" s="4">
        <v>39114</v>
      </c>
      <c r="P33" s="11">
        <v>32</v>
      </c>
      <c r="Q33" s="4">
        <v>39479</v>
      </c>
      <c r="R33" s="11">
        <v>32</v>
      </c>
      <c r="S33" s="4">
        <v>39845</v>
      </c>
      <c r="T33" s="11">
        <v>32</v>
      </c>
      <c r="U33" s="4">
        <v>40210</v>
      </c>
      <c r="V33" s="11">
        <v>32</v>
      </c>
      <c r="W33" s="4">
        <v>40575</v>
      </c>
      <c r="X33" s="12">
        <v>32</v>
      </c>
      <c r="Y33" s="4">
        <v>40940</v>
      </c>
    </row>
    <row r="34" spans="1:25" x14ac:dyDescent="0.25">
      <c r="A34">
        <v>191</v>
      </c>
      <c r="B34" s="2">
        <v>41830</v>
      </c>
      <c r="E34" t="s">
        <v>102</v>
      </c>
      <c r="H34" s="63" t="s">
        <v>595</v>
      </c>
      <c r="L34" s="10">
        <v>33</v>
      </c>
      <c r="M34" s="4">
        <v>38750</v>
      </c>
      <c r="N34" s="11">
        <v>33</v>
      </c>
      <c r="O34" s="4">
        <v>39115</v>
      </c>
      <c r="P34" s="11">
        <v>33</v>
      </c>
      <c r="Q34" s="4">
        <v>39480</v>
      </c>
      <c r="R34" s="11">
        <v>33</v>
      </c>
      <c r="S34" s="4">
        <v>39846</v>
      </c>
      <c r="T34" s="11">
        <v>33</v>
      </c>
      <c r="U34" s="4">
        <v>40211</v>
      </c>
      <c r="V34" s="11">
        <v>33</v>
      </c>
      <c r="W34" s="4">
        <v>40576</v>
      </c>
      <c r="X34" s="12">
        <v>33</v>
      </c>
      <c r="Y34" s="4">
        <v>40941</v>
      </c>
    </row>
    <row r="35" spans="1:25" x14ac:dyDescent="0.25">
      <c r="A35">
        <v>192</v>
      </c>
      <c r="B35" s="2">
        <v>41831</v>
      </c>
      <c r="E35" t="s">
        <v>103</v>
      </c>
      <c r="H35" s="63" t="s">
        <v>596</v>
      </c>
      <c r="L35" s="10">
        <v>34</v>
      </c>
      <c r="M35" s="4">
        <v>38751</v>
      </c>
      <c r="N35" s="11">
        <v>34</v>
      </c>
      <c r="O35" s="4">
        <v>39116</v>
      </c>
      <c r="P35" s="11">
        <v>34</v>
      </c>
      <c r="Q35" s="4">
        <v>39481</v>
      </c>
      <c r="R35" s="11">
        <v>34</v>
      </c>
      <c r="S35" s="4">
        <v>39847</v>
      </c>
      <c r="T35" s="11">
        <v>34</v>
      </c>
      <c r="U35" s="4">
        <v>40212</v>
      </c>
      <c r="V35" s="11">
        <v>34</v>
      </c>
      <c r="W35" s="4">
        <v>40577</v>
      </c>
      <c r="X35" s="12">
        <v>34</v>
      </c>
      <c r="Y35" s="4">
        <v>40942</v>
      </c>
    </row>
    <row r="36" spans="1:25" x14ac:dyDescent="0.25">
      <c r="A36">
        <v>193</v>
      </c>
      <c r="B36" s="2">
        <v>41832</v>
      </c>
      <c r="E36" t="s">
        <v>104</v>
      </c>
      <c r="H36" s="63" t="s">
        <v>597</v>
      </c>
      <c r="L36" s="10">
        <v>35</v>
      </c>
      <c r="M36" s="4">
        <v>38752</v>
      </c>
      <c r="N36" s="11">
        <v>35</v>
      </c>
      <c r="O36" s="4">
        <v>39117</v>
      </c>
      <c r="P36" s="11">
        <v>35</v>
      </c>
      <c r="Q36" s="4">
        <v>39482</v>
      </c>
      <c r="R36" s="11">
        <v>35</v>
      </c>
      <c r="S36" s="4">
        <v>39848</v>
      </c>
      <c r="T36" s="11">
        <v>35</v>
      </c>
      <c r="U36" s="4">
        <v>40213</v>
      </c>
      <c r="V36" s="11">
        <v>35</v>
      </c>
      <c r="W36" s="4">
        <v>40578</v>
      </c>
      <c r="X36" s="12">
        <v>35</v>
      </c>
      <c r="Y36" s="4">
        <v>40943</v>
      </c>
    </row>
    <row r="37" spans="1:25" x14ac:dyDescent="0.25">
      <c r="A37">
        <v>194</v>
      </c>
      <c r="B37" s="2">
        <v>41833</v>
      </c>
      <c r="E37" t="s">
        <v>105</v>
      </c>
      <c r="H37" s="63" t="s">
        <v>598</v>
      </c>
      <c r="L37" s="10">
        <v>36</v>
      </c>
      <c r="M37" s="4">
        <v>38753</v>
      </c>
      <c r="N37" s="11">
        <v>36</v>
      </c>
      <c r="O37" s="4">
        <v>39118</v>
      </c>
      <c r="P37" s="11">
        <v>36</v>
      </c>
      <c r="Q37" s="4">
        <v>39483</v>
      </c>
      <c r="R37" s="11">
        <v>36</v>
      </c>
      <c r="S37" s="4">
        <v>39849</v>
      </c>
      <c r="T37" s="11">
        <v>36</v>
      </c>
      <c r="U37" s="4">
        <v>40214</v>
      </c>
      <c r="V37" s="11">
        <v>36</v>
      </c>
      <c r="W37" s="4">
        <v>40579</v>
      </c>
      <c r="X37" s="12">
        <v>36</v>
      </c>
      <c r="Y37" s="4">
        <v>40944</v>
      </c>
    </row>
    <row r="38" spans="1:25" x14ac:dyDescent="0.25">
      <c r="A38">
        <v>195</v>
      </c>
      <c r="B38" s="2">
        <v>41834</v>
      </c>
      <c r="E38" t="s">
        <v>106</v>
      </c>
      <c r="H38" s="63" t="s">
        <v>599</v>
      </c>
      <c r="L38" s="10">
        <v>37</v>
      </c>
      <c r="M38" s="4">
        <v>38754</v>
      </c>
      <c r="N38" s="11">
        <v>37</v>
      </c>
      <c r="O38" s="4">
        <v>39119</v>
      </c>
      <c r="P38" s="11">
        <v>37</v>
      </c>
      <c r="Q38" s="4">
        <v>39484</v>
      </c>
      <c r="R38" s="11">
        <v>37</v>
      </c>
      <c r="S38" s="4">
        <v>39850</v>
      </c>
      <c r="T38" s="11">
        <v>37</v>
      </c>
      <c r="U38" s="4">
        <v>40215</v>
      </c>
      <c r="V38" s="11">
        <v>37</v>
      </c>
      <c r="W38" s="4">
        <v>40580</v>
      </c>
      <c r="X38" s="12">
        <v>37</v>
      </c>
      <c r="Y38" s="4">
        <v>40945</v>
      </c>
    </row>
    <row r="39" spans="1:25" x14ac:dyDescent="0.25">
      <c r="A39">
        <v>196</v>
      </c>
      <c r="B39" s="2">
        <v>41835</v>
      </c>
      <c r="E39" t="s">
        <v>107</v>
      </c>
      <c r="H39" s="63" t="s">
        <v>372</v>
      </c>
      <c r="L39" s="10">
        <v>38</v>
      </c>
      <c r="M39" s="4">
        <v>38755</v>
      </c>
      <c r="N39" s="11">
        <v>38</v>
      </c>
      <c r="O39" s="4">
        <v>39120</v>
      </c>
      <c r="P39" s="11">
        <v>38</v>
      </c>
      <c r="Q39" s="4">
        <v>39485</v>
      </c>
      <c r="R39" s="11">
        <v>38</v>
      </c>
      <c r="S39" s="4">
        <v>39851</v>
      </c>
      <c r="T39" s="11">
        <v>38</v>
      </c>
      <c r="U39" s="4">
        <v>40216</v>
      </c>
      <c r="V39" s="11">
        <v>38</v>
      </c>
      <c r="W39" s="4">
        <v>40581</v>
      </c>
      <c r="X39" s="12">
        <v>38</v>
      </c>
      <c r="Y39" s="4">
        <v>40946</v>
      </c>
    </row>
    <row r="40" spans="1:25" x14ac:dyDescent="0.25">
      <c r="A40">
        <v>197</v>
      </c>
      <c r="B40" s="2">
        <v>41836</v>
      </c>
      <c r="E40" t="s">
        <v>108</v>
      </c>
      <c r="H40" s="63" t="s">
        <v>600</v>
      </c>
      <c r="L40" s="10">
        <v>39</v>
      </c>
      <c r="M40" s="4">
        <v>38756</v>
      </c>
      <c r="N40" s="11">
        <v>39</v>
      </c>
      <c r="O40" s="4">
        <v>39121</v>
      </c>
      <c r="P40" s="11">
        <v>39</v>
      </c>
      <c r="Q40" s="4">
        <v>39486</v>
      </c>
      <c r="R40" s="11">
        <v>39</v>
      </c>
      <c r="S40" s="4">
        <v>39852</v>
      </c>
      <c r="T40" s="11">
        <v>39</v>
      </c>
      <c r="U40" s="4">
        <v>40217</v>
      </c>
      <c r="V40" s="11">
        <v>39</v>
      </c>
      <c r="W40" s="4">
        <v>40582</v>
      </c>
      <c r="X40" s="12">
        <v>39</v>
      </c>
      <c r="Y40" s="4">
        <v>40947</v>
      </c>
    </row>
    <row r="41" spans="1:25" x14ac:dyDescent="0.25">
      <c r="A41">
        <v>198</v>
      </c>
      <c r="B41" s="2">
        <v>41837</v>
      </c>
      <c r="E41" t="s">
        <v>109</v>
      </c>
      <c r="H41" s="63" t="s">
        <v>601</v>
      </c>
      <c r="L41" s="10">
        <v>40</v>
      </c>
      <c r="M41" s="4">
        <v>38757</v>
      </c>
      <c r="N41" s="11">
        <v>40</v>
      </c>
      <c r="O41" s="4">
        <v>39122</v>
      </c>
      <c r="P41" s="11">
        <v>40</v>
      </c>
      <c r="Q41" s="4">
        <v>39487</v>
      </c>
      <c r="R41" s="11">
        <v>40</v>
      </c>
      <c r="S41" s="4">
        <v>39853</v>
      </c>
      <c r="T41" s="11">
        <v>40</v>
      </c>
      <c r="U41" s="4">
        <v>40218</v>
      </c>
      <c r="V41" s="11">
        <v>40</v>
      </c>
      <c r="W41" s="4">
        <v>40583</v>
      </c>
      <c r="X41" s="12">
        <v>40</v>
      </c>
      <c r="Y41" s="4">
        <v>40948</v>
      </c>
    </row>
    <row r="42" spans="1:25" x14ac:dyDescent="0.25">
      <c r="A42">
        <v>199</v>
      </c>
      <c r="B42" s="2">
        <v>41838</v>
      </c>
      <c r="E42" t="s">
        <v>110</v>
      </c>
      <c r="H42" s="63" t="s">
        <v>602</v>
      </c>
      <c r="L42" s="10">
        <v>41</v>
      </c>
      <c r="M42" s="4">
        <v>38758</v>
      </c>
      <c r="N42" s="11">
        <v>41</v>
      </c>
      <c r="O42" s="4">
        <v>39123</v>
      </c>
      <c r="P42" s="11">
        <v>41</v>
      </c>
      <c r="Q42" s="4">
        <v>39488</v>
      </c>
      <c r="R42" s="11">
        <v>41</v>
      </c>
      <c r="S42" s="4">
        <v>39854</v>
      </c>
      <c r="T42" s="11">
        <v>41</v>
      </c>
      <c r="U42" s="4">
        <v>40219</v>
      </c>
      <c r="V42" s="11">
        <v>41</v>
      </c>
      <c r="W42" s="4">
        <v>40584</v>
      </c>
      <c r="X42" s="12">
        <v>41</v>
      </c>
      <c r="Y42" s="4">
        <v>40949</v>
      </c>
    </row>
    <row r="43" spans="1:25" x14ac:dyDescent="0.25">
      <c r="A43">
        <v>200</v>
      </c>
      <c r="B43" s="2">
        <v>41839</v>
      </c>
      <c r="E43" t="s">
        <v>111</v>
      </c>
      <c r="H43" s="63" t="s">
        <v>603</v>
      </c>
      <c r="L43" s="10">
        <v>42</v>
      </c>
      <c r="M43" s="4">
        <v>38759</v>
      </c>
      <c r="N43" s="11">
        <v>42</v>
      </c>
      <c r="O43" s="4">
        <v>39124</v>
      </c>
      <c r="P43" s="11">
        <v>42</v>
      </c>
      <c r="Q43" s="4">
        <v>39489</v>
      </c>
      <c r="R43" s="11">
        <v>42</v>
      </c>
      <c r="S43" s="4">
        <v>39855</v>
      </c>
      <c r="T43" s="11">
        <v>42</v>
      </c>
      <c r="U43" s="4">
        <v>40220</v>
      </c>
      <c r="V43" s="11">
        <v>42</v>
      </c>
      <c r="W43" s="4">
        <v>40585</v>
      </c>
      <c r="X43" s="12">
        <v>42</v>
      </c>
      <c r="Y43" s="4">
        <v>40950</v>
      </c>
    </row>
    <row r="44" spans="1:25" x14ac:dyDescent="0.25">
      <c r="A44">
        <v>201</v>
      </c>
      <c r="B44" s="2">
        <v>41840</v>
      </c>
      <c r="E44" t="s">
        <v>112</v>
      </c>
      <c r="H44" s="63" t="s">
        <v>604</v>
      </c>
      <c r="L44" s="10">
        <v>43</v>
      </c>
      <c r="M44" s="4">
        <v>38760</v>
      </c>
      <c r="N44" s="11">
        <v>43</v>
      </c>
      <c r="O44" s="4">
        <v>39125</v>
      </c>
      <c r="P44" s="11">
        <v>43</v>
      </c>
      <c r="Q44" s="4">
        <v>39490</v>
      </c>
      <c r="R44" s="11">
        <v>43</v>
      </c>
      <c r="S44" s="4">
        <v>39856</v>
      </c>
      <c r="T44" s="11">
        <v>43</v>
      </c>
      <c r="U44" s="4">
        <v>40221</v>
      </c>
      <c r="V44" s="11">
        <v>43</v>
      </c>
      <c r="W44" s="4">
        <v>40586</v>
      </c>
      <c r="X44" s="12">
        <v>43</v>
      </c>
      <c r="Y44" s="4">
        <v>40951</v>
      </c>
    </row>
    <row r="45" spans="1:25" x14ac:dyDescent="0.25">
      <c r="A45">
        <v>202</v>
      </c>
      <c r="B45" s="2">
        <v>41841</v>
      </c>
      <c r="E45" t="s">
        <v>113</v>
      </c>
      <c r="H45" s="63" t="s">
        <v>605</v>
      </c>
      <c r="L45" s="10">
        <v>44</v>
      </c>
      <c r="M45" s="4">
        <v>38761</v>
      </c>
      <c r="N45" s="11">
        <v>44</v>
      </c>
      <c r="O45" s="4">
        <v>39126</v>
      </c>
      <c r="P45" s="11">
        <v>44</v>
      </c>
      <c r="Q45" s="4">
        <v>39491</v>
      </c>
      <c r="R45" s="11">
        <v>44</v>
      </c>
      <c r="S45" s="4">
        <v>39857</v>
      </c>
      <c r="T45" s="11">
        <v>44</v>
      </c>
      <c r="U45" s="4">
        <v>40222</v>
      </c>
      <c r="V45" s="11">
        <v>44</v>
      </c>
      <c r="W45" s="4">
        <v>40587</v>
      </c>
      <c r="X45" s="12">
        <v>44</v>
      </c>
      <c r="Y45" s="4">
        <v>40952</v>
      </c>
    </row>
    <row r="46" spans="1:25" x14ac:dyDescent="0.25">
      <c r="A46">
        <v>203</v>
      </c>
      <c r="B46" s="2">
        <v>41842</v>
      </c>
      <c r="E46" t="s">
        <v>114</v>
      </c>
      <c r="H46" s="63" t="s">
        <v>606</v>
      </c>
      <c r="L46" s="10">
        <v>45</v>
      </c>
      <c r="M46" s="4">
        <v>38762</v>
      </c>
      <c r="N46" s="11">
        <v>45</v>
      </c>
      <c r="O46" s="4">
        <v>39127</v>
      </c>
      <c r="P46" s="11">
        <v>45</v>
      </c>
      <c r="Q46" s="4">
        <v>39492</v>
      </c>
      <c r="R46" s="11">
        <v>45</v>
      </c>
      <c r="S46" s="4">
        <v>39858</v>
      </c>
      <c r="T46" s="11">
        <v>45</v>
      </c>
      <c r="U46" s="4">
        <v>40223</v>
      </c>
      <c r="V46" s="11">
        <v>45</v>
      </c>
      <c r="W46" s="4">
        <v>40588</v>
      </c>
      <c r="X46" s="12">
        <v>45</v>
      </c>
      <c r="Y46" s="4">
        <v>40953</v>
      </c>
    </row>
    <row r="47" spans="1:25" x14ac:dyDescent="0.25">
      <c r="A47">
        <v>204</v>
      </c>
      <c r="B47" s="2">
        <v>41843</v>
      </c>
      <c r="E47" t="s">
        <v>115</v>
      </c>
      <c r="H47" s="63" t="s">
        <v>607</v>
      </c>
      <c r="L47" s="10">
        <v>46</v>
      </c>
      <c r="M47" s="4">
        <v>38763</v>
      </c>
      <c r="N47" s="11">
        <v>46</v>
      </c>
      <c r="O47" s="4">
        <v>39128</v>
      </c>
      <c r="P47" s="11">
        <v>46</v>
      </c>
      <c r="Q47" s="4">
        <v>39493</v>
      </c>
      <c r="R47" s="11">
        <v>46</v>
      </c>
      <c r="S47" s="4">
        <v>39859</v>
      </c>
      <c r="T47" s="11">
        <v>46</v>
      </c>
      <c r="U47" s="4">
        <v>40224</v>
      </c>
      <c r="V47" s="11">
        <v>46</v>
      </c>
      <c r="W47" s="4">
        <v>40589</v>
      </c>
      <c r="X47" s="12">
        <v>46</v>
      </c>
      <c r="Y47" s="4">
        <v>40954</v>
      </c>
    </row>
    <row r="48" spans="1:25" x14ac:dyDescent="0.25">
      <c r="A48">
        <v>205</v>
      </c>
      <c r="B48" s="2">
        <v>41844</v>
      </c>
      <c r="E48" t="s">
        <v>116</v>
      </c>
      <c r="H48" s="63" t="s">
        <v>608</v>
      </c>
      <c r="L48" s="10">
        <v>47</v>
      </c>
      <c r="M48" s="4">
        <v>38764</v>
      </c>
      <c r="N48" s="11">
        <v>47</v>
      </c>
      <c r="O48" s="4">
        <v>39129</v>
      </c>
      <c r="P48" s="11">
        <v>47</v>
      </c>
      <c r="Q48" s="4">
        <v>39494</v>
      </c>
      <c r="R48" s="11">
        <v>47</v>
      </c>
      <c r="S48" s="4">
        <v>39860</v>
      </c>
      <c r="T48" s="11">
        <v>47</v>
      </c>
      <c r="U48" s="4">
        <v>40225</v>
      </c>
      <c r="V48" s="11">
        <v>47</v>
      </c>
      <c r="W48" s="4">
        <v>40590</v>
      </c>
      <c r="X48" s="12">
        <v>47</v>
      </c>
      <c r="Y48" s="4">
        <v>40955</v>
      </c>
    </row>
    <row r="49" spans="1:25" x14ac:dyDescent="0.25">
      <c r="A49">
        <v>206</v>
      </c>
      <c r="B49" s="2">
        <v>41845</v>
      </c>
      <c r="E49" t="s">
        <v>117</v>
      </c>
      <c r="H49" s="63" t="s">
        <v>609</v>
      </c>
      <c r="L49" s="10">
        <v>48</v>
      </c>
      <c r="M49" s="4">
        <v>38765</v>
      </c>
      <c r="N49" s="11">
        <v>48</v>
      </c>
      <c r="O49" s="4">
        <v>39130</v>
      </c>
      <c r="P49" s="11">
        <v>48</v>
      </c>
      <c r="Q49" s="4">
        <v>39495</v>
      </c>
      <c r="R49" s="11">
        <v>48</v>
      </c>
      <c r="S49" s="4">
        <v>39861</v>
      </c>
      <c r="T49" s="11">
        <v>48</v>
      </c>
      <c r="U49" s="4">
        <v>40226</v>
      </c>
      <c r="V49" s="11">
        <v>48</v>
      </c>
      <c r="W49" s="4">
        <v>40591</v>
      </c>
      <c r="X49" s="12">
        <v>48</v>
      </c>
      <c r="Y49" s="4">
        <v>40956</v>
      </c>
    </row>
    <row r="50" spans="1:25" x14ac:dyDescent="0.25">
      <c r="A50">
        <v>207</v>
      </c>
      <c r="B50" s="2">
        <v>41846</v>
      </c>
      <c r="E50" t="s">
        <v>118</v>
      </c>
      <c r="H50" s="63" t="s">
        <v>610</v>
      </c>
      <c r="L50" s="10">
        <v>49</v>
      </c>
      <c r="M50" s="4">
        <v>38766</v>
      </c>
      <c r="N50" s="11">
        <v>49</v>
      </c>
      <c r="O50" s="4">
        <v>39131</v>
      </c>
      <c r="P50" s="11">
        <v>49</v>
      </c>
      <c r="Q50" s="4">
        <v>39496</v>
      </c>
      <c r="R50" s="11">
        <v>49</v>
      </c>
      <c r="S50" s="4">
        <v>39862</v>
      </c>
      <c r="T50" s="11">
        <v>49</v>
      </c>
      <c r="U50" s="4">
        <v>40227</v>
      </c>
      <c r="V50" s="11">
        <v>49</v>
      </c>
      <c r="W50" s="4">
        <v>40592</v>
      </c>
      <c r="X50" s="12">
        <v>49</v>
      </c>
      <c r="Y50" s="4">
        <v>40957</v>
      </c>
    </row>
    <row r="51" spans="1:25" x14ac:dyDescent="0.25">
      <c r="A51">
        <v>208</v>
      </c>
      <c r="B51" s="2">
        <v>41847</v>
      </c>
      <c r="E51" t="s">
        <v>119</v>
      </c>
      <c r="H51" s="63" t="s">
        <v>611</v>
      </c>
      <c r="L51" s="10">
        <v>50</v>
      </c>
      <c r="M51" s="4">
        <v>38767</v>
      </c>
      <c r="N51" s="11">
        <v>50</v>
      </c>
      <c r="O51" s="4">
        <v>39132</v>
      </c>
      <c r="P51" s="11">
        <v>50</v>
      </c>
      <c r="Q51" s="4">
        <v>39497</v>
      </c>
      <c r="R51" s="11">
        <v>50</v>
      </c>
      <c r="S51" s="4">
        <v>39863</v>
      </c>
      <c r="T51" s="11">
        <v>50</v>
      </c>
      <c r="U51" s="4">
        <v>40228</v>
      </c>
      <c r="V51" s="11">
        <v>50</v>
      </c>
      <c r="W51" s="4">
        <v>40593</v>
      </c>
      <c r="X51" s="12">
        <v>50</v>
      </c>
      <c r="Y51" s="4">
        <v>40958</v>
      </c>
    </row>
    <row r="52" spans="1:25" x14ac:dyDescent="0.25">
      <c r="A52">
        <v>209</v>
      </c>
      <c r="B52" s="2">
        <v>41848</v>
      </c>
      <c r="E52" t="s">
        <v>120</v>
      </c>
      <c r="H52" s="63" t="s">
        <v>612</v>
      </c>
      <c r="L52" s="10">
        <v>51</v>
      </c>
      <c r="M52" s="4">
        <v>38768</v>
      </c>
      <c r="N52" s="11">
        <v>51</v>
      </c>
      <c r="O52" s="4">
        <v>39133</v>
      </c>
      <c r="P52" s="11">
        <v>51</v>
      </c>
      <c r="Q52" s="4">
        <v>39498</v>
      </c>
      <c r="R52" s="11">
        <v>51</v>
      </c>
      <c r="S52" s="4">
        <v>39864</v>
      </c>
      <c r="T52" s="11">
        <v>51</v>
      </c>
      <c r="U52" s="4">
        <v>40229</v>
      </c>
      <c r="V52" s="11">
        <v>51</v>
      </c>
      <c r="W52" s="4">
        <v>40594</v>
      </c>
      <c r="X52" s="12">
        <v>51</v>
      </c>
      <c r="Y52" s="4">
        <v>40959</v>
      </c>
    </row>
    <row r="53" spans="1:25" x14ac:dyDescent="0.25">
      <c r="A53">
        <v>210</v>
      </c>
      <c r="B53" s="2">
        <v>41849</v>
      </c>
      <c r="E53" t="s">
        <v>121</v>
      </c>
      <c r="H53" s="63" t="s">
        <v>613</v>
      </c>
      <c r="L53" s="10">
        <v>52</v>
      </c>
      <c r="M53" s="4">
        <v>38769</v>
      </c>
      <c r="N53" s="11">
        <v>52</v>
      </c>
      <c r="O53" s="4">
        <v>39134</v>
      </c>
      <c r="P53" s="11">
        <v>52</v>
      </c>
      <c r="Q53" s="4">
        <v>39499</v>
      </c>
      <c r="R53" s="11">
        <v>52</v>
      </c>
      <c r="S53" s="4">
        <v>39865</v>
      </c>
      <c r="T53" s="11">
        <v>52</v>
      </c>
      <c r="U53" s="4">
        <v>40230</v>
      </c>
      <c r="V53" s="11">
        <v>52</v>
      </c>
      <c r="W53" s="4">
        <v>40595</v>
      </c>
      <c r="X53" s="12">
        <v>52</v>
      </c>
      <c r="Y53" s="4">
        <v>40960</v>
      </c>
    </row>
    <row r="54" spans="1:25" x14ac:dyDescent="0.25">
      <c r="A54">
        <v>211</v>
      </c>
      <c r="B54" s="2">
        <v>41850</v>
      </c>
      <c r="E54" t="s">
        <v>122</v>
      </c>
      <c r="H54" s="63" t="s">
        <v>614</v>
      </c>
      <c r="L54" s="10">
        <v>53</v>
      </c>
      <c r="M54" s="4">
        <v>38770</v>
      </c>
      <c r="N54" s="11">
        <v>53</v>
      </c>
      <c r="O54" s="4">
        <v>39135</v>
      </c>
      <c r="P54" s="11">
        <v>53</v>
      </c>
      <c r="Q54" s="4">
        <v>39500</v>
      </c>
      <c r="R54" s="11">
        <v>53</v>
      </c>
      <c r="S54" s="4">
        <v>39866</v>
      </c>
      <c r="T54" s="11">
        <v>53</v>
      </c>
      <c r="U54" s="4">
        <v>40231</v>
      </c>
      <c r="V54" s="11">
        <v>53</v>
      </c>
      <c r="W54" s="4">
        <v>40596</v>
      </c>
      <c r="X54" s="12">
        <v>53</v>
      </c>
      <c r="Y54" s="4">
        <v>40961</v>
      </c>
    </row>
    <row r="55" spans="1:25" x14ac:dyDescent="0.25">
      <c r="A55">
        <v>212</v>
      </c>
      <c r="B55" s="2">
        <v>41851</v>
      </c>
      <c r="E55" t="s">
        <v>123</v>
      </c>
      <c r="H55" s="63" t="s">
        <v>615</v>
      </c>
      <c r="L55" s="10">
        <v>54</v>
      </c>
      <c r="M55" s="4">
        <v>38771</v>
      </c>
      <c r="N55" s="11">
        <v>54</v>
      </c>
      <c r="O55" s="4">
        <v>39136</v>
      </c>
      <c r="P55" s="11">
        <v>54</v>
      </c>
      <c r="Q55" s="4">
        <v>39501</v>
      </c>
      <c r="R55" s="11">
        <v>54</v>
      </c>
      <c r="S55" s="4">
        <v>39867</v>
      </c>
      <c r="T55" s="11">
        <v>54</v>
      </c>
      <c r="U55" s="4">
        <v>40232</v>
      </c>
      <c r="V55" s="11">
        <v>54</v>
      </c>
      <c r="W55" s="4">
        <v>40597</v>
      </c>
      <c r="X55" s="12">
        <v>54</v>
      </c>
      <c r="Y55" s="4">
        <v>40962</v>
      </c>
    </row>
    <row r="56" spans="1:25" x14ac:dyDescent="0.25">
      <c r="A56">
        <v>213</v>
      </c>
      <c r="B56" s="2">
        <v>41852</v>
      </c>
      <c r="E56" t="s">
        <v>124</v>
      </c>
      <c r="H56" s="63" t="s">
        <v>616</v>
      </c>
      <c r="L56" s="10">
        <v>55</v>
      </c>
      <c r="M56" s="4">
        <v>38772</v>
      </c>
      <c r="N56" s="11">
        <v>55</v>
      </c>
      <c r="O56" s="4">
        <v>39137</v>
      </c>
      <c r="P56" s="11">
        <v>55</v>
      </c>
      <c r="Q56" s="4">
        <v>39502</v>
      </c>
      <c r="R56" s="11">
        <v>55</v>
      </c>
      <c r="S56" s="4">
        <v>39868</v>
      </c>
      <c r="T56" s="11">
        <v>55</v>
      </c>
      <c r="U56" s="4">
        <v>40233</v>
      </c>
      <c r="V56" s="11">
        <v>55</v>
      </c>
      <c r="W56" s="4">
        <v>40598</v>
      </c>
      <c r="X56" s="12">
        <v>55</v>
      </c>
      <c r="Y56" s="4">
        <v>40963</v>
      </c>
    </row>
    <row r="57" spans="1:25" x14ac:dyDescent="0.25">
      <c r="A57">
        <v>214</v>
      </c>
      <c r="B57" s="2">
        <v>41853</v>
      </c>
      <c r="E57" t="s">
        <v>125</v>
      </c>
      <c r="H57" s="63" t="s">
        <v>617</v>
      </c>
      <c r="L57" s="10">
        <v>56</v>
      </c>
      <c r="M57" s="4">
        <v>38773</v>
      </c>
      <c r="N57" s="11">
        <v>56</v>
      </c>
      <c r="O57" s="4">
        <v>39138</v>
      </c>
      <c r="P57" s="11">
        <v>56</v>
      </c>
      <c r="Q57" s="4">
        <v>39503</v>
      </c>
      <c r="R57" s="11">
        <v>56</v>
      </c>
      <c r="S57" s="4">
        <v>39869</v>
      </c>
      <c r="T57" s="11">
        <v>56</v>
      </c>
      <c r="U57" s="4">
        <v>40234</v>
      </c>
      <c r="V57" s="11">
        <v>56</v>
      </c>
      <c r="W57" s="4">
        <v>40599</v>
      </c>
      <c r="X57" s="12">
        <v>56</v>
      </c>
      <c r="Y57" s="4">
        <v>40964</v>
      </c>
    </row>
    <row r="58" spans="1:25" x14ac:dyDescent="0.25">
      <c r="A58">
        <v>215</v>
      </c>
      <c r="B58" s="2">
        <v>41854</v>
      </c>
      <c r="E58" t="s">
        <v>126</v>
      </c>
      <c r="H58" s="63" t="s">
        <v>618</v>
      </c>
      <c r="L58" s="10">
        <v>57</v>
      </c>
      <c r="M58" s="4">
        <v>38774</v>
      </c>
      <c r="N58" s="11">
        <v>57</v>
      </c>
      <c r="O58" s="4">
        <v>39139</v>
      </c>
      <c r="P58" s="11">
        <v>57</v>
      </c>
      <c r="Q58" s="4">
        <v>39504</v>
      </c>
      <c r="R58" s="11">
        <v>57</v>
      </c>
      <c r="S58" s="4">
        <v>39870</v>
      </c>
      <c r="T58" s="11">
        <v>57</v>
      </c>
      <c r="U58" s="4">
        <v>40235</v>
      </c>
      <c r="V58" s="11">
        <v>57</v>
      </c>
      <c r="W58" s="4">
        <v>40600</v>
      </c>
      <c r="X58" s="12">
        <v>57</v>
      </c>
      <c r="Y58" s="4">
        <v>40965</v>
      </c>
    </row>
    <row r="59" spans="1:25" x14ac:dyDescent="0.25">
      <c r="A59">
        <v>216</v>
      </c>
      <c r="B59" s="2">
        <v>41855</v>
      </c>
      <c r="E59" t="s">
        <v>127</v>
      </c>
      <c r="H59" s="63" t="s">
        <v>619</v>
      </c>
      <c r="L59" s="10">
        <v>58</v>
      </c>
      <c r="M59" s="4">
        <v>38775</v>
      </c>
      <c r="N59" s="11">
        <v>58</v>
      </c>
      <c r="O59" s="4">
        <v>39140</v>
      </c>
      <c r="P59" s="11">
        <v>58</v>
      </c>
      <c r="Q59" s="4">
        <v>39505</v>
      </c>
      <c r="R59" s="11">
        <v>58</v>
      </c>
      <c r="S59" s="4">
        <v>39871</v>
      </c>
      <c r="T59" s="11">
        <v>58</v>
      </c>
      <c r="U59" s="4">
        <v>40236</v>
      </c>
      <c r="V59" s="11">
        <v>58</v>
      </c>
      <c r="W59" s="4">
        <v>40601</v>
      </c>
      <c r="X59" s="12">
        <v>58</v>
      </c>
      <c r="Y59" s="4">
        <v>40966</v>
      </c>
    </row>
    <row r="60" spans="1:25" x14ac:dyDescent="0.25">
      <c r="A60">
        <v>217</v>
      </c>
      <c r="B60" s="2">
        <v>41856</v>
      </c>
      <c r="E60" t="s">
        <v>128</v>
      </c>
      <c r="H60" s="63" t="s">
        <v>620</v>
      </c>
      <c r="L60" s="10">
        <v>59</v>
      </c>
      <c r="M60" s="4">
        <v>38776</v>
      </c>
      <c r="N60" s="11">
        <v>59</v>
      </c>
      <c r="O60" s="4">
        <v>39141</v>
      </c>
      <c r="P60" s="11">
        <v>59</v>
      </c>
      <c r="Q60" s="4">
        <v>39506</v>
      </c>
      <c r="R60" s="11">
        <v>59</v>
      </c>
      <c r="S60" s="4">
        <v>39872</v>
      </c>
      <c r="T60" s="11">
        <v>59</v>
      </c>
      <c r="U60" s="4">
        <v>40237</v>
      </c>
      <c r="V60" s="11">
        <v>59</v>
      </c>
      <c r="W60" s="4">
        <v>40602</v>
      </c>
      <c r="X60" s="12">
        <v>59</v>
      </c>
      <c r="Y60" s="4">
        <v>40967</v>
      </c>
    </row>
    <row r="61" spans="1:25" x14ac:dyDescent="0.25">
      <c r="A61">
        <v>218</v>
      </c>
      <c r="B61" s="2">
        <v>41857</v>
      </c>
      <c r="E61" t="s">
        <v>129</v>
      </c>
      <c r="H61" s="63" t="s">
        <v>621</v>
      </c>
      <c r="L61" s="10">
        <v>60</v>
      </c>
      <c r="M61" s="4">
        <v>38777</v>
      </c>
      <c r="N61" s="11">
        <v>60</v>
      </c>
      <c r="O61" s="4">
        <v>39142</v>
      </c>
      <c r="P61" s="11">
        <v>60</v>
      </c>
      <c r="Q61" s="4">
        <v>39507</v>
      </c>
      <c r="R61" s="11">
        <v>60</v>
      </c>
      <c r="S61" s="4">
        <v>39873</v>
      </c>
      <c r="T61" s="11">
        <v>60</v>
      </c>
      <c r="U61" s="4">
        <v>40238</v>
      </c>
      <c r="V61" s="11">
        <v>60</v>
      </c>
      <c r="W61" s="4">
        <v>40603</v>
      </c>
      <c r="X61" s="12">
        <v>60</v>
      </c>
      <c r="Y61" s="4">
        <v>40968</v>
      </c>
    </row>
    <row r="62" spans="1:25" x14ac:dyDescent="0.25">
      <c r="A62">
        <v>219</v>
      </c>
      <c r="B62" s="2">
        <v>41858</v>
      </c>
      <c r="E62" t="s">
        <v>130</v>
      </c>
      <c r="H62" s="63" t="s">
        <v>307</v>
      </c>
      <c r="L62" s="10">
        <v>61</v>
      </c>
      <c r="M62" s="4">
        <v>38778</v>
      </c>
      <c r="N62" s="11">
        <v>61</v>
      </c>
      <c r="O62" s="4">
        <v>39143</v>
      </c>
      <c r="P62" s="11">
        <v>61</v>
      </c>
      <c r="Q62" s="4">
        <v>39508</v>
      </c>
      <c r="R62" s="11">
        <v>61</v>
      </c>
      <c r="S62" s="4">
        <v>39874</v>
      </c>
      <c r="T62" s="11">
        <v>61</v>
      </c>
      <c r="U62" s="4">
        <v>40239</v>
      </c>
      <c r="V62" s="11">
        <v>61</v>
      </c>
      <c r="W62" s="4">
        <v>40604</v>
      </c>
      <c r="X62" s="12">
        <v>61</v>
      </c>
      <c r="Y62" s="4">
        <v>40969</v>
      </c>
    </row>
    <row r="63" spans="1:25" x14ac:dyDescent="0.25">
      <c r="A63">
        <v>220</v>
      </c>
      <c r="B63" s="2">
        <v>41859</v>
      </c>
      <c r="E63" t="s">
        <v>131</v>
      </c>
      <c r="H63" s="63" t="s">
        <v>622</v>
      </c>
      <c r="L63" s="10">
        <v>62</v>
      </c>
      <c r="M63" s="4">
        <v>38779</v>
      </c>
      <c r="N63" s="11">
        <v>62</v>
      </c>
      <c r="O63" s="4">
        <v>39144</v>
      </c>
      <c r="P63" s="11">
        <v>62</v>
      </c>
      <c r="Q63" s="4">
        <v>39509</v>
      </c>
      <c r="R63" s="11">
        <v>62</v>
      </c>
      <c r="S63" s="4">
        <v>39875</v>
      </c>
      <c r="T63" s="11">
        <v>62</v>
      </c>
      <c r="U63" s="4">
        <v>40240</v>
      </c>
      <c r="V63" s="11">
        <v>62</v>
      </c>
      <c r="W63" s="4">
        <v>40605</v>
      </c>
      <c r="X63" s="12">
        <v>62</v>
      </c>
      <c r="Y63" s="4">
        <v>40970</v>
      </c>
    </row>
    <row r="64" spans="1:25" x14ac:dyDescent="0.25">
      <c r="A64">
        <v>221</v>
      </c>
      <c r="B64" s="2">
        <v>41860</v>
      </c>
      <c r="E64" t="s">
        <v>132</v>
      </c>
      <c r="H64" s="63" t="s">
        <v>623</v>
      </c>
      <c r="L64" s="10">
        <v>63</v>
      </c>
      <c r="M64" s="4">
        <v>38780</v>
      </c>
      <c r="N64" s="11">
        <v>63</v>
      </c>
      <c r="O64" s="4">
        <v>39145</v>
      </c>
      <c r="P64" s="11">
        <v>63</v>
      </c>
      <c r="Q64" s="4">
        <v>39510</v>
      </c>
      <c r="R64" s="11">
        <v>63</v>
      </c>
      <c r="S64" s="4">
        <v>39876</v>
      </c>
      <c r="T64" s="11">
        <v>63</v>
      </c>
      <c r="U64" s="4">
        <v>40241</v>
      </c>
      <c r="V64" s="11">
        <v>63</v>
      </c>
      <c r="W64" s="4">
        <v>40606</v>
      </c>
      <c r="X64" s="12">
        <v>63</v>
      </c>
      <c r="Y64" s="4">
        <v>40971</v>
      </c>
    </row>
    <row r="65" spans="1:25" x14ac:dyDescent="0.25">
      <c r="A65">
        <v>222</v>
      </c>
      <c r="B65" s="2">
        <v>41861</v>
      </c>
      <c r="E65" t="s">
        <v>133</v>
      </c>
      <c r="H65" s="63" t="s">
        <v>624</v>
      </c>
      <c r="L65" s="10">
        <v>64</v>
      </c>
      <c r="M65" s="4">
        <v>38781</v>
      </c>
      <c r="N65" s="11">
        <v>64</v>
      </c>
      <c r="O65" s="4">
        <v>39146</v>
      </c>
      <c r="P65" s="11">
        <v>64</v>
      </c>
      <c r="Q65" s="4">
        <v>39511</v>
      </c>
      <c r="R65" s="11">
        <v>64</v>
      </c>
      <c r="S65" s="4">
        <v>39877</v>
      </c>
      <c r="T65" s="11">
        <v>64</v>
      </c>
      <c r="U65" s="4">
        <v>40242</v>
      </c>
      <c r="V65" s="11">
        <v>64</v>
      </c>
      <c r="W65" s="4">
        <v>40607</v>
      </c>
      <c r="X65" s="12">
        <v>64</v>
      </c>
      <c r="Y65" s="4">
        <v>40972</v>
      </c>
    </row>
    <row r="66" spans="1:25" x14ac:dyDescent="0.25">
      <c r="A66">
        <v>223</v>
      </c>
      <c r="B66" s="2">
        <v>41862</v>
      </c>
      <c r="E66" t="s">
        <v>134</v>
      </c>
      <c r="H66" s="63" t="s">
        <v>625</v>
      </c>
      <c r="L66" s="10">
        <v>65</v>
      </c>
      <c r="M66" s="4">
        <v>38782</v>
      </c>
      <c r="N66" s="11">
        <v>65</v>
      </c>
      <c r="O66" s="4">
        <v>39147</v>
      </c>
      <c r="P66" s="11">
        <v>65</v>
      </c>
      <c r="Q66" s="4">
        <v>39512</v>
      </c>
      <c r="R66" s="11">
        <v>65</v>
      </c>
      <c r="S66" s="4">
        <v>39878</v>
      </c>
      <c r="T66" s="11">
        <v>65</v>
      </c>
      <c r="U66" s="4">
        <v>40243</v>
      </c>
      <c r="V66" s="11">
        <v>65</v>
      </c>
      <c r="W66" s="4">
        <v>40608</v>
      </c>
      <c r="X66" s="12">
        <v>65</v>
      </c>
      <c r="Y66" s="4">
        <v>40973</v>
      </c>
    </row>
    <row r="67" spans="1:25" x14ac:dyDescent="0.25">
      <c r="A67">
        <v>224</v>
      </c>
      <c r="B67" s="2">
        <v>41863</v>
      </c>
      <c r="E67" t="s">
        <v>135</v>
      </c>
      <c r="H67" s="63" t="s">
        <v>626</v>
      </c>
      <c r="L67" s="10">
        <v>66</v>
      </c>
      <c r="M67" s="4">
        <v>38783</v>
      </c>
      <c r="N67" s="11">
        <v>66</v>
      </c>
      <c r="O67" s="4">
        <v>39148</v>
      </c>
      <c r="P67" s="11">
        <v>66</v>
      </c>
      <c r="Q67" s="4">
        <v>39513</v>
      </c>
      <c r="R67" s="11">
        <v>66</v>
      </c>
      <c r="S67" s="4">
        <v>39879</v>
      </c>
      <c r="T67" s="11">
        <v>66</v>
      </c>
      <c r="U67" s="4">
        <v>40244</v>
      </c>
      <c r="V67" s="11">
        <v>66</v>
      </c>
      <c r="W67" s="4">
        <v>40609</v>
      </c>
      <c r="X67" s="12">
        <v>66</v>
      </c>
      <c r="Y67" s="4">
        <v>40974</v>
      </c>
    </row>
    <row r="68" spans="1:25" x14ac:dyDescent="0.25">
      <c r="A68">
        <v>225</v>
      </c>
      <c r="B68" s="2">
        <v>41864</v>
      </c>
      <c r="E68" t="s">
        <v>136</v>
      </c>
      <c r="H68" s="63" t="s">
        <v>627</v>
      </c>
      <c r="L68" s="10">
        <v>67</v>
      </c>
      <c r="M68" s="4">
        <v>38784</v>
      </c>
      <c r="N68" s="11">
        <v>67</v>
      </c>
      <c r="O68" s="4">
        <v>39149</v>
      </c>
      <c r="P68" s="11">
        <v>67</v>
      </c>
      <c r="Q68" s="4">
        <v>39514</v>
      </c>
      <c r="R68" s="11">
        <v>67</v>
      </c>
      <c r="S68" s="4">
        <v>39880</v>
      </c>
      <c r="T68" s="11">
        <v>67</v>
      </c>
      <c r="U68" s="4">
        <v>40245</v>
      </c>
      <c r="V68" s="11">
        <v>67</v>
      </c>
      <c r="W68" s="4">
        <v>40610</v>
      </c>
      <c r="X68" s="12">
        <v>67</v>
      </c>
      <c r="Y68" s="4">
        <v>40975</v>
      </c>
    </row>
    <row r="69" spans="1:25" x14ac:dyDescent="0.25">
      <c r="A69">
        <v>226</v>
      </c>
      <c r="B69" s="2">
        <v>41865</v>
      </c>
      <c r="E69" t="s">
        <v>137</v>
      </c>
      <c r="H69" s="63" t="s">
        <v>628</v>
      </c>
      <c r="L69" s="10">
        <v>68</v>
      </c>
      <c r="M69" s="4">
        <v>38785</v>
      </c>
      <c r="N69" s="11">
        <v>68</v>
      </c>
      <c r="O69" s="4">
        <v>39150</v>
      </c>
      <c r="P69" s="11">
        <v>68</v>
      </c>
      <c r="Q69" s="4">
        <v>39515</v>
      </c>
      <c r="R69" s="11">
        <v>68</v>
      </c>
      <c r="S69" s="4">
        <v>39881</v>
      </c>
      <c r="T69" s="11">
        <v>68</v>
      </c>
      <c r="U69" s="4">
        <v>40246</v>
      </c>
      <c r="V69" s="11">
        <v>68</v>
      </c>
      <c r="W69" s="4">
        <v>40611</v>
      </c>
      <c r="X69" s="12">
        <v>68</v>
      </c>
      <c r="Y69" s="4">
        <v>40976</v>
      </c>
    </row>
    <row r="70" spans="1:25" x14ac:dyDescent="0.25">
      <c r="A70">
        <v>227</v>
      </c>
      <c r="B70" s="2">
        <v>41866</v>
      </c>
      <c r="E70" t="s">
        <v>138</v>
      </c>
      <c r="H70" s="63" t="s">
        <v>629</v>
      </c>
      <c r="L70" s="10">
        <v>69</v>
      </c>
      <c r="M70" s="4">
        <v>38786</v>
      </c>
      <c r="N70" s="11">
        <v>69</v>
      </c>
      <c r="O70" s="4">
        <v>39151</v>
      </c>
      <c r="P70" s="11">
        <v>69</v>
      </c>
      <c r="Q70" s="4">
        <v>39516</v>
      </c>
      <c r="R70" s="11">
        <v>69</v>
      </c>
      <c r="S70" s="4">
        <v>39882</v>
      </c>
      <c r="T70" s="11">
        <v>69</v>
      </c>
      <c r="U70" s="4">
        <v>40247</v>
      </c>
      <c r="V70" s="11">
        <v>69</v>
      </c>
      <c r="W70" s="4">
        <v>40612</v>
      </c>
      <c r="X70" s="12">
        <v>69</v>
      </c>
      <c r="Y70" s="4">
        <v>40977</v>
      </c>
    </row>
    <row r="71" spans="1:25" x14ac:dyDescent="0.25">
      <c r="A71">
        <v>228</v>
      </c>
      <c r="B71" s="2">
        <v>41867</v>
      </c>
      <c r="E71" t="s">
        <v>139</v>
      </c>
      <c r="H71" s="63" t="s">
        <v>630</v>
      </c>
      <c r="L71" s="10">
        <v>70</v>
      </c>
      <c r="M71" s="4">
        <v>38787</v>
      </c>
      <c r="N71" s="11">
        <v>70</v>
      </c>
      <c r="O71" s="4">
        <v>39152</v>
      </c>
      <c r="P71" s="11">
        <v>70</v>
      </c>
      <c r="Q71" s="4">
        <v>39517</v>
      </c>
      <c r="R71" s="11">
        <v>70</v>
      </c>
      <c r="S71" s="4">
        <v>39883</v>
      </c>
      <c r="T71" s="11">
        <v>70</v>
      </c>
      <c r="U71" s="4">
        <v>40248</v>
      </c>
      <c r="V71" s="11">
        <v>70</v>
      </c>
      <c r="W71" s="4">
        <v>40613</v>
      </c>
      <c r="X71" s="12">
        <v>70</v>
      </c>
      <c r="Y71" s="4">
        <v>40978</v>
      </c>
    </row>
    <row r="72" spans="1:25" x14ac:dyDescent="0.25">
      <c r="A72">
        <v>229</v>
      </c>
      <c r="B72" s="2">
        <v>41868</v>
      </c>
      <c r="E72" t="s">
        <v>140</v>
      </c>
      <c r="H72" s="63" t="s">
        <v>631</v>
      </c>
      <c r="L72" s="10">
        <v>71</v>
      </c>
      <c r="M72" s="4">
        <v>38788</v>
      </c>
      <c r="N72" s="11">
        <v>71</v>
      </c>
      <c r="O72" s="4">
        <v>39153</v>
      </c>
      <c r="P72" s="11">
        <v>71</v>
      </c>
      <c r="Q72" s="4">
        <v>39518</v>
      </c>
      <c r="R72" s="11">
        <v>71</v>
      </c>
      <c r="S72" s="4">
        <v>39884</v>
      </c>
      <c r="T72" s="11">
        <v>71</v>
      </c>
      <c r="U72" s="4">
        <v>40249</v>
      </c>
      <c r="V72" s="11">
        <v>71</v>
      </c>
      <c r="W72" s="4">
        <v>40614</v>
      </c>
      <c r="X72" s="12">
        <v>71</v>
      </c>
      <c r="Y72" s="4">
        <v>40979</v>
      </c>
    </row>
    <row r="73" spans="1:25" x14ac:dyDescent="0.25">
      <c r="A73">
        <v>230</v>
      </c>
      <c r="B73" s="2">
        <v>41869</v>
      </c>
      <c r="E73" t="s">
        <v>141</v>
      </c>
      <c r="H73" s="63" t="s">
        <v>632</v>
      </c>
      <c r="L73" s="10">
        <v>72</v>
      </c>
      <c r="M73" s="4">
        <v>38789</v>
      </c>
      <c r="N73" s="11">
        <v>72</v>
      </c>
      <c r="O73" s="4">
        <v>39154</v>
      </c>
      <c r="P73" s="11">
        <v>72</v>
      </c>
      <c r="Q73" s="4">
        <v>39519</v>
      </c>
      <c r="R73" s="11">
        <v>72</v>
      </c>
      <c r="S73" s="4">
        <v>39885</v>
      </c>
      <c r="T73" s="11">
        <v>72</v>
      </c>
      <c r="U73" s="4">
        <v>40250</v>
      </c>
      <c r="V73" s="11">
        <v>72</v>
      </c>
      <c r="W73" s="4">
        <v>40615</v>
      </c>
      <c r="X73" s="12">
        <v>72</v>
      </c>
      <c r="Y73" s="4">
        <v>40980</v>
      </c>
    </row>
    <row r="74" spans="1:25" x14ac:dyDescent="0.25">
      <c r="E74" t="s">
        <v>142</v>
      </c>
      <c r="H74" s="63" t="s">
        <v>633</v>
      </c>
      <c r="L74" s="10">
        <v>73</v>
      </c>
      <c r="M74" s="4">
        <v>38790</v>
      </c>
      <c r="N74" s="11">
        <v>73</v>
      </c>
      <c r="O74" s="4">
        <v>39155</v>
      </c>
      <c r="P74" s="11">
        <v>73</v>
      </c>
      <c r="Q74" s="4">
        <v>39520</v>
      </c>
      <c r="R74" s="11">
        <v>73</v>
      </c>
      <c r="S74" s="4">
        <v>39886</v>
      </c>
      <c r="T74" s="11">
        <v>73</v>
      </c>
      <c r="U74" s="4">
        <v>40251</v>
      </c>
      <c r="V74" s="11">
        <v>73</v>
      </c>
      <c r="W74" s="4">
        <v>40616</v>
      </c>
      <c r="X74" s="12">
        <v>73</v>
      </c>
      <c r="Y74" s="4">
        <v>40981</v>
      </c>
    </row>
    <row r="75" spans="1:25" x14ac:dyDescent="0.25">
      <c r="E75" t="s">
        <v>143</v>
      </c>
      <c r="H75" s="63" t="s">
        <v>634</v>
      </c>
      <c r="L75" s="10">
        <v>74</v>
      </c>
      <c r="M75" s="4">
        <v>38791</v>
      </c>
      <c r="N75" s="11">
        <v>74</v>
      </c>
      <c r="O75" s="4">
        <v>39156</v>
      </c>
      <c r="P75" s="11">
        <v>74</v>
      </c>
      <c r="Q75" s="4">
        <v>39521</v>
      </c>
      <c r="R75" s="11">
        <v>74</v>
      </c>
      <c r="S75" s="4">
        <v>39887</v>
      </c>
      <c r="T75" s="11">
        <v>74</v>
      </c>
      <c r="U75" s="4">
        <v>40252</v>
      </c>
      <c r="V75" s="11">
        <v>74</v>
      </c>
      <c r="W75" s="4">
        <v>40617</v>
      </c>
      <c r="X75" s="12">
        <v>74</v>
      </c>
      <c r="Y75" s="4">
        <v>40982</v>
      </c>
    </row>
    <row r="76" spans="1:25" x14ac:dyDescent="0.25">
      <c r="E76" t="s">
        <v>144</v>
      </c>
      <c r="H76" s="63" t="s">
        <v>635</v>
      </c>
      <c r="L76" s="10">
        <v>75</v>
      </c>
      <c r="M76" s="4">
        <v>38792</v>
      </c>
      <c r="N76" s="11">
        <v>75</v>
      </c>
      <c r="O76" s="4">
        <v>39157</v>
      </c>
      <c r="P76" s="11">
        <v>75</v>
      </c>
      <c r="Q76" s="4">
        <v>39522</v>
      </c>
      <c r="R76" s="11">
        <v>75</v>
      </c>
      <c r="S76" s="4">
        <v>39888</v>
      </c>
      <c r="T76" s="11">
        <v>75</v>
      </c>
      <c r="U76" s="4">
        <v>40253</v>
      </c>
      <c r="V76" s="11">
        <v>75</v>
      </c>
      <c r="W76" s="4">
        <v>40618</v>
      </c>
      <c r="X76" s="12">
        <v>75</v>
      </c>
      <c r="Y76" s="4">
        <v>40983</v>
      </c>
    </row>
    <row r="77" spans="1:25" x14ac:dyDescent="0.25">
      <c r="E77" t="s">
        <v>145</v>
      </c>
      <c r="H77" s="63" t="s">
        <v>636</v>
      </c>
      <c r="L77" s="10">
        <v>76</v>
      </c>
      <c r="M77" s="4">
        <v>38793</v>
      </c>
      <c r="N77" s="11">
        <v>76</v>
      </c>
      <c r="O77" s="4">
        <v>39158</v>
      </c>
      <c r="P77" s="11">
        <v>76</v>
      </c>
      <c r="Q77" s="4">
        <v>39523</v>
      </c>
      <c r="R77" s="11">
        <v>76</v>
      </c>
      <c r="S77" s="4">
        <v>39889</v>
      </c>
      <c r="T77" s="11">
        <v>76</v>
      </c>
      <c r="U77" s="4">
        <v>40254</v>
      </c>
      <c r="V77" s="11">
        <v>76</v>
      </c>
      <c r="W77" s="4">
        <v>40619</v>
      </c>
      <c r="X77" s="12">
        <v>76</v>
      </c>
      <c r="Y77" s="4">
        <v>40984</v>
      </c>
    </row>
    <row r="78" spans="1:25" x14ac:dyDescent="0.25">
      <c r="E78" t="s">
        <v>146</v>
      </c>
      <c r="H78" s="63" t="s">
        <v>637</v>
      </c>
      <c r="L78" s="10">
        <v>77</v>
      </c>
      <c r="M78" s="4">
        <v>38794</v>
      </c>
      <c r="N78" s="11">
        <v>77</v>
      </c>
      <c r="O78" s="4">
        <v>39159</v>
      </c>
      <c r="P78" s="11">
        <v>77</v>
      </c>
      <c r="Q78" s="4">
        <v>39524</v>
      </c>
      <c r="R78" s="11">
        <v>77</v>
      </c>
      <c r="S78" s="4">
        <v>39890</v>
      </c>
      <c r="T78" s="11">
        <v>77</v>
      </c>
      <c r="U78" s="4">
        <v>40255</v>
      </c>
      <c r="V78" s="11">
        <v>77</v>
      </c>
      <c r="W78" s="4">
        <v>40620</v>
      </c>
      <c r="X78" s="12">
        <v>77</v>
      </c>
      <c r="Y78" s="4">
        <v>40985</v>
      </c>
    </row>
    <row r="79" spans="1:25" x14ac:dyDescent="0.25">
      <c r="E79" t="s">
        <v>147</v>
      </c>
      <c r="H79" s="63" t="s">
        <v>638</v>
      </c>
      <c r="L79" s="10">
        <v>78</v>
      </c>
      <c r="M79" s="4">
        <v>38795</v>
      </c>
      <c r="N79" s="11">
        <v>78</v>
      </c>
      <c r="O79" s="4">
        <v>39160</v>
      </c>
      <c r="P79" s="11">
        <v>78</v>
      </c>
      <c r="Q79" s="4">
        <v>39525</v>
      </c>
      <c r="R79" s="11">
        <v>78</v>
      </c>
      <c r="S79" s="4">
        <v>39891</v>
      </c>
      <c r="T79" s="11">
        <v>78</v>
      </c>
      <c r="U79" s="4">
        <v>40256</v>
      </c>
      <c r="V79" s="11">
        <v>78</v>
      </c>
      <c r="W79" s="4">
        <v>40621</v>
      </c>
      <c r="X79" s="12">
        <v>78</v>
      </c>
      <c r="Y79" s="4">
        <v>40986</v>
      </c>
    </row>
    <row r="80" spans="1:25" x14ac:dyDescent="0.25">
      <c r="E80" t="s">
        <v>148</v>
      </c>
      <c r="H80" s="63" t="s">
        <v>639</v>
      </c>
      <c r="L80" s="10">
        <v>79</v>
      </c>
      <c r="M80" s="4">
        <v>38796</v>
      </c>
      <c r="N80" s="11">
        <v>79</v>
      </c>
      <c r="O80" s="4">
        <v>39161</v>
      </c>
      <c r="P80" s="11">
        <v>79</v>
      </c>
      <c r="Q80" s="4">
        <v>39526</v>
      </c>
      <c r="R80" s="11">
        <v>79</v>
      </c>
      <c r="S80" s="4">
        <v>39892</v>
      </c>
      <c r="T80" s="11">
        <v>79</v>
      </c>
      <c r="U80" s="4">
        <v>40257</v>
      </c>
      <c r="V80" s="11">
        <v>79</v>
      </c>
      <c r="W80" s="4">
        <v>40622</v>
      </c>
      <c r="X80" s="12">
        <v>79</v>
      </c>
      <c r="Y80" s="4">
        <v>40987</v>
      </c>
    </row>
    <row r="81" spans="5:25" x14ac:dyDescent="0.25">
      <c r="E81" t="s">
        <v>149</v>
      </c>
      <c r="H81" s="63" t="s">
        <v>640</v>
      </c>
      <c r="L81" s="10">
        <v>80</v>
      </c>
      <c r="M81" s="4">
        <v>38797</v>
      </c>
      <c r="N81" s="11">
        <v>80</v>
      </c>
      <c r="O81" s="4">
        <v>39162</v>
      </c>
      <c r="P81" s="11">
        <v>80</v>
      </c>
      <c r="Q81" s="4">
        <v>39527</v>
      </c>
      <c r="R81" s="11">
        <v>80</v>
      </c>
      <c r="S81" s="4">
        <v>39893</v>
      </c>
      <c r="T81" s="11">
        <v>80</v>
      </c>
      <c r="U81" s="4">
        <v>40258</v>
      </c>
      <c r="V81" s="11">
        <v>80</v>
      </c>
      <c r="W81" s="4">
        <v>40623</v>
      </c>
      <c r="X81" s="12">
        <v>80</v>
      </c>
      <c r="Y81" s="4">
        <v>40988</v>
      </c>
    </row>
    <row r="82" spans="5:25" x14ac:dyDescent="0.25">
      <c r="E82" t="s">
        <v>150</v>
      </c>
      <c r="H82" s="63" t="s">
        <v>641</v>
      </c>
      <c r="L82" s="10">
        <v>81</v>
      </c>
      <c r="M82" s="4">
        <v>38798</v>
      </c>
      <c r="N82" s="11">
        <v>81</v>
      </c>
      <c r="O82" s="4">
        <v>39163</v>
      </c>
      <c r="P82" s="11">
        <v>81</v>
      </c>
      <c r="Q82" s="4">
        <v>39528</v>
      </c>
      <c r="R82" s="11">
        <v>81</v>
      </c>
      <c r="S82" s="4">
        <v>39894</v>
      </c>
      <c r="T82" s="11">
        <v>81</v>
      </c>
      <c r="U82" s="4">
        <v>40259</v>
      </c>
      <c r="V82" s="11">
        <v>81</v>
      </c>
      <c r="W82" s="4">
        <v>40624</v>
      </c>
      <c r="X82" s="12">
        <v>81</v>
      </c>
      <c r="Y82" s="4">
        <v>40989</v>
      </c>
    </row>
    <row r="83" spans="5:25" x14ac:dyDescent="0.25">
      <c r="E83" t="s">
        <v>151</v>
      </c>
      <c r="H83" s="63" t="s">
        <v>642</v>
      </c>
      <c r="L83" s="10">
        <v>82</v>
      </c>
      <c r="M83" s="4">
        <v>38799</v>
      </c>
      <c r="N83" s="11">
        <v>82</v>
      </c>
      <c r="O83" s="4">
        <v>39164</v>
      </c>
      <c r="P83" s="11">
        <v>82</v>
      </c>
      <c r="Q83" s="4">
        <v>39529</v>
      </c>
      <c r="R83" s="11">
        <v>82</v>
      </c>
      <c r="S83" s="4">
        <v>39895</v>
      </c>
      <c r="T83" s="11">
        <v>82</v>
      </c>
      <c r="U83" s="4">
        <v>40260</v>
      </c>
      <c r="V83" s="11">
        <v>82</v>
      </c>
      <c r="W83" s="4">
        <v>40625</v>
      </c>
      <c r="X83" s="12">
        <v>82</v>
      </c>
      <c r="Y83" s="4">
        <v>40990</v>
      </c>
    </row>
    <row r="84" spans="5:25" x14ac:dyDescent="0.25">
      <c r="E84" t="s">
        <v>152</v>
      </c>
      <c r="H84" s="63" t="s">
        <v>643</v>
      </c>
      <c r="L84" s="10">
        <v>83</v>
      </c>
      <c r="M84" s="4">
        <v>38800</v>
      </c>
      <c r="N84" s="11">
        <v>83</v>
      </c>
      <c r="O84" s="4">
        <v>39165</v>
      </c>
      <c r="P84" s="11">
        <v>83</v>
      </c>
      <c r="Q84" s="4">
        <v>39530</v>
      </c>
      <c r="R84" s="11">
        <v>83</v>
      </c>
      <c r="S84" s="4">
        <v>39896</v>
      </c>
      <c r="T84" s="11">
        <v>83</v>
      </c>
      <c r="U84" s="4">
        <v>40261</v>
      </c>
      <c r="V84" s="11">
        <v>83</v>
      </c>
      <c r="W84" s="4">
        <v>40626</v>
      </c>
      <c r="X84" s="12">
        <v>83</v>
      </c>
      <c r="Y84" s="4">
        <v>40991</v>
      </c>
    </row>
    <row r="85" spans="5:25" x14ac:dyDescent="0.25">
      <c r="E85" t="s">
        <v>153</v>
      </c>
      <c r="H85" s="63" t="s">
        <v>644</v>
      </c>
      <c r="L85" s="10">
        <v>84</v>
      </c>
      <c r="M85" s="4">
        <v>38801</v>
      </c>
      <c r="N85" s="11">
        <v>84</v>
      </c>
      <c r="O85" s="4">
        <v>39166</v>
      </c>
      <c r="P85" s="11">
        <v>84</v>
      </c>
      <c r="Q85" s="4">
        <v>39531</v>
      </c>
      <c r="R85" s="11">
        <v>84</v>
      </c>
      <c r="S85" s="4">
        <v>39897</v>
      </c>
      <c r="T85" s="11">
        <v>84</v>
      </c>
      <c r="U85" s="4">
        <v>40262</v>
      </c>
      <c r="V85" s="11">
        <v>84</v>
      </c>
      <c r="W85" s="4">
        <v>40627</v>
      </c>
      <c r="X85" s="12">
        <v>84</v>
      </c>
      <c r="Y85" s="4">
        <v>40992</v>
      </c>
    </row>
    <row r="86" spans="5:25" x14ac:dyDescent="0.25">
      <c r="E86" t="s">
        <v>154</v>
      </c>
      <c r="H86" s="63" t="s">
        <v>645</v>
      </c>
      <c r="L86" s="10">
        <v>85</v>
      </c>
      <c r="M86" s="4">
        <v>38802</v>
      </c>
      <c r="N86" s="11">
        <v>85</v>
      </c>
      <c r="O86" s="4">
        <v>39167</v>
      </c>
      <c r="P86" s="11">
        <v>85</v>
      </c>
      <c r="Q86" s="4">
        <v>39532</v>
      </c>
      <c r="R86" s="11">
        <v>85</v>
      </c>
      <c r="S86" s="4">
        <v>39898</v>
      </c>
      <c r="T86" s="11">
        <v>85</v>
      </c>
      <c r="U86" s="4">
        <v>40263</v>
      </c>
      <c r="V86" s="11">
        <v>85</v>
      </c>
      <c r="W86" s="4">
        <v>40628</v>
      </c>
      <c r="X86" s="12">
        <v>85</v>
      </c>
      <c r="Y86" s="4">
        <v>40993</v>
      </c>
    </row>
    <row r="87" spans="5:25" x14ac:dyDescent="0.25">
      <c r="E87" t="s">
        <v>155</v>
      </c>
      <c r="H87" s="63" t="s">
        <v>646</v>
      </c>
      <c r="L87" s="10">
        <v>86</v>
      </c>
      <c r="M87" s="4">
        <v>38803</v>
      </c>
      <c r="N87" s="11">
        <v>86</v>
      </c>
      <c r="O87" s="4">
        <v>39168</v>
      </c>
      <c r="P87" s="11">
        <v>86</v>
      </c>
      <c r="Q87" s="4">
        <v>39533</v>
      </c>
      <c r="R87" s="11">
        <v>86</v>
      </c>
      <c r="S87" s="4">
        <v>39899</v>
      </c>
      <c r="T87" s="11">
        <v>86</v>
      </c>
      <c r="U87" s="4">
        <v>40264</v>
      </c>
      <c r="V87" s="11">
        <v>86</v>
      </c>
      <c r="W87" s="4">
        <v>40629</v>
      </c>
      <c r="X87" s="12">
        <v>86</v>
      </c>
      <c r="Y87" s="4">
        <v>40994</v>
      </c>
    </row>
    <row r="88" spans="5:25" x14ac:dyDescent="0.25">
      <c r="E88" t="s">
        <v>156</v>
      </c>
      <c r="H88" s="63" t="s">
        <v>647</v>
      </c>
      <c r="L88" s="10">
        <v>87</v>
      </c>
      <c r="M88" s="4">
        <v>38804</v>
      </c>
      <c r="N88" s="11">
        <v>87</v>
      </c>
      <c r="O88" s="4">
        <v>39169</v>
      </c>
      <c r="P88" s="11">
        <v>87</v>
      </c>
      <c r="Q88" s="4">
        <v>39534</v>
      </c>
      <c r="R88" s="11">
        <v>87</v>
      </c>
      <c r="S88" s="4">
        <v>39900</v>
      </c>
      <c r="T88" s="11">
        <v>87</v>
      </c>
      <c r="U88" s="4">
        <v>40265</v>
      </c>
      <c r="V88" s="11">
        <v>87</v>
      </c>
      <c r="W88" s="4">
        <v>40630</v>
      </c>
      <c r="X88" s="12">
        <v>87</v>
      </c>
      <c r="Y88" s="4">
        <v>40995</v>
      </c>
    </row>
    <row r="89" spans="5:25" x14ac:dyDescent="0.25">
      <c r="E89" t="s">
        <v>157</v>
      </c>
      <c r="H89" s="63" t="s">
        <v>648</v>
      </c>
      <c r="L89" s="10">
        <v>88</v>
      </c>
      <c r="M89" s="4">
        <v>38805</v>
      </c>
      <c r="N89" s="11">
        <v>88</v>
      </c>
      <c r="O89" s="4">
        <v>39170</v>
      </c>
      <c r="P89" s="11">
        <v>88</v>
      </c>
      <c r="Q89" s="4">
        <v>39535</v>
      </c>
      <c r="R89" s="11">
        <v>88</v>
      </c>
      <c r="S89" s="4">
        <v>39901</v>
      </c>
      <c r="T89" s="11">
        <v>88</v>
      </c>
      <c r="U89" s="4">
        <v>40266</v>
      </c>
      <c r="V89" s="11">
        <v>88</v>
      </c>
      <c r="W89" s="4">
        <v>40631</v>
      </c>
      <c r="X89" s="12">
        <v>88</v>
      </c>
      <c r="Y89" s="4">
        <v>40996</v>
      </c>
    </row>
    <row r="90" spans="5:25" x14ac:dyDescent="0.25">
      <c r="E90" t="s">
        <v>158</v>
      </c>
      <c r="H90" s="63" t="s">
        <v>649</v>
      </c>
      <c r="L90" s="10">
        <v>89</v>
      </c>
      <c r="M90" s="4">
        <v>38806</v>
      </c>
      <c r="N90" s="11">
        <v>89</v>
      </c>
      <c r="O90" s="4">
        <v>39171</v>
      </c>
      <c r="P90" s="11">
        <v>89</v>
      </c>
      <c r="Q90" s="4">
        <v>39536</v>
      </c>
      <c r="R90" s="11">
        <v>89</v>
      </c>
      <c r="S90" s="4">
        <v>39902</v>
      </c>
      <c r="T90" s="11">
        <v>89</v>
      </c>
      <c r="U90" s="4">
        <v>40267</v>
      </c>
      <c r="V90" s="11">
        <v>89</v>
      </c>
      <c r="W90" s="4">
        <v>40632</v>
      </c>
      <c r="X90" s="12">
        <v>89</v>
      </c>
      <c r="Y90" s="4">
        <v>40997</v>
      </c>
    </row>
    <row r="91" spans="5:25" x14ac:dyDescent="0.25">
      <c r="E91" t="s">
        <v>159</v>
      </c>
      <c r="H91" s="63" t="s">
        <v>650</v>
      </c>
      <c r="L91" s="10">
        <v>90</v>
      </c>
      <c r="M91" s="4">
        <v>38807</v>
      </c>
      <c r="N91" s="11">
        <v>90</v>
      </c>
      <c r="O91" s="4">
        <v>39172</v>
      </c>
      <c r="P91" s="11">
        <v>90</v>
      </c>
      <c r="Q91" s="4">
        <v>39537</v>
      </c>
      <c r="R91" s="11">
        <v>90</v>
      </c>
      <c r="S91" s="4">
        <v>39903</v>
      </c>
      <c r="T91" s="11">
        <v>90</v>
      </c>
      <c r="U91" s="4">
        <v>40268</v>
      </c>
      <c r="V91" s="11">
        <v>90</v>
      </c>
      <c r="W91" s="4">
        <v>40633</v>
      </c>
      <c r="X91" s="12">
        <v>90</v>
      </c>
      <c r="Y91" s="4">
        <v>40998</v>
      </c>
    </row>
    <row r="92" spans="5:25" x14ac:dyDescent="0.25">
      <c r="E92" t="s">
        <v>160</v>
      </c>
      <c r="H92" s="63" t="s">
        <v>651</v>
      </c>
      <c r="L92" s="10">
        <v>91</v>
      </c>
      <c r="M92" s="4">
        <v>38808</v>
      </c>
      <c r="N92" s="11">
        <v>91</v>
      </c>
      <c r="O92" s="4">
        <v>39173</v>
      </c>
      <c r="P92" s="11">
        <v>91</v>
      </c>
      <c r="Q92" s="4">
        <v>39538</v>
      </c>
      <c r="R92" s="11">
        <v>91</v>
      </c>
      <c r="S92" s="4">
        <v>39904</v>
      </c>
      <c r="T92" s="11">
        <v>91</v>
      </c>
      <c r="U92" s="4">
        <v>40269</v>
      </c>
      <c r="V92" s="11">
        <v>91</v>
      </c>
      <c r="W92" s="4">
        <v>40634</v>
      </c>
      <c r="X92" s="12">
        <v>91</v>
      </c>
      <c r="Y92" s="4">
        <v>40999</v>
      </c>
    </row>
    <row r="93" spans="5:25" x14ac:dyDescent="0.25">
      <c r="E93" t="s">
        <v>161</v>
      </c>
      <c r="H93" s="63" t="s">
        <v>652</v>
      </c>
      <c r="L93" s="10">
        <v>92</v>
      </c>
      <c r="M93" s="4">
        <v>38809</v>
      </c>
      <c r="N93" s="11">
        <v>92</v>
      </c>
      <c r="O93" s="4">
        <v>39174</v>
      </c>
      <c r="P93" s="11">
        <v>92</v>
      </c>
      <c r="Q93" s="4">
        <v>39539</v>
      </c>
      <c r="R93" s="11">
        <v>92</v>
      </c>
      <c r="S93" s="4">
        <v>39905</v>
      </c>
      <c r="T93" s="11">
        <v>92</v>
      </c>
      <c r="U93" s="4">
        <v>40270</v>
      </c>
      <c r="V93" s="11">
        <v>92</v>
      </c>
      <c r="W93" s="4">
        <v>40635</v>
      </c>
      <c r="X93" s="12">
        <v>92</v>
      </c>
      <c r="Y93" s="4">
        <v>41000</v>
      </c>
    </row>
    <row r="94" spans="5:25" x14ac:dyDescent="0.25">
      <c r="E94" t="s">
        <v>162</v>
      </c>
      <c r="H94" s="63" t="s">
        <v>653</v>
      </c>
      <c r="L94" s="10">
        <v>93</v>
      </c>
      <c r="M94" s="4">
        <v>38810</v>
      </c>
      <c r="N94" s="11">
        <v>93</v>
      </c>
      <c r="O94" s="4">
        <v>39175</v>
      </c>
      <c r="P94" s="11">
        <v>93</v>
      </c>
      <c r="Q94" s="4">
        <v>39540</v>
      </c>
      <c r="R94" s="11">
        <v>93</v>
      </c>
      <c r="S94" s="4">
        <v>39906</v>
      </c>
      <c r="T94" s="11">
        <v>93</v>
      </c>
      <c r="U94" s="4">
        <v>40271</v>
      </c>
      <c r="V94" s="11">
        <v>93</v>
      </c>
      <c r="W94" s="4">
        <v>40636</v>
      </c>
      <c r="X94" s="12">
        <v>93</v>
      </c>
      <c r="Y94" s="4">
        <v>41001</v>
      </c>
    </row>
    <row r="95" spans="5:25" x14ac:dyDescent="0.25">
      <c r="E95" t="s">
        <v>163</v>
      </c>
      <c r="H95" s="63" t="s">
        <v>654</v>
      </c>
      <c r="L95" s="10">
        <v>94</v>
      </c>
      <c r="M95" s="4">
        <v>38811</v>
      </c>
      <c r="N95" s="11">
        <v>94</v>
      </c>
      <c r="O95" s="4">
        <v>39176</v>
      </c>
      <c r="P95" s="11">
        <v>94</v>
      </c>
      <c r="Q95" s="4">
        <v>39541</v>
      </c>
      <c r="R95" s="11">
        <v>94</v>
      </c>
      <c r="S95" s="4">
        <v>39907</v>
      </c>
      <c r="T95" s="11">
        <v>94</v>
      </c>
      <c r="U95" s="4">
        <v>40272</v>
      </c>
      <c r="V95" s="11">
        <v>94</v>
      </c>
      <c r="W95" s="4">
        <v>40637</v>
      </c>
      <c r="X95" s="12">
        <v>94</v>
      </c>
      <c r="Y95" s="4">
        <v>41002</v>
      </c>
    </row>
    <row r="96" spans="5:25" x14ac:dyDescent="0.25">
      <c r="E96" t="s">
        <v>164</v>
      </c>
      <c r="H96" s="63" t="s">
        <v>655</v>
      </c>
      <c r="L96" s="10">
        <v>95</v>
      </c>
      <c r="M96" s="4">
        <v>38812</v>
      </c>
      <c r="N96" s="11">
        <v>95</v>
      </c>
      <c r="O96" s="4">
        <v>39177</v>
      </c>
      <c r="P96" s="11">
        <v>95</v>
      </c>
      <c r="Q96" s="4">
        <v>39542</v>
      </c>
      <c r="R96" s="11">
        <v>95</v>
      </c>
      <c r="S96" s="4">
        <v>39908</v>
      </c>
      <c r="T96" s="11">
        <v>95</v>
      </c>
      <c r="U96" s="4">
        <v>40273</v>
      </c>
      <c r="V96" s="11">
        <v>95</v>
      </c>
      <c r="W96" s="4">
        <v>40638</v>
      </c>
      <c r="X96" s="12">
        <v>95</v>
      </c>
      <c r="Y96" s="4">
        <v>41003</v>
      </c>
    </row>
    <row r="97" spans="5:25" x14ac:dyDescent="0.25">
      <c r="E97" t="s">
        <v>165</v>
      </c>
      <c r="H97" s="63" t="s">
        <v>656</v>
      </c>
      <c r="L97" s="10">
        <v>96</v>
      </c>
      <c r="M97" s="4">
        <v>38813</v>
      </c>
      <c r="N97" s="11">
        <v>96</v>
      </c>
      <c r="O97" s="4">
        <v>39178</v>
      </c>
      <c r="P97" s="11">
        <v>96</v>
      </c>
      <c r="Q97" s="4">
        <v>39543</v>
      </c>
      <c r="R97" s="11">
        <v>96</v>
      </c>
      <c r="S97" s="4">
        <v>39909</v>
      </c>
      <c r="T97" s="11">
        <v>96</v>
      </c>
      <c r="U97" s="4">
        <v>40274</v>
      </c>
      <c r="V97" s="11">
        <v>96</v>
      </c>
      <c r="W97" s="4">
        <v>40639</v>
      </c>
      <c r="X97" s="12">
        <v>96</v>
      </c>
      <c r="Y97" s="4">
        <v>41004</v>
      </c>
    </row>
    <row r="98" spans="5:25" x14ac:dyDescent="0.25">
      <c r="E98" t="s">
        <v>166</v>
      </c>
      <c r="H98" s="63" t="s">
        <v>657</v>
      </c>
      <c r="L98" s="10">
        <v>97</v>
      </c>
      <c r="M98" s="4">
        <v>38814</v>
      </c>
      <c r="N98" s="11">
        <v>97</v>
      </c>
      <c r="O98" s="4">
        <v>39179</v>
      </c>
      <c r="P98" s="11">
        <v>97</v>
      </c>
      <c r="Q98" s="4">
        <v>39544</v>
      </c>
      <c r="R98" s="11">
        <v>97</v>
      </c>
      <c r="S98" s="4">
        <v>39910</v>
      </c>
      <c r="T98" s="11">
        <v>97</v>
      </c>
      <c r="U98" s="4">
        <v>40275</v>
      </c>
      <c r="V98" s="11">
        <v>97</v>
      </c>
      <c r="W98" s="4">
        <v>40640</v>
      </c>
      <c r="X98" s="12">
        <v>97</v>
      </c>
      <c r="Y98" s="4">
        <v>41005</v>
      </c>
    </row>
    <row r="99" spans="5:25" x14ac:dyDescent="0.25">
      <c r="E99" t="s">
        <v>167</v>
      </c>
      <c r="H99" s="63" t="s">
        <v>658</v>
      </c>
      <c r="L99" s="10">
        <v>98</v>
      </c>
      <c r="M99" s="4">
        <v>38815</v>
      </c>
      <c r="N99" s="11">
        <v>98</v>
      </c>
      <c r="O99" s="4">
        <v>39180</v>
      </c>
      <c r="P99" s="11">
        <v>98</v>
      </c>
      <c r="Q99" s="4">
        <v>39545</v>
      </c>
      <c r="R99" s="11">
        <v>98</v>
      </c>
      <c r="S99" s="4">
        <v>39911</v>
      </c>
      <c r="T99" s="11">
        <v>98</v>
      </c>
      <c r="U99" s="4">
        <v>40276</v>
      </c>
      <c r="V99" s="11">
        <v>98</v>
      </c>
      <c r="W99" s="4">
        <v>40641</v>
      </c>
      <c r="X99" s="12">
        <v>98</v>
      </c>
      <c r="Y99" s="4">
        <v>41006</v>
      </c>
    </row>
    <row r="100" spans="5:25" x14ac:dyDescent="0.25">
      <c r="E100" t="s">
        <v>168</v>
      </c>
      <c r="H100" s="63" t="s">
        <v>659</v>
      </c>
      <c r="L100" s="10">
        <v>99</v>
      </c>
      <c r="M100" s="4">
        <v>38816</v>
      </c>
      <c r="N100" s="11">
        <v>99</v>
      </c>
      <c r="O100" s="4">
        <v>39181</v>
      </c>
      <c r="P100" s="11">
        <v>99</v>
      </c>
      <c r="Q100" s="4">
        <v>39546</v>
      </c>
      <c r="R100" s="11">
        <v>99</v>
      </c>
      <c r="S100" s="4">
        <v>39912</v>
      </c>
      <c r="T100" s="11">
        <v>99</v>
      </c>
      <c r="U100" s="4">
        <v>40277</v>
      </c>
      <c r="V100" s="11">
        <v>99</v>
      </c>
      <c r="W100" s="4">
        <v>40642</v>
      </c>
      <c r="X100" s="12">
        <v>99</v>
      </c>
      <c r="Y100" s="4">
        <v>41007</v>
      </c>
    </row>
    <row r="101" spans="5:25" x14ac:dyDescent="0.25">
      <c r="E101" t="s">
        <v>169</v>
      </c>
      <c r="H101" s="63" t="s">
        <v>660</v>
      </c>
      <c r="L101" s="10">
        <v>100</v>
      </c>
      <c r="M101" s="4">
        <v>38817</v>
      </c>
      <c r="N101" s="11">
        <v>100</v>
      </c>
      <c r="O101" s="4">
        <v>39182</v>
      </c>
      <c r="P101" s="11">
        <v>100</v>
      </c>
      <c r="Q101" s="4">
        <v>39547</v>
      </c>
      <c r="R101" s="11">
        <v>100</v>
      </c>
      <c r="S101" s="4">
        <v>39913</v>
      </c>
      <c r="T101" s="11">
        <v>100</v>
      </c>
      <c r="U101" s="4">
        <v>40278</v>
      </c>
      <c r="V101" s="11">
        <v>100</v>
      </c>
      <c r="W101" s="4">
        <v>40643</v>
      </c>
      <c r="X101" s="12">
        <v>100</v>
      </c>
      <c r="Y101" s="4">
        <v>41008</v>
      </c>
    </row>
    <row r="102" spans="5:25" x14ac:dyDescent="0.25">
      <c r="E102" t="s">
        <v>170</v>
      </c>
      <c r="H102" s="63" t="s">
        <v>661</v>
      </c>
      <c r="L102" s="10">
        <v>101</v>
      </c>
      <c r="M102" s="4">
        <v>38818</v>
      </c>
      <c r="N102" s="11">
        <v>101</v>
      </c>
      <c r="O102" s="4">
        <v>39183</v>
      </c>
      <c r="P102" s="11">
        <v>101</v>
      </c>
      <c r="Q102" s="4">
        <v>39548</v>
      </c>
      <c r="R102" s="11">
        <v>101</v>
      </c>
      <c r="S102" s="4">
        <v>39914</v>
      </c>
      <c r="T102" s="11">
        <v>101</v>
      </c>
      <c r="U102" s="4">
        <v>40279</v>
      </c>
      <c r="V102" s="11">
        <v>101</v>
      </c>
      <c r="W102" s="4">
        <v>40644</v>
      </c>
      <c r="X102" s="12">
        <v>101</v>
      </c>
      <c r="Y102" s="4">
        <v>41009</v>
      </c>
    </row>
    <row r="103" spans="5:25" x14ac:dyDescent="0.25">
      <c r="E103" t="s">
        <v>171</v>
      </c>
      <c r="H103" s="63" t="s">
        <v>662</v>
      </c>
      <c r="L103" s="10">
        <v>102</v>
      </c>
      <c r="M103" s="4">
        <v>38819</v>
      </c>
      <c r="N103" s="11">
        <v>102</v>
      </c>
      <c r="O103" s="4">
        <v>39184</v>
      </c>
      <c r="P103" s="11">
        <v>102</v>
      </c>
      <c r="Q103" s="4">
        <v>39549</v>
      </c>
      <c r="R103" s="11">
        <v>102</v>
      </c>
      <c r="S103" s="4">
        <v>39915</v>
      </c>
      <c r="T103" s="11">
        <v>102</v>
      </c>
      <c r="U103" s="4">
        <v>40280</v>
      </c>
      <c r="V103" s="11">
        <v>102</v>
      </c>
      <c r="W103" s="4">
        <v>40645</v>
      </c>
      <c r="X103" s="12">
        <v>102</v>
      </c>
      <c r="Y103" s="4">
        <v>41010</v>
      </c>
    </row>
    <row r="104" spans="5:25" x14ac:dyDescent="0.25">
      <c r="E104" t="s">
        <v>172</v>
      </c>
      <c r="H104" s="63" t="s">
        <v>663</v>
      </c>
      <c r="L104" s="10">
        <v>103</v>
      </c>
      <c r="M104" s="4">
        <v>38820</v>
      </c>
      <c r="N104" s="11">
        <v>103</v>
      </c>
      <c r="O104" s="4">
        <v>39185</v>
      </c>
      <c r="P104" s="11">
        <v>103</v>
      </c>
      <c r="Q104" s="4">
        <v>39550</v>
      </c>
      <c r="R104" s="11">
        <v>103</v>
      </c>
      <c r="S104" s="4">
        <v>39916</v>
      </c>
      <c r="T104" s="11">
        <v>103</v>
      </c>
      <c r="U104" s="4">
        <v>40281</v>
      </c>
      <c r="V104" s="11">
        <v>103</v>
      </c>
      <c r="W104" s="4">
        <v>40646</v>
      </c>
      <c r="X104" s="12">
        <v>103</v>
      </c>
      <c r="Y104" s="4">
        <v>41011</v>
      </c>
    </row>
    <row r="105" spans="5:25" x14ac:dyDescent="0.25">
      <c r="E105" t="s">
        <v>173</v>
      </c>
      <c r="H105" s="63" t="s">
        <v>664</v>
      </c>
      <c r="L105" s="10">
        <v>104</v>
      </c>
      <c r="M105" s="4">
        <v>38821</v>
      </c>
      <c r="N105" s="11">
        <v>104</v>
      </c>
      <c r="O105" s="4">
        <v>39186</v>
      </c>
      <c r="P105" s="11">
        <v>104</v>
      </c>
      <c r="Q105" s="4">
        <v>39551</v>
      </c>
      <c r="R105" s="11">
        <v>104</v>
      </c>
      <c r="S105" s="4">
        <v>39917</v>
      </c>
      <c r="T105" s="11">
        <v>104</v>
      </c>
      <c r="U105" s="4">
        <v>40282</v>
      </c>
      <c r="V105" s="11">
        <v>104</v>
      </c>
      <c r="W105" s="4">
        <v>40647</v>
      </c>
      <c r="X105" s="12">
        <v>104</v>
      </c>
      <c r="Y105" s="4">
        <v>41012</v>
      </c>
    </row>
    <row r="106" spans="5:25" x14ac:dyDescent="0.25">
      <c r="E106" t="s">
        <v>174</v>
      </c>
      <c r="H106" s="63" t="s">
        <v>665</v>
      </c>
      <c r="L106" s="10">
        <v>105</v>
      </c>
      <c r="M106" s="4">
        <v>38822</v>
      </c>
      <c r="N106" s="11">
        <v>105</v>
      </c>
      <c r="O106" s="4">
        <v>39187</v>
      </c>
      <c r="P106" s="11">
        <v>105</v>
      </c>
      <c r="Q106" s="4">
        <v>39552</v>
      </c>
      <c r="R106" s="11">
        <v>105</v>
      </c>
      <c r="S106" s="4">
        <v>39918</v>
      </c>
      <c r="T106" s="11">
        <v>105</v>
      </c>
      <c r="U106" s="4">
        <v>40283</v>
      </c>
      <c r="V106" s="11">
        <v>105</v>
      </c>
      <c r="W106" s="4">
        <v>40648</v>
      </c>
      <c r="X106" s="12">
        <v>105</v>
      </c>
      <c r="Y106" s="4">
        <v>41013</v>
      </c>
    </row>
    <row r="107" spans="5:25" x14ac:dyDescent="0.25">
      <c r="E107" t="s">
        <v>175</v>
      </c>
      <c r="H107" s="63" t="s">
        <v>666</v>
      </c>
      <c r="L107" s="10">
        <v>106</v>
      </c>
      <c r="M107" s="4">
        <v>38823</v>
      </c>
      <c r="N107" s="11">
        <v>106</v>
      </c>
      <c r="O107" s="4">
        <v>39188</v>
      </c>
      <c r="P107" s="11">
        <v>106</v>
      </c>
      <c r="Q107" s="4">
        <v>39553</v>
      </c>
      <c r="R107" s="11">
        <v>106</v>
      </c>
      <c r="S107" s="4">
        <v>39919</v>
      </c>
      <c r="T107" s="11">
        <v>106</v>
      </c>
      <c r="U107" s="4">
        <v>40284</v>
      </c>
      <c r="V107" s="11">
        <v>106</v>
      </c>
      <c r="W107" s="4">
        <v>40649</v>
      </c>
      <c r="X107" s="12">
        <v>106</v>
      </c>
      <c r="Y107" s="4">
        <v>41014</v>
      </c>
    </row>
    <row r="108" spans="5:25" x14ac:dyDescent="0.25">
      <c r="E108" t="s">
        <v>176</v>
      </c>
      <c r="H108" s="63" t="s">
        <v>667</v>
      </c>
      <c r="L108" s="10">
        <v>107</v>
      </c>
      <c r="M108" s="4">
        <v>38824</v>
      </c>
      <c r="N108" s="11">
        <v>107</v>
      </c>
      <c r="O108" s="4">
        <v>39189</v>
      </c>
      <c r="P108" s="11">
        <v>107</v>
      </c>
      <c r="Q108" s="4">
        <v>39554</v>
      </c>
      <c r="R108" s="11">
        <v>107</v>
      </c>
      <c r="S108" s="4">
        <v>39920</v>
      </c>
      <c r="T108" s="11">
        <v>107</v>
      </c>
      <c r="U108" s="4">
        <v>40285</v>
      </c>
      <c r="V108" s="11">
        <v>107</v>
      </c>
      <c r="W108" s="4">
        <v>40650</v>
      </c>
      <c r="X108" s="12">
        <v>107</v>
      </c>
      <c r="Y108" s="4">
        <v>41015</v>
      </c>
    </row>
    <row r="109" spans="5:25" x14ac:dyDescent="0.25">
      <c r="E109" t="s">
        <v>177</v>
      </c>
      <c r="H109" s="63" t="s">
        <v>668</v>
      </c>
      <c r="L109" s="10">
        <v>108</v>
      </c>
      <c r="M109" s="4">
        <v>38825</v>
      </c>
      <c r="N109" s="11">
        <v>108</v>
      </c>
      <c r="O109" s="4">
        <v>39190</v>
      </c>
      <c r="P109" s="11">
        <v>108</v>
      </c>
      <c r="Q109" s="4">
        <v>39555</v>
      </c>
      <c r="R109" s="11">
        <v>108</v>
      </c>
      <c r="S109" s="4">
        <v>39921</v>
      </c>
      <c r="T109" s="11">
        <v>108</v>
      </c>
      <c r="U109" s="4">
        <v>40286</v>
      </c>
      <c r="V109" s="11">
        <v>108</v>
      </c>
      <c r="W109" s="4">
        <v>40651</v>
      </c>
      <c r="X109" s="12">
        <v>108</v>
      </c>
      <c r="Y109" s="4">
        <v>41016</v>
      </c>
    </row>
    <row r="110" spans="5:25" x14ac:dyDescent="0.25">
      <c r="E110" t="s">
        <v>178</v>
      </c>
      <c r="H110" s="63" t="s">
        <v>669</v>
      </c>
      <c r="L110" s="10">
        <v>109</v>
      </c>
      <c r="M110" s="4">
        <v>38826</v>
      </c>
      <c r="N110" s="11">
        <v>109</v>
      </c>
      <c r="O110" s="4">
        <v>39191</v>
      </c>
      <c r="P110" s="11">
        <v>109</v>
      </c>
      <c r="Q110" s="4">
        <v>39556</v>
      </c>
      <c r="R110" s="11">
        <v>109</v>
      </c>
      <c r="S110" s="4">
        <v>39922</v>
      </c>
      <c r="T110" s="11">
        <v>109</v>
      </c>
      <c r="U110" s="4">
        <v>40287</v>
      </c>
      <c r="V110" s="11">
        <v>109</v>
      </c>
      <c r="W110" s="4">
        <v>40652</v>
      </c>
      <c r="X110" s="12">
        <v>109</v>
      </c>
      <c r="Y110" s="4">
        <v>41017</v>
      </c>
    </row>
    <row r="111" spans="5:25" x14ac:dyDescent="0.25">
      <c r="E111" t="s">
        <v>179</v>
      </c>
      <c r="L111" s="10">
        <v>110</v>
      </c>
      <c r="M111" s="4">
        <v>38827</v>
      </c>
      <c r="N111" s="11">
        <v>110</v>
      </c>
      <c r="O111" s="4">
        <v>39192</v>
      </c>
      <c r="P111" s="11">
        <v>110</v>
      </c>
      <c r="Q111" s="4">
        <v>39557</v>
      </c>
      <c r="R111" s="11">
        <v>110</v>
      </c>
      <c r="S111" s="4">
        <v>39923</v>
      </c>
      <c r="T111" s="11">
        <v>110</v>
      </c>
      <c r="U111" s="4">
        <v>40288</v>
      </c>
      <c r="V111" s="11">
        <v>110</v>
      </c>
      <c r="W111" s="4">
        <v>40653</v>
      </c>
      <c r="X111" s="12">
        <v>110</v>
      </c>
      <c r="Y111" s="4">
        <v>41018</v>
      </c>
    </row>
    <row r="112" spans="5:25" x14ac:dyDescent="0.25">
      <c r="E112" t="s">
        <v>180</v>
      </c>
      <c r="L112" s="10">
        <v>111</v>
      </c>
      <c r="M112" s="4">
        <v>38828</v>
      </c>
      <c r="N112" s="11">
        <v>111</v>
      </c>
      <c r="O112" s="4">
        <v>39193</v>
      </c>
      <c r="P112" s="11">
        <v>111</v>
      </c>
      <c r="Q112" s="4">
        <v>39558</v>
      </c>
      <c r="R112" s="11">
        <v>111</v>
      </c>
      <c r="S112" s="4">
        <v>39924</v>
      </c>
      <c r="T112" s="11">
        <v>111</v>
      </c>
      <c r="U112" s="4">
        <v>40289</v>
      </c>
      <c r="V112" s="11">
        <v>111</v>
      </c>
      <c r="W112" s="4">
        <v>40654</v>
      </c>
      <c r="X112" s="12">
        <v>111</v>
      </c>
      <c r="Y112" s="4">
        <v>41019</v>
      </c>
    </row>
    <row r="113" spans="5:25" x14ac:dyDescent="0.25">
      <c r="E113" t="s">
        <v>181</v>
      </c>
      <c r="L113" s="10">
        <v>112</v>
      </c>
      <c r="M113" s="4">
        <v>38829</v>
      </c>
      <c r="N113" s="11">
        <v>112</v>
      </c>
      <c r="O113" s="4">
        <v>39194</v>
      </c>
      <c r="P113" s="11">
        <v>112</v>
      </c>
      <c r="Q113" s="4">
        <v>39559</v>
      </c>
      <c r="R113" s="11">
        <v>112</v>
      </c>
      <c r="S113" s="4">
        <v>39925</v>
      </c>
      <c r="T113" s="11">
        <v>112</v>
      </c>
      <c r="U113" s="4">
        <v>40290</v>
      </c>
      <c r="V113" s="11">
        <v>112</v>
      </c>
      <c r="W113" s="4">
        <v>40655</v>
      </c>
      <c r="X113" s="12">
        <v>112</v>
      </c>
      <c r="Y113" s="4">
        <v>41020</v>
      </c>
    </row>
    <row r="114" spans="5:25" x14ac:dyDescent="0.25">
      <c r="E114" t="s">
        <v>182</v>
      </c>
      <c r="L114" s="10">
        <v>113</v>
      </c>
      <c r="M114" s="4">
        <v>38830</v>
      </c>
      <c r="N114" s="11">
        <v>113</v>
      </c>
      <c r="O114" s="4">
        <v>39195</v>
      </c>
      <c r="P114" s="11">
        <v>113</v>
      </c>
      <c r="Q114" s="4">
        <v>39560</v>
      </c>
      <c r="R114" s="11">
        <v>113</v>
      </c>
      <c r="S114" s="4">
        <v>39926</v>
      </c>
      <c r="T114" s="11">
        <v>113</v>
      </c>
      <c r="U114" s="4">
        <v>40291</v>
      </c>
      <c r="V114" s="11">
        <v>113</v>
      </c>
      <c r="W114" s="4">
        <v>40656</v>
      </c>
      <c r="X114" s="12">
        <v>113</v>
      </c>
      <c r="Y114" s="4">
        <v>41021</v>
      </c>
    </row>
    <row r="115" spans="5:25" x14ac:dyDescent="0.25">
      <c r="E115" t="s">
        <v>183</v>
      </c>
      <c r="L115" s="10">
        <v>114</v>
      </c>
      <c r="M115" s="4">
        <v>38831</v>
      </c>
      <c r="N115" s="11">
        <v>114</v>
      </c>
      <c r="O115" s="4">
        <v>39196</v>
      </c>
      <c r="P115" s="11">
        <v>114</v>
      </c>
      <c r="Q115" s="4">
        <v>39561</v>
      </c>
      <c r="R115" s="11">
        <v>114</v>
      </c>
      <c r="S115" s="4">
        <v>39927</v>
      </c>
      <c r="T115" s="11">
        <v>114</v>
      </c>
      <c r="U115" s="4">
        <v>40292</v>
      </c>
      <c r="V115" s="11">
        <v>114</v>
      </c>
      <c r="W115" s="4">
        <v>40657</v>
      </c>
      <c r="X115" s="12">
        <v>114</v>
      </c>
      <c r="Y115" s="4">
        <v>41022</v>
      </c>
    </row>
    <row r="116" spans="5:25" x14ac:dyDescent="0.25">
      <c r="E116" t="s">
        <v>184</v>
      </c>
      <c r="L116" s="10">
        <v>115</v>
      </c>
      <c r="M116" s="4">
        <v>38832</v>
      </c>
      <c r="N116" s="11">
        <v>115</v>
      </c>
      <c r="O116" s="4">
        <v>39197</v>
      </c>
      <c r="P116" s="11">
        <v>115</v>
      </c>
      <c r="Q116" s="4">
        <v>39562</v>
      </c>
      <c r="R116" s="11">
        <v>115</v>
      </c>
      <c r="S116" s="4">
        <v>39928</v>
      </c>
      <c r="T116" s="11">
        <v>115</v>
      </c>
      <c r="U116" s="4">
        <v>40293</v>
      </c>
      <c r="V116" s="11">
        <v>115</v>
      </c>
      <c r="W116" s="4">
        <v>40658</v>
      </c>
      <c r="X116" s="12">
        <v>115</v>
      </c>
      <c r="Y116" s="4">
        <v>41023</v>
      </c>
    </row>
    <row r="117" spans="5:25" x14ac:dyDescent="0.25">
      <c r="E117" t="s">
        <v>185</v>
      </c>
      <c r="L117" s="10">
        <v>116</v>
      </c>
      <c r="M117" s="4">
        <v>38833</v>
      </c>
      <c r="N117" s="11">
        <v>116</v>
      </c>
      <c r="O117" s="4">
        <v>39198</v>
      </c>
      <c r="P117" s="11">
        <v>116</v>
      </c>
      <c r="Q117" s="4">
        <v>39563</v>
      </c>
      <c r="R117" s="11">
        <v>116</v>
      </c>
      <c r="S117" s="4">
        <v>39929</v>
      </c>
      <c r="T117" s="11">
        <v>116</v>
      </c>
      <c r="U117" s="4">
        <v>40294</v>
      </c>
      <c r="V117" s="11">
        <v>116</v>
      </c>
      <c r="W117" s="4">
        <v>40659</v>
      </c>
      <c r="X117" s="12">
        <v>116</v>
      </c>
      <c r="Y117" s="4">
        <v>41024</v>
      </c>
    </row>
    <row r="118" spans="5:25" x14ac:dyDescent="0.25">
      <c r="E118" t="s">
        <v>186</v>
      </c>
      <c r="L118" s="10">
        <v>117</v>
      </c>
      <c r="M118" s="4">
        <v>38834</v>
      </c>
      <c r="N118" s="11">
        <v>117</v>
      </c>
      <c r="O118" s="4">
        <v>39199</v>
      </c>
      <c r="P118" s="11">
        <v>117</v>
      </c>
      <c r="Q118" s="4">
        <v>39564</v>
      </c>
      <c r="R118" s="11">
        <v>117</v>
      </c>
      <c r="S118" s="4">
        <v>39930</v>
      </c>
      <c r="T118" s="11">
        <v>117</v>
      </c>
      <c r="U118" s="4">
        <v>40295</v>
      </c>
      <c r="V118" s="11">
        <v>117</v>
      </c>
      <c r="W118" s="4">
        <v>40660</v>
      </c>
      <c r="X118" s="12">
        <v>117</v>
      </c>
      <c r="Y118" s="4">
        <v>41025</v>
      </c>
    </row>
    <row r="119" spans="5:25" x14ac:dyDescent="0.25">
      <c r="E119" t="s">
        <v>187</v>
      </c>
      <c r="L119" s="10">
        <v>118</v>
      </c>
      <c r="M119" s="4">
        <v>38835</v>
      </c>
      <c r="N119" s="11">
        <v>118</v>
      </c>
      <c r="O119" s="4">
        <v>39200</v>
      </c>
      <c r="P119" s="11">
        <v>118</v>
      </c>
      <c r="Q119" s="4">
        <v>39565</v>
      </c>
      <c r="R119" s="11">
        <v>118</v>
      </c>
      <c r="S119" s="4">
        <v>39931</v>
      </c>
      <c r="T119" s="11">
        <v>118</v>
      </c>
      <c r="U119" s="4">
        <v>40296</v>
      </c>
      <c r="V119" s="11">
        <v>118</v>
      </c>
      <c r="W119" s="4">
        <v>40661</v>
      </c>
      <c r="X119" s="12">
        <v>118</v>
      </c>
      <c r="Y119" s="4">
        <v>41026</v>
      </c>
    </row>
    <row r="120" spans="5:25" x14ac:dyDescent="0.25">
      <c r="E120" t="s">
        <v>188</v>
      </c>
      <c r="L120" s="10">
        <v>119</v>
      </c>
      <c r="M120" s="4">
        <v>38836</v>
      </c>
      <c r="N120" s="11">
        <v>119</v>
      </c>
      <c r="O120" s="4">
        <v>39201</v>
      </c>
      <c r="P120" s="11">
        <v>119</v>
      </c>
      <c r="Q120" s="4">
        <v>39566</v>
      </c>
      <c r="R120" s="11">
        <v>119</v>
      </c>
      <c r="S120" s="4">
        <v>39932</v>
      </c>
      <c r="T120" s="11">
        <v>119</v>
      </c>
      <c r="U120" s="4">
        <v>40297</v>
      </c>
      <c r="V120" s="11">
        <v>119</v>
      </c>
      <c r="W120" s="4">
        <v>40662</v>
      </c>
      <c r="X120" s="12">
        <v>119</v>
      </c>
      <c r="Y120" s="4">
        <v>41027</v>
      </c>
    </row>
    <row r="121" spans="5:25" x14ac:dyDescent="0.25">
      <c r="E121" t="s">
        <v>189</v>
      </c>
      <c r="L121" s="10">
        <v>120</v>
      </c>
      <c r="M121" s="4">
        <v>38837</v>
      </c>
      <c r="N121" s="11">
        <v>120</v>
      </c>
      <c r="O121" s="4">
        <v>39202</v>
      </c>
      <c r="P121" s="11">
        <v>120</v>
      </c>
      <c r="Q121" s="4">
        <v>39567</v>
      </c>
      <c r="R121" s="11">
        <v>120</v>
      </c>
      <c r="S121" s="4">
        <v>39933</v>
      </c>
      <c r="T121" s="11">
        <v>120</v>
      </c>
      <c r="U121" s="4">
        <v>40298</v>
      </c>
      <c r="V121" s="11">
        <v>120</v>
      </c>
      <c r="W121" s="4">
        <v>40663</v>
      </c>
      <c r="X121" s="12">
        <v>120</v>
      </c>
      <c r="Y121" s="4">
        <v>41028</v>
      </c>
    </row>
    <row r="122" spans="5:25" x14ac:dyDescent="0.25">
      <c r="E122" t="s">
        <v>190</v>
      </c>
      <c r="L122" s="10">
        <v>121</v>
      </c>
      <c r="M122" s="4">
        <v>38838</v>
      </c>
      <c r="N122" s="11">
        <v>121</v>
      </c>
      <c r="O122" s="4">
        <v>39203</v>
      </c>
      <c r="P122" s="11">
        <v>121</v>
      </c>
      <c r="Q122" s="4">
        <v>39568</v>
      </c>
      <c r="R122" s="11">
        <v>121</v>
      </c>
      <c r="S122" s="4">
        <v>39934</v>
      </c>
      <c r="T122" s="11">
        <v>121</v>
      </c>
      <c r="U122" s="4">
        <v>40299</v>
      </c>
      <c r="V122" s="11">
        <v>121</v>
      </c>
      <c r="W122" s="4">
        <v>40664</v>
      </c>
      <c r="X122" s="12">
        <v>121</v>
      </c>
      <c r="Y122" s="4">
        <v>41029</v>
      </c>
    </row>
    <row r="123" spans="5:25" x14ac:dyDescent="0.25">
      <c r="E123" t="s">
        <v>191</v>
      </c>
      <c r="L123" s="10">
        <v>122</v>
      </c>
      <c r="M123" s="4">
        <v>38839</v>
      </c>
      <c r="N123" s="11">
        <v>122</v>
      </c>
      <c r="O123" s="4">
        <v>39204</v>
      </c>
      <c r="P123" s="11">
        <v>122</v>
      </c>
      <c r="Q123" s="4">
        <v>39569</v>
      </c>
      <c r="R123" s="11">
        <v>122</v>
      </c>
      <c r="S123" s="4">
        <v>39935</v>
      </c>
      <c r="T123" s="11">
        <v>122</v>
      </c>
      <c r="U123" s="4">
        <v>40300</v>
      </c>
      <c r="V123" s="11">
        <v>122</v>
      </c>
      <c r="W123" s="4">
        <v>40665</v>
      </c>
      <c r="X123" s="12">
        <v>122</v>
      </c>
      <c r="Y123" s="4">
        <v>41030</v>
      </c>
    </row>
    <row r="124" spans="5:25" x14ac:dyDescent="0.25">
      <c r="E124" t="s">
        <v>192</v>
      </c>
      <c r="L124" s="10">
        <v>123</v>
      </c>
      <c r="M124" s="4">
        <v>38840</v>
      </c>
      <c r="N124" s="11">
        <v>123</v>
      </c>
      <c r="O124" s="4">
        <v>39205</v>
      </c>
      <c r="P124" s="11">
        <v>123</v>
      </c>
      <c r="Q124" s="4">
        <v>39570</v>
      </c>
      <c r="R124" s="11">
        <v>123</v>
      </c>
      <c r="S124" s="4">
        <v>39936</v>
      </c>
      <c r="T124" s="11">
        <v>123</v>
      </c>
      <c r="U124" s="4">
        <v>40301</v>
      </c>
      <c r="V124" s="11">
        <v>123</v>
      </c>
      <c r="W124" s="4">
        <v>40666</v>
      </c>
      <c r="X124" s="12">
        <v>123</v>
      </c>
      <c r="Y124" s="4">
        <v>41031</v>
      </c>
    </row>
    <row r="125" spans="5:25" x14ac:dyDescent="0.25">
      <c r="E125" t="s">
        <v>193</v>
      </c>
      <c r="L125" s="10">
        <v>124</v>
      </c>
      <c r="M125" s="4">
        <v>38841</v>
      </c>
      <c r="N125" s="11">
        <v>124</v>
      </c>
      <c r="O125" s="4">
        <v>39206</v>
      </c>
      <c r="P125" s="11">
        <v>124</v>
      </c>
      <c r="Q125" s="4">
        <v>39571</v>
      </c>
      <c r="R125" s="11">
        <v>124</v>
      </c>
      <c r="S125" s="4">
        <v>39937</v>
      </c>
      <c r="T125" s="11">
        <v>124</v>
      </c>
      <c r="U125" s="4">
        <v>40302</v>
      </c>
      <c r="V125" s="11">
        <v>124</v>
      </c>
      <c r="W125" s="4">
        <v>40667</v>
      </c>
      <c r="X125" s="12">
        <v>124</v>
      </c>
      <c r="Y125" s="4">
        <v>41032</v>
      </c>
    </row>
    <row r="126" spans="5:25" x14ac:dyDescent="0.25">
      <c r="E126" t="s">
        <v>194</v>
      </c>
      <c r="L126" s="10">
        <v>125</v>
      </c>
      <c r="M126" s="4">
        <v>38842</v>
      </c>
      <c r="N126" s="11">
        <v>125</v>
      </c>
      <c r="O126" s="4">
        <v>39207</v>
      </c>
      <c r="P126" s="11">
        <v>125</v>
      </c>
      <c r="Q126" s="4">
        <v>39572</v>
      </c>
      <c r="R126" s="11">
        <v>125</v>
      </c>
      <c r="S126" s="4">
        <v>39938</v>
      </c>
      <c r="T126" s="11">
        <v>125</v>
      </c>
      <c r="U126" s="4">
        <v>40303</v>
      </c>
      <c r="V126" s="11">
        <v>125</v>
      </c>
      <c r="W126" s="4">
        <v>40668</v>
      </c>
      <c r="X126" s="12">
        <v>125</v>
      </c>
      <c r="Y126" s="4">
        <v>41033</v>
      </c>
    </row>
    <row r="127" spans="5:25" x14ac:dyDescent="0.25">
      <c r="E127" t="s">
        <v>195</v>
      </c>
      <c r="L127" s="10">
        <v>126</v>
      </c>
      <c r="M127" s="4">
        <v>38843</v>
      </c>
      <c r="N127" s="11">
        <v>126</v>
      </c>
      <c r="O127" s="4">
        <v>39208</v>
      </c>
      <c r="P127" s="11">
        <v>126</v>
      </c>
      <c r="Q127" s="4">
        <v>39573</v>
      </c>
      <c r="R127" s="11">
        <v>126</v>
      </c>
      <c r="S127" s="4">
        <v>39939</v>
      </c>
      <c r="T127" s="11">
        <v>126</v>
      </c>
      <c r="U127" s="4">
        <v>40304</v>
      </c>
      <c r="V127" s="11">
        <v>126</v>
      </c>
      <c r="W127" s="4">
        <v>40669</v>
      </c>
      <c r="X127" s="12">
        <v>126</v>
      </c>
      <c r="Y127" s="4">
        <v>41034</v>
      </c>
    </row>
    <row r="128" spans="5:25" x14ac:dyDescent="0.25">
      <c r="E128" t="s">
        <v>196</v>
      </c>
      <c r="L128" s="10">
        <v>127</v>
      </c>
      <c r="M128" s="4">
        <v>38844</v>
      </c>
      <c r="N128" s="11">
        <v>127</v>
      </c>
      <c r="O128" s="4">
        <v>39209</v>
      </c>
      <c r="P128" s="11">
        <v>127</v>
      </c>
      <c r="Q128" s="4">
        <v>39574</v>
      </c>
      <c r="R128" s="11">
        <v>127</v>
      </c>
      <c r="S128" s="4">
        <v>39940</v>
      </c>
      <c r="T128" s="11">
        <v>127</v>
      </c>
      <c r="U128" s="4">
        <v>40305</v>
      </c>
      <c r="V128" s="11">
        <v>127</v>
      </c>
      <c r="W128" s="4">
        <v>40670</v>
      </c>
      <c r="X128" s="12">
        <v>127</v>
      </c>
      <c r="Y128" s="4">
        <v>41035</v>
      </c>
    </row>
    <row r="129" spans="5:25" x14ac:dyDescent="0.25">
      <c r="E129" t="s">
        <v>197</v>
      </c>
      <c r="L129" s="10">
        <v>128</v>
      </c>
      <c r="M129" s="4">
        <v>38845</v>
      </c>
      <c r="N129" s="11">
        <v>128</v>
      </c>
      <c r="O129" s="4">
        <v>39210</v>
      </c>
      <c r="P129" s="11">
        <v>128</v>
      </c>
      <c r="Q129" s="4">
        <v>39575</v>
      </c>
      <c r="R129" s="11">
        <v>128</v>
      </c>
      <c r="S129" s="4">
        <v>39941</v>
      </c>
      <c r="T129" s="11">
        <v>128</v>
      </c>
      <c r="U129" s="4">
        <v>40306</v>
      </c>
      <c r="V129" s="11">
        <v>128</v>
      </c>
      <c r="W129" s="4">
        <v>40671</v>
      </c>
      <c r="X129" s="12">
        <v>128</v>
      </c>
      <c r="Y129" s="4">
        <v>41036</v>
      </c>
    </row>
    <row r="130" spans="5:25" x14ac:dyDescent="0.25">
      <c r="E130" t="s">
        <v>198</v>
      </c>
      <c r="L130" s="10">
        <v>129</v>
      </c>
      <c r="M130" s="4">
        <v>38846</v>
      </c>
      <c r="N130" s="11">
        <v>129</v>
      </c>
      <c r="O130" s="4">
        <v>39211</v>
      </c>
      <c r="P130" s="11">
        <v>129</v>
      </c>
      <c r="Q130" s="4">
        <v>39576</v>
      </c>
      <c r="R130" s="11">
        <v>129</v>
      </c>
      <c r="S130" s="4">
        <v>39942</v>
      </c>
      <c r="T130" s="11">
        <v>129</v>
      </c>
      <c r="U130" s="4">
        <v>40307</v>
      </c>
      <c r="V130" s="11">
        <v>129</v>
      </c>
      <c r="W130" s="4">
        <v>40672</v>
      </c>
      <c r="X130" s="12">
        <v>129</v>
      </c>
      <c r="Y130" s="4">
        <v>41037</v>
      </c>
    </row>
    <row r="131" spans="5:25" x14ac:dyDescent="0.25">
      <c r="E131" t="s">
        <v>199</v>
      </c>
      <c r="L131" s="10">
        <v>130</v>
      </c>
      <c r="M131" s="4">
        <v>38847</v>
      </c>
      <c r="N131" s="11">
        <v>130</v>
      </c>
      <c r="O131" s="4">
        <v>39212</v>
      </c>
      <c r="P131" s="11">
        <v>130</v>
      </c>
      <c r="Q131" s="4">
        <v>39577</v>
      </c>
      <c r="R131" s="11">
        <v>130</v>
      </c>
      <c r="S131" s="4">
        <v>39943</v>
      </c>
      <c r="T131" s="11">
        <v>130</v>
      </c>
      <c r="U131" s="4">
        <v>40308</v>
      </c>
      <c r="V131" s="11">
        <v>130</v>
      </c>
      <c r="W131" s="4">
        <v>40673</v>
      </c>
      <c r="X131" s="12">
        <v>130</v>
      </c>
      <c r="Y131" s="4">
        <v>41038</v>
      </c>
    </row>
    <row r="132" spans="5:25" x14ac:dyDescent="0.25">
      <c r="E132" t="s">
        <v>200</v>
      </c>
      <c r="L132" s="10">
        <v>131</v>
      </c>
      <c r="M132" s="4">
        <v>38848</v>
      </c>
      <c r="N132" s="11">
        <v>131</v>
      </c>
      <c r="O132" s="4">
        <v>39213</v>
      </c>
      <c r="P132" s="11">
        <v>131</v>
      </c>
      <c r="Q132" s="4">
        <v>39578</v>
      </c>
      <c r="R132" s="11">
        <v>131</v>
      </c>
      <c r="S132" s="4">
        <v>39944</v>
      </c>
      <c r="T132" s="11">
        <v>131</v>
      </c>
      <c r="U132" s="4">
        <v>40309</v>
      </c>
      <c r="V132" s="11">
        <v>131</v>
      </c>
      <c r="W132" s="4">
        <v>40674</v>
      </c>
      <c r="X132" s="12">
        <v>131</v>
      </c>
      <c r="Y132" s="4">
        <v>41039</v>
      </c>
    </row>
    <row r="133" spans="5:25" x14ac:dyDescent="0.25">
      <c r="E133" t="s">
        <v>201</v>
      </c>
      <c r="L133" s="10">
        <v>132</v>
      </c>
      <c r="M133" s="4">
        <v>38849</v>
      </c>
      <c r="N133" s="11">
        <v>132</v>
      </c>
      <c r="O133" s="4">
        <v>39214</v>
      </c>
      <c r="P133" s="11">
        <v>132</v>
      </c>
      <c r="Q133" s="4">
        <v>39579</v>
      </c>
      <c r="R133" s="11">
        <v>132</v>
      </c>
      <c r="S133" s="4">
        <v>39945</v>
      </c>
      <c r="T133" s="11">
        <v>132</v>
      </c>
      <c r="U133" s="4">
        <v>40310</v>
      </c>
      <c r="V133" s="11">
        <v>132</v>
      </c>
      <c r="W133" s="4">
        <v>40675</v>
      </c>
      <c r="X133" s="12">
        <v>132</v>
      </c>
      <c r="Y133" s="4">
        <v>41040</v>
      </c>
    </row>
    <row r="134" spans="5:25" x14ac:dyDescent="0.25">
      <c r="E134" t="s">
        <v>202</v>
      </c>
      <c r="L134" s="10">
        <v>133</v>
      </c>
      <c r="M134" s="4">
        <v>38850</v>
      </c>
      <c r="N134" s="11">
        <v>133</v>
      </c>
      <c r="O134" s="4">
        <v>39215</v>
      </c>
      <c r="P134" s="11">
        <v>133</v>
      </c>
      <c r="Q134" s="4">
        <v>39580</v>
      </c>
      <c r="R134" s="11">
        <v>133</v>
      </c>
      <c r="S134" s="4">
        <v>39946</v>
      </c>
      <c r="T134" s="11">
        <v>133</v>
      </c>
      <c r="U134" s="4">
        <v>40311</v>
      </c>
      <c r="V134" s="11">
        <v>133</v>
      </c>
      <c r="W134" s="4">
        <v>40676</v>
      </c>
      <c r="X134" s="12">
        <v>133</v>
      </c>
      <c r="Y134" s="4">
        <v>41041</v>
      </c>
    </row>
    <row r="135" spans="5:25" x14ac:dyDescent="0.25">
      <c r="E135" t="s">
        <v>203</v>
      </c>
      <c r="L135" s="10">
        <v>134</v>
      </c>
      <c r="M135" s="4">
        <v>38851</v>
      </c>
      <c r="N135" s="11">
        <v>134</v>
      </c>
      <c r="O135" s="4">
        <v>39216</v>
      </c>
      <c r="P135" s="11">
        <v>134</v>
      </c>
      <c r="Q135" s="4">
        <v>39581</v>
      </c>
      <c r="R135" s="11">
        <v>134</v>
      </c>
      <c r="S135" s="4">
        <v>39947</v>
      </c>
      <c r="T135" s="11">
        <v>134</v>
      </c>
      <c r="U135" s="4">
        <v>40312</v>
      </c>
      <c r="V135" s="11">
        <v>134</v>
      </c>
      <c r="W135" s="4">
        <v>40677</v>
      </c>
      <c r="X135" s="12">
        <v>134</v>
      </c>
      <c r="Y135" s="4">
        <v>41042</v>
      </c>
    </row>
    <row r="136" spans="5:25" x14ac:dyDescent="0.25">
      <c r="E136" t="s">
        <v>204</v>
      </c>
      <c r="L136" s="10">
        <v>135</v>
      </c>
      <c r="M136" s="4">
        <v>38852</v>
      </c>
      <c r="N136" s="11">
        <v>135</v>
      </c>
      <c r="O136" s="4">
        <v>39217</v>
      </c>
      <c r="P136" s="11">
        <v>135</v>
      </c>
      <c r="Q136" s="4">
        <v>39582</v>
      </c>
      <c r="R136" s="11">
        <v>135</v>
      </c>
      <c r="S136" s="4">
        <v>39948</v>
      </c>
      <c r="T136" s="11">
        <v>135</v>
      </c>
      <c r="U136" s="4">
        <v>40313</v>
      </c>
      <c r="V136" s="11">
        <v>135</v>
      </c>
      <c r="W136" s="4">
        <v>40678</v>
      </c>
      <c r="X136" s="12">
        <v>135</v>
      </c>
      <c r="Y136" s="4">
        <v>41043</v>
      </c>
    </row>
    <row r="137" spans="5:25" x14ac:dyDescent="0.25">
      <c r="E137" t="s">
        <v>205</v>
      </c>
      <c r="L137" s="10">
        <v>136</v>
      </c>
      <c r="M137" s="4">
        <v>38853</v>
      </c>
      <c r="N137" s="11">
        <v>136</v>
      </c>
      <c r="O137" s="4">
        <v>39218</v>
      </c>
      <c r="P137" s="11">
        <v>136</v>
      </c>
      <c r="Q137" s="4">
        <v>39583</v>
      </c>
      <c r="R137" s="11">
        <v>136</v>
      </c>
      <c r="S137" s="4">
        <v>39949</v>
      </c>
      <c r="T137" s="11">
        <v>136</v>
      </c>
      <c r="U137" s="4">
        <v>40314</v>
      </c>
      <c r="V137" s="11">
        <v>136</v>
      </c>
      <c r="W137" s="4">
        <v>40679</v>
      </c>
      <c r="X137" s="12">
        <v>136</v>
      </c>
      <c r="Y137" s="4">
        <v>41044</v>
      </c>
    </row>
    <row r="138" spans="5:25" x14ac:dyDescent="0.25">
      <c r="E138" t="s">
        <v>206</v>
      </c>
      <c r="L138" s="10">
        <v>137</v>
      </c>
      <c r="M138" s="4">
        <v>38854</v>
      </c>
      <c r="N138" s="11">
        <v>137</v>
      </c>
      <c r="O138" s="4">
        <v>39219</v>
      </c>
      <c r="P138" s="11">
        <v>137</v>
      </c>
      <c r="Q138" s="4">
        <v>39584</v>
      </c>
      <c r="R138" s="11">
        <v>137</v>
      </c>
      <c r="S138" s="4">
        <v>39950</v>
      </c>
      <c r="T138" s="11">
        <v>137</v>
      </c>
      <c r="U138" s="4">
        <v>40315</v>
      </c>
      <c r="V138" s="11">
        <v>137</v>
      </c>
      <c r="W138" s="4">
        <v>40680</v>
      </c>
      <c r="X138" s="12">
        <v>137</v>
      </c>
      <c r="Y138" s="4">
        <v>41045</v>
      </c>
    </row>
    <row r="139" spans="5:25" x14ac:dyDescent="0.25">
      <c r="E139" t="s">
        <v>207</v>
      </c>
      <c r="L139" s="10">
        <v>138</v>
      </c>
      <c r="M139" s="4">
        <v>38855</v>
      </c>
      <c r="N139" s="11">
        <v>138</v>
      </c>
      <c r="O139" s="4">
        <v>39220</v>
      </c>
      <c r="P139" s="11">
        <v>138</v>
      </c>
      <c r="Q139" s="4">
        <v>39585</v>
      </c>
      <c r="R139" s="11">
        <v>138</v>
      </c>
      <c r="S139" s="4">
        <v>39951</v>
      </c>
      <c r="T139" s="11">
        <v>138</v>
      </c>
      <c r="U139" s="4">
        <v>40316</v>
      </c>
      <c r="V139" s="11">
        <v>138</v>
      </c>
      <c r="W139" s="4">
        <v>40681</v>
      </c>
      <c r="X139" s="12">
        <v>138</v>
      </c>
      <c r="Y139" s="4">
        <v>41046</v>
      </c>
    </row>
    <row r="140" spans="5:25" x14ac:dyDescent="0.25">
      <c r="E140" t="s">
        <v>208</v>
      </c>
      <c r="L140" s="10">
        <v>139</v>
      </c>
      <c r="M140" s="4">
        <v>38856</v>
      </c>
      <c r="N140" s="11">
        <v>139</v>
      </c>
      <c r="O140" s="4">
        <v>39221</v>
      </c>
      <c r="P140" s="11">
        <v>139</v>
      </c>
      <c r="Q140" s="4">
        <v>39586</v>
      </c>
      <c r="R140" s="11">
        <v>139</v>
      </c>
      <c r="S140" s="4">
        <v>39952</v>
      </c>
      <c r="T140" s="11">
        <v>139</v>
      </c>
      <c r="U140" s="4">
        <v>40317</v>
      </c>
      <c r="V140" s="11">
        <v>139</v>
      </c>
      <c r="W140" s="4">
        <v>40682</v>
      </c>
      <c r="X140" s="12">
        <v>139</v>
      </c>
      <c r="Y140" s="4">
        <v>41047</v>
      </c>
    </row>
    <row r="141" spans="5:25" x14ac:dyDescent="0.25">
      <c r="E141" t="s">
        <v>209</v>
      </c>
      <c r="L141" s="10">
        <v>140</v>
      </c>
      <c r="M141" s="4">
        <v>38857</v>
      </c>
      <c r="N141" s="11">
        <v>140</v>
      </c>
      <c r="O141" s="4">
        <v>39222</v>
      </c>
      <c r="P141" s="11">
        <v>140</v>
      </c>
      <c r="Q141" s="4">
        <v>39587</v>
      </c>
      <c r="R141" s="11">
        <v>140</v>
      </c>
      <c r="S141" s="4">
        <v>39953</v>
      </c>
      <c r="T141" s="11">
        <v>140</v>
      </c>
      <c r="U141" s="4">
        <v>40318</v>
      </c>
      <c r="V141" s="11">
        <v>140</v>
      </c>
      <c r="W141" s="4">
        <v>40683</v>
      </c>
      <c r="X141" s="12">
        <v>140</v>
      </c>
      <c r="Y141" s="4">
        <v>41048</v>
      </c>
    </row>
    <row r="142" spans="5:25" x14ac:dyDescent="0.25">
      <c r="E142" t="s">
        <v>210</v>
      </c>
      <c r="L142" s="10">
        <v>141</v>
      </c>
      <c r="M142" s="4">
        <v>38858</v>
      </c>
      <c r="N142" s="11">
        <v>141</v>
      </c>
      <c r="O142" s="4">
        <v>39223</v>
      </c>
      <c r="P142" s="11">
        <v>141</v>
      </c>
      <c r="Q142" s="4">
        <v>39588</v>
      </c>
      <c r="R142" s="11">
        <v>141</v>
      </c>
      <c r="S142" s="4">
        <v>39954</v>
      </c>
      <c r="T142" s="11">
        <v>141</v>
      </c>
      <c r="U142" s="4">
        <v>40319</v>
      </c>
      <c r="V142" s="11">
        <v>141</v>
      </c>
      <c r="W142" s="4">
        <v>40684</v>
      </c>
      <c r="X142" s="12">
        <v>141</v>
      </c>
      <c r="Y142" s="4">
        <v>41049</v>
      </c>
    </row>
    <row r="143" spans="5:25" x14ac:dyDescent="0.25">
      <c r="E143" t="s">
        <v>211</v>
      </c>
      <c r="L143" s="10">
        <v>142</v>
      </c>
      <c r="M143" s="4">
        <v>38859</v>
      </c>
      <c r="N143" s="11">
        <v>142</v>
      </c>
      <c r="O143" s="4">
        <v>39224</v>
      </c>
      <c r="P143" s="11">
        <v>142</v>
      </c>
      <c r="Q143" s="4">
        <v>39589</v>
      </c>
      <c r="R143" s="11">
        <v>142</v>
      </c>
      <c r="S143" s="4">
        <v>39955</v>
      </c>
      <c r="T143" s="11">
        <v>142</v>
      </c>
      <c r="U143" s="4">
        <v>40320</v>
      </c>
      <c r="V143" s="11">
        <v>142</v>
      </c>
      <c r="W143" s="4">
        <v>40685</v>
      </c>
      <c r="X143" s="12">
        <v>142</v>
      </c>
      <c r="Y143" s="4">
        <v>41050</v>
      </c>
    </row>
    <row r="144" spans="5:25" x14ac:dyDescent="0.25">
      <c r="L144" s="10">
        <v>143</v>
      </c>
      <c r="M144" s="4">
        <v>38860</v>
      </c>
      <c r="N144" s="11">
        <v>143</v>
      </c>
      <c r="O144" s="4">
        <v>39225</v>
      </c>
      <c r="P144" s="11">
        <v>143</v>
      </c>
      <c r="Q144" s="4">
        <v>39590</v>
      </c>
      <c r="R144" s="11">
        <v>143</v>
      </c>
      <c r="S144" s="4">
        <v>39956</v>
      </c>
      <c r="T144" s="11">
        <v>143</v>
      </c>
      <c r="U144" s="4">
        <v>40321</v>
      </c>
      <c r="V144" s="11">
        <v>143</v>
      </c>
      <c r="W144" s="4">
        <v>40686</v>
      </c>
      <c r="X144" s="12">
        <v>143</v>
      </c>
      <c r="Y144" s="4">
        <v>41051</v>
      </c>
    </row>
    <row r="145" spans="12:25" x14ac:dyDescent="0.25">
      <c r="L145" s="10">
        <v>144</v>
      </c>
      <c r="M145" s="4">
        <v>38861</v>
      </c>
      <c r="N145" s="11">
        <v>144</v>
      </c>
      <c r="O145" s="4">
        <v>39226</v>
      </c>
      <c r="P145" s="11">
        <v>144</v>
      </c>
      <c r="Q145" s="4">
        <v>39591</v>
      </c>
      <c r="R145" s="11">
        <v>144</v>
      </c>
      <c r="S145" s="4">
        <v>39957</v>
      </c>
      <c r="T145" s="11">
        <v>144</v>
      </c>
      <c r="U145" s="4">
        <v>40322</v>
      </c>
      <c r="V145" s="11">
        <v>144</v>
      </c>
      <c r="W145" s="4">
        <v>40687</v>
      </c>
      <c r="X145" s="12">
        <v>144</v>
      </c>
      <c r="Y145" s="4">
        <v>41052</v>
      </c>
    </row>
    <row r="146" spans="12:25" x14ac:dyDescent="0.25">
      <c r="L146" s="10">
        <v>145</v>
      </c>
      <c r="M146" s="4">
        <v>38862</v>
      </c>
      <c r="N146" s="11">
        <v>145</v>
      </c>
      <c r="O146" s="4">
        <v>39227</v>
      </c>
      <c r="P146" s="11">
        <v>145</v>
      </c>
      <c r="Q146" s="4">
        <v>39592</v>
      </c>
      <c r="R146" s="11">
        <v>145</v>
      </c>
      <c r="S146" s="4">
        <v>39958</v>
      </c>
      <c r="T146" s="11">
        <v>145</v>
      </c>
      <c r="U146" s="4">
        <v>40323</v>
      </c>
      <c r="V146" s="11">
        <v>145</v>
      </c>
      <c r="W146" s="4">
        <v>40688</v>
      </c>
      <c r="X146" s="12">
        <v>145</v>
      </c>
      <c r="Y146" s="4">
        <v>41053</v>
      </c>
    </row>
    <row r="147" spans="12:25" x14ac:dyDescent="0.25">
      <c r="L147" s="10">
        <v>146</v>
      </c>
      <c r="M147" s="4">
        <v>38863</v>
      </c>
      <c r="N147" s="11">
        <v>146</v>
      </c>
      <c r="O147" s="4">
        <v>39228</v>
      </c>
      <c r="P147" s="11">
        <v>146</v>
      </c>
      <c r="Q147" s="4">
        <v>39593</v>
      </c>
      <c r="R147" s="11">
        <v>146</v>
      </c>
      <c r="S147" s="4">
        <v>39959</v>
      </c>
      <c r="T147" s="11">
        <v>146</v>
      </c>
      <c r="U147" s="4">
        <v>40324</v>
      </c>
      <c r="V147" s="11">
        <v>146</v>
      </c>
      <c r="W147" s="4">
        <v>40689</v>
      </c>
      <c r="X147" s="12">
        <v>146</v>
      </c>
      <c r="Y147" s="4">
        <v>41054</v>
      </c>
    </row>
    <row r="148" spans="12:25" x14ac:dyDescent="0.25">
      <c r="L148" s="10">
        <v>147</v>
      </c>
      <c r="M148" s="4">
        <v>38864</v>
      </c>
      <c r="N148" s="11">
        <v>147</v>
      </c>
      <c r="O148" s="4">
        <v>39229</v>
      </c>
      <c r="P148" s="11">
        <v>147</v>
      </c>
      <c r="Q148" s="4">
        <v>39594</v>
      </c>
      <c r="R148" s="11">
        <v>147</v>
      </c>
      <c r="S148" s="4">
        <v>39960</v>
      </c>
      <c r="T148" s="11">
        <v>147</v>
      </c>
      <c r="U148" s="4">
        <v>40325</v>
      </c>
      <c r="V148" s="11">
        <v>147</v>
      </c>
      <c r="W148" s="4">
        <v>40690</v>
      </c>
      <c r="X148" s="12">
        <v>147</v>
      </c>
      <c r="Y148" s="4">
        <v>41055</v>
      </c>
    </row>
    <row r="149" spans="12:25" x14ac:dyDescent="0.25">
      <c r="L149" s="10">
        <v>148</v>
      </c>
      <c r="M149" s="4">
        <v>38865</v>
      </c>
      <c r="N149" s="11">
        <v>148</v>
      </c>
      <c r="O149" s="4">
        <v>39230</v>
      </c>
      <c r="P149" s="11">
        <v>148</v>
      </c>
      <c r="Q149" s="4">
        <v>39595</v>
      </c>
      <c r="R149" s="11">
        <v>148</v>
      </c>
      <c r="S149" s="4">
        <v>39961</v>
      </c>
      <c r="T149" s="11">
        <v>148</v>
      </c>
      <c r="U149" s="4">
        <v>40326</v>
      </c>
      <c r="V149" s="11">
        <v>148</v>
      </c>
      <c r="W149" s="4">
        <v>40691</v>
      </c>
      <c r="X149" s="12">
        <v>148</v>
      </c>
      <c r="Y149" s="4">
        <v>41056</v>
      </c>
    </row>
    <row r="150" spans="12:25" x14ac:dyDescent="0.25">
      <c r="L150" s="10">
        <v>149</v>
      </c>
      <c r="M150" s="4">
        <v>38866</v>
      </c>
      <c r="N150" s="11">
        <v>149</v>
      </c>
      <c r="O150" s="4">
        <v>39231</v>
      </c>
      <c r="P150" s="11">
        <v>149</v>
      </c>
      <c r="Q150" s="4">
        <v>39596</v>
      </c>
      <c r="R150" s="11">
        <v>149</v>
      </c>
      <c r="S150" s="4">
        <v>39962</v>
      </c>
      <c r="T150" s="11">
        <v>149</v>
      </c>
      <c r="U150" s="4">
        <v>40327</v>
      </c>
      <c r="V150" s="11">
        <v>149</v>
      </c>
      <c r="W150" s="4">
        <v>40692</v>
      </c>
      <c r="X150" s="12">
        <v>149</v>
      </c>
      <c r="Y150" s="4">
        <v>41057</v>
      </c>
    </row>
    <row r="151" spans="12:25" x14ac:dyDescent="0.25">
      <c r="L151" s="10">
        <v>150</v>
      </c>
      <c r="M151" s="4">
        <v>38867</v>
      </c>
      <c r="N151" s="11">
        <v>150</v>
      </c>
      <c r="O151" s="4">
        <v>39232</v>
      </c>
      <c r="P151" s="11">
        <v>150</v>
      </c>
      <c r="Q151" s="4">
        <v>39597</v>
      </c>
      <c r="R151" s="11">
        <v>150</v>
      </c>
      <c r="S151" s="4">
        <v>39963</v>
      </c>
      <c r="T151" s="11">
        <v>150</v>
      </c>
      <c r="U151" s="4">
        <v>40328</v>
      </c>
      <c r="V151" s="11">
        <v>150</v>
      </c>
      <c r="W151" s="4">
        <v>40693</v>
      </c>
      <c r="X151" s="12">
        <v>150</v>
      </c>
      <c r="Y151" s="4">
        <v>41058</v>
      </c>
    </row>
    <row r="152" spans="12:25" x14ac:dyDescent="0.25">
      <c r="L152" s="10">
        <v>151</v>
      </c>
      <c r="M152" s="4">
        <v>38868</v>
      </c>
      <c r="N152" s="11">
        <v>151</v>
      </c>
      <c r="O152" s="4">
        <v>39233</v>
      </c>
      <c r="P152" s="11">
        <v>151</v>
      </c>
      <c r="Q152" s="4">
        <v>39598</v>
      </c>
      <c r="R152" s="11">
        <v>151</v>
      </c>
      <c r="S152" s="4">
        <v>39964</v>
      </c>
      <c r="T152" s="11">
        <v>151</v>
      </c>
      <c r="U152" s="4">
        <v>40329</v>
      </c>
      <c r="V152" s="11">
        <v>151</v>
      </c>
      <c r="W152" s="4">
        <v>40694</v>
      </c>
      <c r="X152" s="12">
        <v>151</v>
      </c>
      <c r="Y152" s="4">
        <v>41059</v>
      </c>
    </row>
    <row r="153" spans="12:25" x14ac:dyDescent="0.25">
      <c r="L153" s="10">
        <v>152</v>
      </c>
      <c r="M153" s="4">
        <v>38869</v>
      </c>
      <c r="N153" s="11">
        <v>152</v>
      </c>
      <c r="O153" s="4">
        <v>39234</v>
      </c>
      <c r="P153" s="11">
        <v>152</v>
      </c>
      <c r="Q153" s="4">
        <v>39599</v>
      </c>
      <c r="R153" s="11">
        <v>152</v>
      </c>
      <c r="S153" s="4">
        <v>39965</v>
      </c>
      <c r="T153" s="11">
        <v>152</v>
      </c>
      <c r="U153" s="4">
        <v>40330</v>
      </c>
      <c r="V153" s="11">
        <v>152</v>
      </c>
      <c r="W153" s="4">
        <v>40695</v>
      </c>
      <c r="X153" s="12">
        <v>152</v>
      </c>
      <c r="Y153" s="4">
        <v>41060</v>
      </c>
    </row>
    <row r="154" spans="12:25" x14ac:dyDescent="0.25">
      <c r="L154" s="10">
        <v>153</v>
      </c>
      <c r="M154" s="4">
        <v>38870</v>
      </c>
      <c r="N154" s="11">
        <v>153</v>
      </c>
      <c r="O154" s="4">
        <v>39235</v>
      </c>
      <c r="P154" s="11">
        <v>153</v>
      </c>
      <c r="Q154" s="4">
        <v>39600</v>
      </c>
      <c r="R154" s="11">
        <v>153</v>
      </c>
      <c r="S154" s="4">
        <v>39966</v>
      </c>
      <c r="T154" s="11">
        <v>153</v>
      </c>
      <c r="U154" s="4">
        <v>40331</v>
      </c>
      <c r="V154" s="11">
        <v>153</v>
      </c>
      <c r="W154" s="4">
        <v>40696</v>
      </c>
      <c r="X154" s="12">
        <v>153</v>
      </c>
      <c r="Y154" s="4">
        <v>41061</v>
      </c>
    </row>
    <row r="155" spans="12:25" x14ac:dyDescent="0.25">
      <c r="L155" s="10">
        <v>154</v>
      </c>
      <c r="M155" s="4">
        <v>38871</v>
      </c>
      <c r="N155" s="11">
        <v>154</v>
      </c>
      <c r="O155" s="4">
        <v>39236</v>
      </c>
      <c r="P155" s="11">
        <v>154</v>
      </c>
      <c r="Q155" s="4">
        <v>39601</v>
      </c>
      <c r="R155" s="11">
        <v>154</v>
      </c>
      <c r="S155" s="4">
        <v>39967</v>
      </c>
      <c r="T155" s="11">
        <v>154</v>
      </c>
      <c r="U155" s="4">
        <v>40332</v>
      </c>
      <c r="V155" s="11">
        <v>154</v>
      </c>
      <c r="W155" s="4">
        <v>40697</v>
      </c>
      <c r="X155" s="12">
        <v>154</v>
      </c>
      <c r="Y155" s="4">
        <v>41062</v>
      </c>
    </row>
    <row r="156" spans="12:25" x14ac:dyDescent="0.25">
      <c r="L156" s="10">
        <v>155</v>
      </c>
      <c r="M156" s="4">
        <v>38872</v>
      </c>
      <c r="N156" s="11">
        <v>155</v>
      </c>
      <c r="O156" s="4">
        <v>39237</v>
      </c>
      <c r="P156" s="11">
        <v>155</v>
      </c>
      <c r="Q156" s="4">
        <v>39602</v>
      </c>
      <c r="R156" s="11">
        <v>155</v>
      </c>
      <c r="S156" s="4">
        <v>39968</v>
      </c>
      <c r="T156" s="11">
        <v>155</v>
      </c>
      <c r="U156" s="4">
        <v>40333</v>
      </c>
      <c r="V156" s="11">
        <v>155</v>
      </c>
      <c r="W156" s="4">
        <v>40698</v>
      </c>
      <c r="X156" s="12">
        <v>155</v>
      </c>
      <c r="Y156" s="4">
        <v>41063</v>
      </c>
    </row>
    <row r="157" spans="12:25" x14ac:dyDescent="0.25">
      <c r="L157" s="10">
        <v>156</v>
      </c>
      <c r="M157" s="4">
        <v>38873</v>
      </c>
      <c r="N157" s="11">
        <v>156</v>
      </c>
      <c r="O157" s="4">
        <v>39238</v>
      </c>
      <c r="P157" s="11">
        <v>156</v>
      </c>
      <c r="Q157" s="4">
        <v>39603</v>
      </c>
      <c r="R157" s="11">
        <v>156</v>
      </c>
      <c r="S157" s="4">
        <v>39969</v>
      </c>
      <c r="T157" s="11">
        <v>156</v>
      </c>
      <c r="U157" s="4">
        <v>40334</v>
      </c>
      <c r="V157" s="11">
        <v>156</v>
      </c>
      <c r="W157" s="4">
        <v>40699</v>
      </c>
      <c r="X157" s="12">
        <v>156</v>
      </c>
      <c r="Y157" s="4">
        <v>41064</v>
      </c>
    </row>
    <row r="158" spans="12:25" x14ac:dyDescent="0.25">
      <c r="L158" s="10">
        <v>157</v>
      </c>
      <c r="M158" s="4">
        <v>38874</v>
      </c>
      <c r="N158" s="11">
        <v>157</v>
      </c>
      <c r="O158" s="4">
        <v>39239</v>
      </c>
      <c r="P158" s="11">
        <v>157</v>
      </c>
      <c r="Q158" s="4">
        <v>39604</v>
      </c>
      <c r="R158" s="11">
        <v>157</v>
      </c>
      <c r="S158" s="4">
        <v>39970</v>
      </c>
      <c r="T158" s="11">
        <v>157</v>
      </c>
      <c r="U158" s="4">
        <v>40335</v>
      </c>
      <c r="V158" s="11">
        <v>157</v>
      </c>
      <c r="W158" s="4">
        <v>40700</v>
      </c>
      <c r="X158" s="12">
        <v>157</v>
      </c>
      <c r="Y158" s="4">
        <v>41065</v>
      </c>
    </row>
    <row r="159" spans="12:25" x14ac:dyDescent="0.25">
      <c r="L159" s="10">
        <v>158</v>
      </c>
      <c r="M159" s="4">
        <v>38875</v>
      </c>
      <c r="N159" s="11">
        <v>158</v>
      </c>
      <c r="O159" s="4">
        <v>39240</v>
      </c>
      <c r="P159" s="11">
        <v>158</v>
      </c>
      <c r="Q159" s="4">
        <v>39605</v>
      </c>
      <c r="R159" s="11">
        <v>158</v>
      </c>
      <c r="S159" s="4">
        <v>39971</v>
      </c>
      <c r="T159" s="11">
        <v>158</v>
      </c>
      <c r="U159" s="4">
        <v>40336</v>
      </c>
      <c r="V159" s="11">
        <v>158</v>
      </c>
      <c r="W159" s="4">
        <v>40701</v>
      </c>
      <c r="X159" s="12">
        <v>158</v>
      </c>
      <c r="Y159" s="4">
        <v>41066</v>
      </c>
    </row>
    <row r="160" spans="12:25" x14ac:dyDescent="0.25">
      <c r="L160" s="10">
        <v>159</v>
      </c>
      <c r="M160" s="4">
        <v>38876</v>
      </c>
      <c r="N160" s="11">
        <v>159</v>
      </c>
      <c r="O160" s="4">
        <v>39241</v>
      </c>
      <c r="P160" s="11">
        <v>159</v>
      </c>
      <c r="Q160" s="4">
        <v>39606</v>
      </c>
      <c r="R160" s="11">
        <v>159</v>
      </c>
      <c r="S160" s="4">
        <v>39972</v>
      </c>
      <c r="T160" s="11">
        <v>159</v>
      </c>
      <c r="U160" s="4">
        <v>40337</v>
      </c>
      <c r="V160" s="11">
        <v>159</v>
      </c>
      <c r="W160" s="4">
        <v>40702</v>
      </c>
      <c r="X160" s="12">
        <v>159</v>
      </c>
      <c r="Y160" s="4">
        <v>41067</v>
      </c>
    </row>
    <row r="161" spans="12:25" x14ac:dyDescent="0.25">
      <c r="L161" s="10">
        <v>160</v>
      </c>
      <c r="M161" s="4">
        <v>38877</v>
      </c>
      <c r="N161" s="11">
        <v>160</v>
      </c>
      <c r="O161" s="4">
        <v>39242</v>
      </c>
      <c r="P161" s="11">
        <v>160</v>
      </c>
      <c r="Q161" s="4">
        <v>39607</v>
      </c>
      <c r="R161" s="11">
        <v>160</v>
      </c>
      <c r="S161" s="4">
        <v>39973</v>
      </c>
      <c r="T161" s="11">
        <v>160</v>
      </c>
      <c r="U161" s="4">
        <v>40338</v>
      </c>
      <c r="V161" s="11">
        <v>160</v>
      </c>
      <c r="W161" s="4">
        <v>40703</v>
      </c>
      <c r="X161" s="12">
        <v>160</v>
      </c>
      <c r="Y161" s="4">
        <v>41068</v>
      </c>
    </row>
    <row r="162" spans="12:25" x14ac:dyDescent="0.25">
      <c r="L162" s="10">
        <v>161</v>
      </c>
      <c r="M162" s="4">
        <v>38878</v>
      </c>
      <c r="N162" s="11">
        <v>161</v>
      </c>
      <c r="O162" s="4">
        <v>39243</v>
      </c>
      <c r="P162" s="11">
        <v>161</v>
      </c>
      <c r="Q162" s="4">
        <v>39608</v>
      </c>
      <c r="R162" s="11">
        <v>161</v>
      </c>
      <c r="S162" s="4">
        <v>39974</v>
      </c>
      <c r="T162" s="11">
        <v>161</v>
      </c>
      <c r="U162" s="4">
        <v>40339</v>
      </c>
      <c r="V162" s="11">
        <v>161</v>
      </c>
      <c r="W162" s="4">
        <v>40704</v>
      </c>
      <c r="X162" s="12">
        <v>161</v>
      </c>
      <c r="Y162" s="4">
        <v>41069</v>
      </c>
    </row>
    <row r="163" spans="12:25" x14ac:dyDescent="0.25">
      <c r="L163" s="10">
        <v>162</v>
      </c>
      <c r="M163" s="4">
        <v>38879</v>
      </c>
      <c r="N163" s="11">
        <v>162</v>
      </c>
      <c r="O163" s="4">
        <v>39244</v>
      </c>
      <c r="P163" s="11">
        <v>162</v>
      </c>
      <c r="Q163" s="4">
        <v>39609</v>
      </c>
      <c r="R163" s="11">
        <v>162</v>
      </c>
      <c r="S163" s="4">
        <v>39975</v>
      </c>
      <c r="T163" s="11">
        <v>162</v>
      </c>
      <c r="U163" s="4">
        <v>40340</v>
      </c>
      <c r="V163" s="11">
        <v>162</v>
      </c>
      <c r="W163" s="4">
        <v>40705</v>
      </c>
      <c r="X163" s="12">
        <v>162</v>
      </c>
      <c r="Y163" s="4">
        <v>41070</v>
      </c>
    </row>
    <row r="164" spans="12:25" x14ac:dyDescent="0.25">
      <c r="L164" s="10">
        <v>163</v>
      </c>
      <c r="M164" s="4">
        <v>38880</v>
      </c>
      <c r="N164" s="11">
        <v>163</v>
      </c>
      <c r="O164" s="4">
        <v>39245</v>
      </c>
      <c r="P164" s="11">
        <v>163</v>
      </c>
      <c r="Q164" s="4">
        <v>39610</v>
      </c>
      <c r="R164" s="11">
        <v>163</v>
      </c>
      <c r="S164" s="4">
        <v>39976</v>
      </c>
      <c r="T164" s="11">
        <v>163</v>
      </c>
      <c r="U164" s="4">
        <v>40341</v>
      </c>
      <c r="V164" s="11">
        <v>163</v>
      </c>
      <c r="W164" s="4">
        <v>40706</v>
      </c>
      <c r="X164" s="12">
        <v>163</v>
      </c>
      <c r="Y164" s="4">
        <v>41071</v>
      </c>
    </row>
    <row r="165" spans="12:25" x14ac:dyDescent="0.25">
      <c r="L165" s="10">
        <v>164</v>
      </c>
      <c r="M165" s="4">
        <v>38881</v>
      </c>
      <c r="N165" s="11">
        <v>164</v>
      </c>
      <c r="O165" s="4">
        <v>39246</v>
      </c>
      <c r="P165" s="11">
        <v>164</v>
      </c>
      <c r="Q165" s="4">
        <v>39611</v>
      </c>
      <c r="R165" s="11">
        <v>164</v>
      </c>
      <c r="S165" s="4">
        <v>39977</v>
      </c>
      <c r="T165" s="11">
        <v>164</v>
      </c>
      <c r="U165" s="4">
        <v>40342</v>
      </c>
      <c r="V165" s="11">
        <v>164</v>
      </c>
      <c r="W165" s="4">
        <v>40707</v>
      </c>
      <c r="X165" s="12">
        <v>164</v>
      </c>
      <c r="Y165" s="4">
        <v>41072</v>
      </c>
    </row>
    <row r="166" spans="12:25" x14ac:dyDescent="0.25">
      <c r="L166" s="10">
        <v>165</v>
      </c>
      <c r="M166" s="4">
        <v>38882</v>
      </c>
      <c r="N166" s="11">
        <v>165</v>
      </c>
      <c r="O166" s="4">
        <v>39247</v>
      </c>
      <c r="P166" s="11">
        <v>165</v>
      </c>
      <c r="Q166" s="4">
        <v>39612</v>
      </c>
      <c r="R166" s="11">
        <v>165</v>
      </c>
      <c r="S166" s="4">
        <v>39978</v>
      </c>
      <c r="T166" s="11">
        <v>165</v>
      </c>
      <c r="U166" s="4">
        <v>40343</v>
      </c>
      <c r="V166" s="11">
        <v>165</v>
      </c>
      <c r="W166" s="4">
        <v>40708</v>
      </c>
      <c r="X166" s="12">
        <v>165</v>
      </c>
      <c r="Y166" s="4">
        <v>41073</v>
      </c>
    </row>
    <row r="167" spans="12:25" x14ac:dyDescent="0.25">
      <c r="L167" s="10">
        <v>166</v>
      </c>
      <c r="M167" s="4">
        <v>38883</v>
      </c>
      <c r="N167" s="11">
        <v>166</v>
      </c>
      <c r="O167" s="4">
        <v>39248</v>
      </c>
      <c r="P167" s="11">
        <v>166</v>
      </c>
      <c r="Q167" s="4">
        <v>39613</v>
      </c>
      <c r="R167" s="11">
        <v>166</v>
      </c>
      <c r="S167" s="4">
        <v>39979</v>
      </c>
      <c r="T167" s="11">
        <v>166</v>
      </c>
      <c r="U167" s="4">
        <v>40344</v>
      </c>
      <c r="V167" s="11">
        <v>166</v>
      </c>
      <c r="W167" s="4">
        <v>40709</v>
      </c>
      <c r="X167" s="12">
        <v>166</v>
      </c>
      <c r="Y167" s="4">
        <v>41074</v>
      </c>
    </row>
    <row r="168" spans="12:25" x14ac:dyDescent="0.25">
      <c r="L168" s="10">
        <v>167</v>
      </c>
      <c r="M168" s="4">
        <v>38884</v>
      </c>
      <c r="N168" s="11">
        <v>167</v>
      </c>
      <c r="O168" s="4">
        <v>39249</v>
      </c>
      <c r="P168" s="11">
        <v>167</v>
      </c>
      <c r="Q168" s="4">
        <v>39614</v>
      </c>
      <c r="R168" s="11">
        <v>167</v>
      </c>
      <c r="S168" s="4">
        <v>39980</v>
      </c>
      <c r="T168" s="11">
        <v>167</v>
      </c>
      <c r="U168" s="4">
        <v>40345</v>
      </c>
      <c r="V168" s="11">
        <v>167</v>
      </c>
      <c r="W168" s="4">
        <v>40710</v>
      </c>
      <c r="X168" s="12">
        <v>167</v>
      </c>
      <c r="Y168" s="4">
        <v>41075</v>
      </c>
    </row>
    <row r="169" spans="12:25" x14ac:dyDescent="0.25">
      <c r="L169" s="10">
        <v>168</v>
      </c>
      <c r="M169" s="4">
        <v>38885</v>
      </c>
      <c r="N169" s="11">
        <v>168</v>
      </c>
      <c r="O169" s="4">
        <v>39250</v>
      </c>
      <c r="P169" s="11">
        <v>168</v>
      </c>
      <c r="Q169" s="4">
        <v>39615</v>
      </c>
      <c r="R169" s="11">
        <v>168</v>
      </c>
      <c r="S169" s="4">
        <v>39981</v>
      </c>
      <c r="T169" s="11">
        <v>168</v>
      </c>
      <c r="U169" s="4">
        <v>40346</v>
      </c>
      <c r="V169" s="11">
        <v>168</v>
      </c>
      <c r="W169" s="4">
        <v>40711</v>
      </c>
      <c r="X169" s="12">
        <v>168</v>
      </c>
      <c r="Y169" s="4">
        <v>41076</v>
      </c>
    </row>
    <row r="170" spans="12:25" x14ac:dyDescent="0.25">
      <c r="L170" s="10">
        <v>169</v>
      </c>
      <c r="M170" s="4">
        <v>38886</v>
      </c>
      <c r="N170" s="11">
        <v>169</v>
      </c>
      <c r="O170" s="4">
        <v>39251</v>
      </c>
      <c r="P170" s="11">
        <v>169</v>
      </c>
      <c r="Q170" s="4">
        <v>39616</v>
      </c>
      <c r="R170" s="11">
        <v>169</v>
      </c>
      <c r="S170" s="4">
        <v>39982</v>
      </c>
      <c r="T170" s="11">
        <v>169</v>
      </c>
      <c r="U170" s="4">
        <v>40347</v>
      </c>
      <c r="V170" s="11">
        <v>169</v>
      </c>
      <c r="W170" s="4">
        <v>40712</v>
      </c>
      <c r="X170" s="12">
        <v>169</v>
      </c>
      <c r="Y170" s="4">
        <v>41077</v>
      </c>
    </row>
    <row r="171" spans="12:25" x14ac:dyDescent="0.25">
      <c r="L171" s="10">
        <v>170</v>
      </c>
      <c r="M171" s="4">
        <v>38887</v>
      </c>
      <c r="N171" s="11">
        <v>170</v>
      </c>
      <c r="O171" s="4">
        <v>39252</v>
      </c>
      <c r="P171" s="11">
        <v>170</v>
      </c>
      <c r="Q171" s="4">
        <v>39617</v>
      </c>
      <c r="R171" s="11">
        <v>170</v>
      </c>
      <c r="S171" s="4">
        <v>39983</v>
      </c>
      <c r="T171" s="11">
        <v>170</v>
      </c>
      <c r="U171" s="4">
        <v>40348</v>
      </c>
      <c r="V171" s="11">
        <v>170</v>
      </c>
      <c r="W171" s="4">
        <v>40713</v>
      </c>
      <c r="X171" s="12">
        <v>170</v>
      </c>
      <c r="Y171" s="4">
        <v>41078</v>
      </c>
    </row>
    <row r="172" spans="12:25" x14ac:dyDescent="0.25">
      <c r="L172" s="10">
        <v>171</v>
      </c>
      <c r="M172" s="4">
        <v>38888</v>
      </c>
      <c r="N172" s="11">
        <v>171</v>
      </c>
      <c r="O172" s="4">
        <v>39253</v>
      </c>
      <c r="P172" s="11">
        <v>171</v>
      </c>
      <c r="Q172" s="4">
        <v>39618</v>
      </c>
      <c r="R172" s="11">
        <v>171</v>
      </c>
      <c r="S172" s="4">
        <v>39984</v>
      </c>
      <c r="T172" s="11">
        <v>171</v>
      </c>
      <c r="U172" s="4">
        <v>40349</v>
      </c>
      <c r="V172" s="11">
        <v>171</v>
      </c>
      <c r="W172" s="4">
        <v>40714</v>
      </c>
      <c r="X172" s="12">
        <v>171</v>
      </c>
      <c r="Y172" s="4">
        <v>41079</v>
      </c>
    </row>
    <row r="173" spans="12:25" x14ac:dyDescent="0.25">
      <c r="L173" s="10">
        <v>172</v>
      </c>
      <c r="M173" s="4">
        <v>38889</v>
      </c>
      <c r="N173" s="11">
        <v>172</v>
      </c>
      <c r="O173" s="4">
        <v>39254</v>
      </c>
      <c r="P173" s="11">
        <v>172</v>
      </c>
      <c r="Q173" s="4">
        <v>39619</v>
      </c>
      <c r="R173" s="11">
        <v>172</v>
      </c>
      <c r="S173" s="4">
        <v>39985</v>
      </c>
      <c r="T173" s="11">
        <v>172</v>
      </c>
      <c r="U173" s="4">
        <v>40350</v>
      </c>
      <c r="V173" s="11">
        <v>172</v>
      </c>
      <c r="W173" s="4">
        <v>40715</v>
      </c>
      <c r="X173" s="12">
        <v>172</v>
      </c>
      <c r="Y173" s="4">
        <v>41080</v>
      </c>
    </row>
    <row r="174" spans="12:25" x14ac:dyDescent="0.25">
      <c r="L174" s="10">
        <v>173</v>
      </c>
      <c r="M174" s="4">
        <v>38890</v>
      </c>
      <c r="N174" s="11">
        <v>173</v>
      </c>
      <c r="O174" s="4">
        <v>39255</v>
      </c>
      <c r="P174" s="11">
        <v>173</v>
      </c>
      <c r="Q174" s="4">
        <v>39620</v>
      </c>
      <c r="R174" s="11">
        <v>173</v>
      </c>
      <c r="S174" s="4">
        <v>39986</v>
      </c>
      <c r="T174" s="11">
        <v>173</v>
      </c>
      <c r="U174" s="4">
        <v>40351</v>
      </c>
      <c r="V174" s="11">
        <v>173</v>
      </c>
      <c r="W174" s="4">
        <v>40716</v>
      </c>
      <c r="X174" s="12">
        <v>173</v>
      </c>
      <c r="Y174" s="4">
        <v>41081</v>
      </c>
    </row>
    <row r="175" spans="12:25" x14ac:dyDescent="0.25">
      <c r="L175" s="10">
        <v>174</v>
      </c>
      <c r="M175" s="4">
        <v>38891</v>
      </c>
      <c r="N175" s="11">
        <v>174</v>
      </c>
      <c r="O175" s="4">
        <v>39256</v>
      </c>
      <c r="P175" s="11">
        <v>174</v>
      </c>
      <c r="Q175" s="4">
        <v>39621</v>
      </c>
      <c r="R175" s="11">
        <v>174</v>
      </c>
      <c r="S175" s="4">
        <v>39987</v>
      </c>
      <c r="T175" s="11">
        <v>174</v>
      </c>
      <c r="U175" s="4">
        <v>40352</v>
      </c>
      <c r="V175" s="11">
        <v>174</v>
      </c>
      <c r="W175" s="4">
        <v>40717</v>
      </c>
      <c r="X175" s="12">
        <v>174</v>
      </c>
      <c r="Y175" s="4">
        <v>41082</v>
      </c>
    </row>
    <row r="176" spans="12:25" x14ac:dyDescent="0.25">
      <c r="L176" s="10">
        <v>175</v>
      </c>
      <c r="M176" s="4">
        <v>38892</v>
      </c>
      <c r="N176" s="11">
        <v>175</v>
      </c>
      <c r="O176" s="4">
        <v>39257</v>
      </c>
      <c r="P176" s="11">
        <v>175</v>
      </c>
      <c r="Q176" s="4">
        <v>39622</v>
      </c>
      <c r="R176" s="11">
        <v>175</v>
      </c>
      <c r="S176" s="4">
        <v>39988</v>
      </c>
      <c r="T176" s="11">
        <v>175</v>
      </c>
      <c r="U176" s="4">
        <v>40353</v>
      </c>
      <c r="V176" s="11">
        <v>175</v>
      </c>
      <c r="W176" s="4">
        <v>40718</v>
      </c>
      <c r="X176" s="12">
        <v>175</v>
      </c>
      <c r="Y176" s="4">
        <v>41083</v>
      </c>
    </row>
    <row r="177" spans="12:25" x14ac:dyDescent="0.25">
      <c r="L177" s="10">
        <v>176</v>
      </c>
      <c r="M177" s="4">
        <v>38893</v>
      </c>
      <c r="N177" s="11">
        <v>176</v>
      </c>
      <c r="O177" s="4">
        <v>39258</v>
      </c>
      <c r="P177" s="11">
        <v>176</v>
      </c>
      <c r="Q177" s="4">
        <v>39623</v>
      </c>
      <c r="R177" s="11">
        <v>176</v>
      </c>
      <c r="S177" s="4">
        <v>39989</v>
      </c>
      <c r="T177" s="11">
        <v>176</v>
      </c>
      <c r="U177" s="4">
        <v>40354</v>
      </c>
      <c r="V177" s="11">
        <v>176</v>
      </c>
      <c r="W177" s="4">
        <v>40719</v>
      </c>
      <c r="X177" s="12">
        <v>176</v>
      </c>
      <c r="Y177" s="4">
        <v>41084</v>
      </c>
    </row>
    <row r="178" spans="12:25" x14ac:dyDescent="0.25">
      <c r="L178" s="10">
        <v>177</v>
      </c>
      <c r="M178" s="4">
        <v>38894</v>
      </c>
      <c r="N178" s="11">
        <v>177</v>
      </c>
      <c r="O178" s="4">
        <v>39259</v>
      </c>
      <c r="P178" s="11">
        <v>177</v>
      </c>
      <c r="Q178" s="4">
        <v>39624</v>
      </c>
      <c r="R178" s="11">
        <v>177</v>
      </c>
      <c r="S178" s="4">
        <v>39990</v>
      </c>
      <c r="T178" s="11">
        <v>177</v>
      </c>
      <c r="U178" s="4">
        <v>40355</v>
      </c>
      <c r="V178" s="11">
        <v>177</v>
      </c>
      <c r="W178" s="4">
        <v>40720</v>
      </c>
      <c r="X178" s="12">
        <v>177</v>
      </c>
      <c r="Y178" s="4">
        <v>41085</v>
      </c>
    </row>
    <row r="179" spans="12:25" x14ac:dyDescent="0.25">
      <c r="L179" s="10">
        <v>178</v>
      </c>
      <c r="M179" s="4">
        <v>38895</v>
      </c>
      <c r="N179" s="11">
        <v>178</v>
      </c>
      <c r="O179" s="4">
        <v>39260</v>
      </c>
      <c r="P179" s="11">
        <v>178</v>
      </c>
      <c r="Q179" s="4">
        <v>39625</v>
      </c>
      <c r="R179" s="11">
        <v>178</v>
      </c>
      <c r="S179" s="4">
        <v>39991</v>
      </c>
      <c r="T179" s="11">
        <v>178</v>
      </c>
      <c r="U179" s="4">
        <v>40356</v>
      </c>
      <c r="V179" s="11">
        <v>178</v>
      </c>
      <c r="W179" s="4">
        <v>40721</v>
      </c>
      <c r="X179" s="12">
        <v>178</v>
      </c>
      <c r="Y179" s="4">
        <v>41086</v>
      </c>
    </row>
    <row r="180" spans="12:25" x14ac:dyDescent="0.25">
      <c r="L180" s="10">
        <v>179</v>
      </c>
      <c r="M180" s="4">
        <v>38896</v>
      </c>
      <c r="N180" s="11">
        <v>179</v>
      </c>
      <c r="O180" s="4">
        <v>39261</v>
      </c>
      <c r="P180" s="11">
        <v>179</v>
      </c>
      <c r="Q180" s="4">
        <v>39626</v>
      </c>
      <c r="R180" s="11">
        <v>179</v>
      </c>
      <c r="S180" s="4">
        <v>39992</v>
      </c>
      <c r="T180" s="11">
        <v>179</v>
      </c>
      <c r="U180" s="4">
        <v>40357</v>
      </c>
      <c r="V180" s="11">
        <v>179</v>
      </c>
      <c r="W180" s="4">
        <v>40722</v>
      </c>
      <c r="X180" s="12">
        <v>179</v>
      </c>
      <c r="Y180" s="4">
        <v>41087</v>
      </c>
    </row>
    <row r="181" spans="12:25" x14ac:dyDescent="0.25">
      <c r="L181" s="10">
        <v>180</v>
      </c>
      <c r="M181" s="4">
        <v>38897</v>
      </c>
      <c r="N181" s="11">
        <v>180</v>
      </c>
      <c r="O181" s="4">
        <v>39262</v>
      </c>
      <c r="P181" s="11">
        <v>180</v>
      </c>
      <c r="Q181" s="4">
        <v>39627</v>
      </c>
      <c r="R181" s="11">
        <v>180</v>
      </c>
      <c r="S181" s="4">
        <v>39993</v>
      </c>
      <c r="T181" s="11">
        <v>180</v>
      </c>
      <c r="U181" s="4">
        <v>40358</v>
      </c>
      <c r="V181" s="11">
        <v>180</v>
      </c>
      <c r="W181" s="4">
        <v>40723</v>
      </c>
      <c r="X181" s="12">
        <v>180</v>
      </c>
      <c r="Y181" s="4">
        <v>41088</v>
      </c>
    </row>
    <row r="182" spans="12:25" x14ac:dyDescent="0.25">
      <c r="L182" s="10">
        <v>181</v>
      </c>
      <c r="M182" s="4">
        <v>38898</v>
      </c>
      <c r="N182" s="11">
        <v>181</v>
      </c>
      <c r="O182" s="4">
        <v>39263</v>
      </c>
      <c r="P182" s="11">
        <v>181</v>
      </c>
      <c r="Q182" s="4">
        <v>39628</v>
      </c>
      <c r="R182" s="11">
        <v>181</v>
      </c>
      <c r="S182" s="4">
        <v>39994</v>
      </c>
      <c r="T182" s="11">
        <v>181</v>
      </c>
      <c r="U182" s="4">
        <v>40359</v>
      </c>
      <c r="V182" s="11">
        <v>181</v>
      </c>
      <c r="W182" s="4">
        <v>40724</v>
      </c>
      <c r="X182" s="12">
        <v>181</v>
      </c>
      <c r="Y182" s="4">
        <v>41089</v>
      </c>
    </row>
    <row r="183" spans="12:25" x14ac:dyDescent="0.25">
      <c r="L183" s="10">
        <v>182</v>
      </c>
      <c r="M183" s="4">
        <v>38899</v>
      </c>
      <c r="N183" s="11">
        <v>182</v>
      </c>
      <c r="O183" s="4">
        <v>39264</v>
      </c>
      <c r="P183" s="11">
        <v>182</v>
      </c>
      <c r="Q183" s="4">
        <v>39629</v>
      </c>
      <c r="R183" s="11">
        <v>182</v>
      </c>
      <c r="S183" s="4">
        <v>39995</v>
      </c>
      <c r="T183" s="11">
        <v>182</v>
      </c>
      <c r="U183" s="4">
        <v>40360</v>
      </c>
      <c r="V183" s="11">
        <v>182</v>
      </c>
      <c r="W183" s="4">
        <v>40725</v>
      </c>
      <c r="X183" s="12">
        <v>182</v>
      </c>
      <c r="Y183" s="4">
        <v>41090</v>
      </c>
    </row>
    <row r="184" spans="12:25" x14ac:dyDescent="0.25">
      <c r="L184" s="10">
        <v>183</v>
      </c>
      <c r="M184" s="4">
        <v>38900</v>
      </c>
      <c r="N184" s="11">
        <v>183</v>
      </c>
      <c r="O184" s="4">
        <v>39265</v>
      </c>
      <c r="P184" s="11">
        <v>183</v>
      </c>
      <c r="Q184" s="4">
        <v>39630</v>
      </c>
      <c r="R184" s="11">
        <v>183</v>
      </c>
      <c r="S184" s="4">
        <v>39996</v>
      </c>
      <c r="T184" s="11">
        <v>183</v>
      </c>
      <c r="U184" s="4">
        <v>40361</v>
      </c>
      <c r="V184" s="11">
        <v>183</v>
      </c>
      <c r="W184" s="4">
        <v>40726</v>
      </c>
      <c r="X184" s="12">
        <v>183</v>
      </c>
      <c r="Y184" s="4">
        <v>41091</v>
      </c>
    </row>
    <row r="185" spans="12:25" x14ac:dyDescent="0.25">
      <c r="L185" s="10">
        <v>184</v>
      </c>
      <c r="M185" s="4">
        <v>38901</v>
      </c>
      <c r="N185" s="11">
        <v>184</v>
      </c>
      <c r="O185" s="4">
        <v>39266</v>
      </c>
      <c r="P185" s="11">
        <v>184</v>
      </c>
      <c r="Q185" s="4">
        <v>39631</v>
      </c>
      <c r="R185" s="11">
        <v>184</v>
      </c>
      <c r="S185" s="4">
        <v>39997</v>
      </c>
      <c r="T185" s="11">
        <v>184</v>
      </c>
      <c r="U185" s="4">
        <v>40362</v>
      </c>
      <c r="V185" s="11">
        <v>184</v>
      </c>
      <c r="W185" s="4">
        <v>40727</v>
      </c>
      <c r="X185" s="12">
        <v>184</v>
      </c>
      <c r="Y185" s="4">
        <v>41092</v>
      </c>
    </row>
    <row r="186" spans="12:25" x14ac:dyDescent="0.25">
      <c r="L186" s="10">
        <v>185</v>
      </c>
      <c r="M186" s="4">
        <v>38902</v>
      </c>
      <c r="N186" s="11">
        <v>185</v>
      </c>
      <c r="O186" s="4">
        <v>39267</v>
      </c>
      <c r="P186" s="11">
        <v>185</v>
      </c>
      <c r="Q186" s="4">
        <v>39632</v>
      </c>
      <c r="R186" s="11">
        <v>185</v>
      </c>
      <c r="S186" s="4">
        <v>39998</v>
      </c>
      <c r="T186" s="11">
        <v>185</v>
      </c>
      <c r="U186" s="4">
        <v>40363</v>
      </c>
      <c r="V186" s="11">
        <v>185</v>
      </c>
      <c r="W186" s="4">
        <v>40728</v>
      </c>
      <c r="X186" s="12">
        <v>185</v>
      </c>
      <c r="Y186" s="4">
        <v>41093</v>
      </c>
    </row>
    <row r="187" spans="12:25" x14ac:dyDescent="0.25">
      <c r="L187" s="10">
        <v>186</v>
      </c>
      <c r="M187" s="4">
        <v>38903</v>
      </c>
      <c r="N187" s="11">
        <v>186</v>
      </c>
      <c r="O187" s="4">
        <v>39268</v>
      </c>
      <c r="P187" s="11">
        <v>186</v>
      </c>
      <c r="Q187" s="4">
        <v>39633</v>
      </c>
      <c r="R187" s="11">
        <v>186</v>
      </c>
      <c r="S187" s="4">
        <v>39999</v>
      </c>
      <c r="T187" s="11">
        <v>186</v>
      </c>
      <c r="U187" s="4">
        <v>40364</v>
      </c>
      <c r="V187" s="11">
        <v>186</v>
      </c>
      <c r="W187" s="4">
        <v>40729</v>
      </c>
      <c r="X187" s="12">
        <v>186</v>
      </c>
      <c r="Y187" s="4">
        <v>41094</v>
      </c>
    </row>
    <row r="188" spans="12:25" x14ac:dyDescent="0.25">
      <c r="L188" s="10">
        <v>187</v>
      </c>
      <c r="M188" s="4">
        <v>38904</v>
      </c>
      <c r="N188" s="11">
        <v>187</v>
      </c>
      <c r="O188" s="4">
        <v>39269</v>
      </c>
      <c r="P188" s="11">
        <v>187</v>
      </c>
      <c r="Q188" s="4">
        <v>39634</v>
      </c>
      <c r="R188" s="11">
        <v>187</v>
      </c>
      <c r="S188" s="4">
        <v>40000</v>
      </c>
      <c r="T188" s="11">
        <v>187</v>
      </c>
      <c r="U188" s="4">
        <v>40365</v>
      </c>
      <c r="V188" s="11">
        <v>187</v>
      </c>
      <c r="W188" s="4">
        <v>40730</v>
      </c>
      <c r="X188" s="12">
        <v>187</v>
      </c>
      <c r="Y188" s="4">
        <v>41095</v>
      </c>
    </row>
    <row r="189" spans="12:25" x14ac:dyDescent="0.25">
      <c r="L189" s="10">
        <v>188</v>
      </c>
      <c r="M189" s="4">
        <v>38905</v>
      </c>
      <c r="N189" s="11">
        <v>188</v>
      </c>
      <c r="O189" s="4">
        <v>39270</v>
      </c>
      <c r="P189" s="11">
        <v>188</v>
      </c>
      <c r="Q189" s="4">
        <v>39635</v>
      </c>
      <c r="R189" s="11">
        <v>188</v>
      </c>
      <c r="S189" s="4">
        <v>40001</v>
      </c>
      <c r="T189" s="11">
        <v>188</v>
      </c>
      <c r="U189" s="4">
        <v>40366</v>
      </c>
      <c r="V189" s="11">
        <v>188</v>
      </c>
      <c r="W189" s="4">
        <v>40731</v>
      </c>
      <c r="X189" s="12">
        <v>188</v>
      </c>
      <c r="Y189" s="4">
        <v>41096</v>
      </c>
    </row>
    <row r="190" spans="12:25" x14ac:dyDescent="0.25">
      <c r="L190" s="10">
        <v>189</v>
      </c>
      <c r="M190" s="4">
        <v>38906</v>
      </c>
      <c r="N190" s="11">
        <v>189</v>
      </c>
      <c r="O190" s="4">
        <v>39271</v>
      </c>
      <c r="P190" s="11">
        <v>189</v>
      </c>
      <c r="Q190" s="4">
        <v>39636</v>
      </c>
      <c r="R190" s="11">
        <v>189</v>
      </c>
      <c r="S190" s="4">
        <v>40002</v>
      </c>
      <c r="T190" s="11">
        <v>189</v>
      </c>
      <c r="U190" s="4">
        <v>40367</v>
      </c>
      <c r="V190" s="11">
        <v>189</v>
      </c>
      <c r="W190" s="4">
        <v>40732</v>
      </c>
      <c r="X190" s="12">
        <v>189</v>
      </c>
      <c r="Y190" s="4">
        <v>41097</v>
      </c>
    </row>
    <row r="191" spans="12:25" x14ac:dyDescent="0.25">
      <c r="L191" s="10">
        <v>190</v>
      </c>
      <c r="M191" s="4">
        <v>38907</v>
      </c>
      <c r="N191" s="11">
        <v>190</v>
      </c>
      <c r="O191" s="4">
        <v>39272</v>
      </c>
      <c r="P191" s="11">
        <v>190</v>
      </c>
      <c r="Q191" s="4">
        <v>39637</v>
      </c>
      <c r="R191" s="11">
        <v>190</v>
      </c>
      <c r="S191" s="4">
        <v>40003</v>
      </c>
      <c r="T191" s="11">
        <v>190</v>
      </c>
      <c r="U191" s="4">
        <v>40368</v>
      </c>
      <c r="V191" s="11">
        <v>190</v>
      </c>
      <c r="W191" s="4">
        <v>40733</v>
      </c>
      <c r="X191" s="12">
        <v>190</v>
      </c>
      <c r="Y191" s="4">
        <v>41098</v>
      </c>
    </row>
    <row r="192" spans="12:25" x14ac:dyDescent="0.25">
      <c r="L192" s="10">
        <v>191</v>
      </c>
      <c r="M192" s="4">
        <v>38908</v>
      </c>
      <c r="N192" s="11">
        <v>191</v>
      </c>
      <c r="O192" s="4">
        <v>39273</v>
      </c>
      <c r="P192" s="11">
        <v>191</v>
      </c>
      <c r="Q192" s="4">
        <v>39638</v>
      </c>
      <c r="R192" s="11">
        <v>191</v>
      </c>
      <c r="S192" s="4">
        <v>40004</v>
      </c>
      <c r="T192" s="11">
        <v>191</v>
      </c>
      <c r="U192" s="4">
        <v>40369</v>
      </c>
      <c r="V192" s="11">
        <v>191</v>
      </c>
      <c r="W192" s="4">
        <v>40734</v>
      </c>
      <c r="X192" s="12">
        <v>191</v>
      </c>
      <c r="Y192" s="4">
        <v>41099</v>
      </c>
    </row>
    <row r="193" spans="12:25" x14ac:dyDescent="0.25">
      <c r="L193" s="10">
        <v>192</v>
      </c>
      <c r="M193" s="4">
        <v>38909</v>
      </c>
      <c r="N193" s="11">
        <v>192</v>
      </c>
      <c r="O193" s="4">
        <v>39274</v>
      </c>
      <c r="P193" s="11">
        <v>192</v>
      </c>
      <c r="Q193" s="4">
        <v>39639</v>
      </c>
      <c r="R193" s="11">
        <v>192</v>
      </c>
      <c r="S193" s="4">
        <v>40005</v>
      </c>
      <c r="T193" s="11">
        <v>192</v>
      </c>
      <c r="U193" s="4">
        <v>40370</v>
      </c>
      <c r="V193" s="11">
        <v>192</v>
      </c>
      <c r="W193" s="4">
        <v>40735</v>
      </c>
      <c r="X193" s="12">
        <v>192</v>
      </c>
      <c r="Y193" s="4">
        <v>41100</v>
      </c>
    </row>
    <row r="194" spans="12:25" x14ac:dyDescent="0.25">
      <c r="L194" s="10">
        <v>193</v>
      </c>
      <c r="M194" s="4">
        <v>38910</v>
      </c>
      <c r="N194" s="11">
        <v>193</v>
      </c>
      <c r="O194" s="4">
        <v>39275</v>
      </c>
      <c r="P194" s="11">
        <v>193</v>
      </c>
      <c r="Q194" s="4">
        <v>39640</v>
      </c>
      <c r="R194" s="11">
        <v>193</v>
      </c>
      <c r="S194" s="4">
        <v>40006</v>
      </c>
      <c r="T194" s="11">
        <v>193</v>
      </c>
      <c r="U194" s="4">
        <v>40371</v>
      </c>
      <c r="V194" s="11">
        <v>193</v>
      </c>
      <c r="W194" s="4">
        <v>40736</v>
      </c>
      <c r="X194" s="12">
        <v>193</v>
      </c>
      <c r="Y194" s="4">
        <v>41101</v>
      </c>
    </row>
    <row r="195" spans="12:25" x14ac:dyDescent="0.25">
      <c r="L195" s="10">
        <v>194</v>
      </c>
      <c r="M195" s="4">
        <v>38911</v>
      </c>
      <c r="N195" s="11">
        <v>194</v>
      </c>
      <c r="O195" s="4">
        <v>39276</v>
      </c>
      <c r="P195" s="11">
        <v>194</v>
      </c>
      <c r="Q195" s="4">
        <v>39641</v>
      </c>
      <c r="R195" s="11">
        <v>194</v>
      </c>
      <c r="S195" s="4">
        <v>40007</v>
      </c>
      <c r="T195" s="11">
        <v>194</v>
      </c>
      <c r="U195" s="4">
        <v>40372</v>
      </c>
      <c r="V195" s="11">
        <v>194</v>
      </c>
      <c r="W195" s="4">
        <v>40737</v>
      </c>
      <c r="X195" s="12">
        <v>194</v>
      </c>
      <c r="Y195" s="4">
        <v>41102</v>
      </c>
    </row>
    <row r="196" spans="12:25" x14ac:dyDescent="0.25">
      <c r="L196" s="10">
        <v>195</v>
      </c>
      <c r="M196" s="4">
        <v>38912</v>
      </c>
      <c r="N196" s="11">
        <v>195</v>
      </c>
      <c r="O196" s="4">
        <v>39277</v>
      </c>
      <c r="P196" s="11">
        <v>195</v>
      </c>
      <c r="Q196" s="4">
        <v>39642</v>
      </c>
      <c r="R196" s="11">
        <v>195</v>
      </c>
      <c r="S196" s="4">
        <v>40008</v>
      </c>
      <c r="T196" s="11">
        <v>195</v>
      </c>
      <c r="U196" s="4">
        <v>40373</v>
      </c>
      <c r="V196" s="11">
        <v>195</v>
      </c>
      <c r="W196" s="4">
        <v>40738</v>
      </c>
      <c r="X196" s="12">
        <v>195</v>
      </c>
      <c r="Y196" s="4">
        <v>41103</v>
      </c>
    </row>
    <row r="197" spans="12:25" x14ac:dyDescent="0.25">
      <c r="L197" s="10">
        <v>196</v>
      </c>
      <c r="M197" s="4">
        <v>38913</v>
      </c>
      <c r="N197" s="11">
        <v>196</v>
      </c>
      <c r="O197" s="4">
        <v>39278</v>
      </c>
      <c r="P197" s="11">
        <v>196</v>
      </c>
      <c r="Q197" s="4">
        <v>39643</v>
      </c>
      <c r="R197" s="11">
        <v>196</v>
      </c>
      <c r="S197" s="4">
        <v>40009</v>
      </c>
      <c r="T197" s="11">
        <v>196</v>
      </c>
      <c r="U197" s="4">
        <v>40374</v>
      </c>
      <c r="V197" s="11">
        <v>196</v>
      </c>
      <c r="W197" s="4">
        <v>40739</v>
      </c>
      <c r="X197" s="12">
        <v>196</v>
      </c>
      <c r="Y197" s="4">
        <v>41104</v>
      </c>
    </row>
    <row r="198" spans="12:25" x14ac:dyDescent="0.25">
      <c r="L198" s="10">
        <v>197</v>
      </c>
      <c r="M198" s="4">
        <v>38914</v>
      </c>
      <c r="N198" s="11">
        <v>197</v>
      </c>
      <c r="O198" s="4">
        <v>39279</v>
      </c>
      <c r="P198" s="11">
        <v>197</v>
      </c>
      <c r="Q198" s="4">
        <v>39644</v>
      </c>
      <c r="R198" s="11">
        <v>197</v>
      </c>
      <c r="S198" s="4">
        <v>40010</v>
      </c>
      <c r="T198" s="11">
        <v>197</v>
      </c>
      <c r="U198" s="4">
        <v>40375</v>
      </c>
      <c r="V198" s="11">
        <v>197</v>
      </c>
      <c r="W198" s="4">
        <v>40740</v>
      </c>
      <c r="X198" s="12">
        <v>197</v>
      </c>
      <c r="Y198" s="4">
        <v>41105</v>
      </c>
    </row>
    <row r="199" spans="12:25" x14ac:dyDescent="0.25">
      <c r="L199" s="10">
        <v>198</v>
      </c>
      <c r="M199" s="4">
        <v>38915</v>
      </c>
      <c r="N199" s="11">
        <v>198</v>
      </c>
      <c r="O199" s="4">
        <v>39280</v>
      </c>
      <c r="P199" s="11">
        <v>198</v>
      </c>
      <c r="Q199" s="4">
        <v>39645</v>
      </c>
      <c r="R199" s="11">
        <v>198</v>
      </c>
      <c r="S199" s="4">
        <v>40011</v>
      </c>
      <c r="T199" s="11">
        <v>198</v>
      </c>
      <c r="U199" s="4">
        <v>40376</v>
      </c>
      <c r="V199" s="11">
        <v>198</v>
      </c>
      <c r="W199" s="4">
        <v>40741</v>
      </c>
      <c r="X199" s="12">
        <v>198</v>
      </c>
      <c r="Y199" s="4">
        <v>41106</v>
      </c>
    </row>
    <row r="200" spans="12:25" x14ac:dyDescent="0.25">
      <c r="L200" s="10">
        <v>199</v>
      </c>
      <c r="M200" s="4">
        <v>38916</v>
      </c>
      <c r="N200" s="11">
        <v>199</v>
      </c>
      <c r="O200" s="4">
        <v>39281</v>
      </c>
      <c r="P200" s="11">
        <v>199</v>
      </c>
      <c r="Q200" s="4">
        <v>39646</v>
      </c>
      <c r="R200" s="11">
        <v>199</v>
      </c>
      <c r="S200" s="4">
        <v>40012</v>
      </c>
      <c r="T200" s="11">
        <v>199</v>
      </c>
      <c r="U200" s="4">
        <v>40377</v>
      </c>
      <c r="V200" s="11">
        <v>199</v>
      </c>
      <c r="W200" s="4">
        <v>40742</v>
      </c>
      <c r="X200" s="12">
        <v>199</v>
      </c>
      <c r="Y200" s="4">
        <v>41107</v>
      </c>
    </row>
    <row r="201" spans="12:25" x14ac:dyDescent="0.25">
      <c r="L201" s="10">
        <v>200</v>
      </c>
      <c r="M201" s="4">
        <v>38917</v>
      </c>
      <c r="N201" s="11">
        <v>200</v>
      </c>
      <c r="O201" s="4">
        <v>39282</v>
      </c>
      <c r="P201" s="11">
        <v>200</v>
      </c>
      <c r="Q201" s="4">
        <v>39647</v>
      </c>
      <c r="R201" s="11">
        <v>200</v>
      </c>
      <c r="S201" s="4">
        <v>40013</v>
      </c>
      <c r="T201" s="11">
        <v>200</v>
      </c>
      <c r="U201" s="4">
        <v>40378</v>
      </c>
      <c r="V201" s="11">
        <v>200</v>
      </c>
      <c r="W201" s="4">
        <v>40743</v>
      </c>
      <c r="X201" s="12">
        <v>200</v>
      </c>
      <c r="Y201" s="4">
        <v>41108</v>
      </c>
    </row>
    <row r="202" spans="12:25" x14ac:dyDescent="0.25">
      <c r="L202" s="10">
        <v>201</v>
      </c>
      <c r="M202" s="4">
        <v>38918</v>
      </c>
      <c r="N202" s="11">
        <v>201</v>
      </c>
      <c r="O202" s="4">
        <v>39283</v>
      </c>
      <c r="P202" s="11">
        <v>201</v>
      </c>
      <c r="Q202" s="4">
        <v>39648</v>
      </c>
      <c r="R202" s="11">
        <v>201</v>
      </c>
      <c r="S202" s="4">
        <v>40014</v>
      </c>
      <c r="T202" s="11">
        <v>201</v>
      </c>
      <c r="U202" s="4">
        <v>40379</v>
      </c>
      <c r="V202" s="11">
        <v>201</v>
      </c>
      <c r="W202" s="4">
        <v>40744</v>
      </c>
      <c r="X202" s="12">
        <v>201</v>
      </c>
      <c r="Y202" s="4">
        <v>41109</v>
      </c>
    </row>
    <row r="203" spans="12:25" x14ac:dyDescent="0.25">
      <c r="L203" s="10">
        <v>202</v>
      </c>
      <c r="M203" s="4">
        <v>38919</v>
      </c>
      <c r="N203" s="11">
        <v>202</v>
      </c>
      <c r="O203" s="4">
        <v>39284</v>
      </c>
      <c r="P203" s="11">
        <v>202</v>
      </c>
      <c r="Q203" s="4">
        <v>39649</v>
      </c>
      <c r="R203" s="11">
        <v>202</v>
      </c>
      <c r="S203" s="4">
        <v>40015</v>
      </c>
      <c r="T203" s="11">
        <v>202</v>
      </c>
      <c r="U203" s="4">
        <v>40380</v>
      </c>
      <c r="V203" s="11">
        <v>202</v>
      </c>
      <c r="W203" s="4">
        <v>40745</v>
      </c>
      <c r="X203" s="12">
        <v>202</v>
      </c>
      <c r="Y203" s="4">
        <v>41110</v>
      </c>
    </row>
    <row r="204" spans="12:25" x14ac:dyDescent="0.25">
      <c r="L204" s="10">
        <v>203</v>
      </c>
      <c r="M204" s="4">
        <v>38920</v>
      </c>
      <c r="N204" s="11">
        <v>203</v>
      </c>
      <c r="O204" s="4">
        <v>39285</v>
      </c>
      <c r="P204" s="11">
        <v>203</v>
      </c>
      <c r="Q204" s="4">
        <v>39650</v>
      </c>
      <c r="R204" s="11">
        <v>203</v>
      </c>
      <c r="S204" s="4">
        <v>40016</v>
      </c>
      <c r="T204" s="11">
        <v>203</v>
      </c>
      <c r="U204" s="4">
        <v>40381</v>
      </c>
      <c r="V204" s="11">
        <v>203</v>
      </c>
      <c r="W204" s="4">
        <v>40746</v>
      </c>
      <c r="X204" s="12">
        <v>203</v>
      </c>
      <c r="Y204" s="4">
        <v>41111</v>
      </c>
    </row>
    <row r="205" spans="12:25" x14ac:dyDescent="0.25">
      <c r="L205" s="10">
        <v>204</v>
      </c>
      <c r="M205" s="4">
        <v>38921</v>
      </c>
      <c r="N205" s="11">
        <v>204</v>
      </c>
      <c r="O205" s="4">
        <v>39286</v>
      </c>
      <c r="P205" s="11">
        <v>204</v>
      </c>
      <c r="Q205" s="4">
        <v>39651</v>
      </c>
      <c r="R205" s="11">
        <v>204</v>
      </c>
      <c r="S205" s="4">
        <v>40017</v>
      </c>
      <c r="T205" s="11">
        <v>204</v>
      </c>
      <c r="U205" s="4">
        <v>40382</v>
      </c>
      <c r="V205" s="11">
        <v>204</v>
      </c>
      <c r="W205" s="4">
        <v>40747</v>
      </c>
      <c r="X205" s="12">
        <v>204</v>
      </c>
      <c r="Y205" s="4">
        <v>41112</v>
      </c>
    </row>
    <row r="206" spans="12:25" x14ac:dyDescent="0.25">
      <c r="L206" s="10">
        <v>205</v>
      </c>
      <c r="M206" s="4">
        <v>38922</v>
      </c>
      <c r="N206" s="11">
        <v>205</v>
      </c>
      <c r="O206" s="4">
        <v>39287</v>
      </c>
      <c r="P206" s="11">
        <v>205</v>
      </c>
      <c r="Q206" s="4">
        <v>39652</v>
      </c>
      <c r="R206" s="11">
        <v>205</v>
      </c>
      <c r="S206" s="4">
        <v>40018</v>
      </c>
      <c r="T206" s="11">
        <v>205</v>
      </c>
      <c r="U206" s="4">
        <v>40383</v>
      </c>
      <c r="V206" s="11">
        <v>205</v>
      </c>
      <c r="W206" s="4">
        <v>40748</v>
      </c>
      <c r="X206" s="12">
        <v>205</v>
      </c>
      <c r="Y206" s="4">
        <v>41113</v>
      </c>
    </row>
    <row r="207" spans="12:25" x14ac:dyDescent="0.25">
      <c r="L207" s="10">
        <v>206</v>
      </c>
      <c r="M207" s="4">
        <v>38923</v>
      </c>
      <c r="N207" s="11">
        <v>206</v>
      </c>
      <c r="O207" s="4">
        <v>39288</v>
      </c>
      <c r="P207" s="11">
        <v>206</v>
      </c>
      <c r="Q207" s="4">
        <v>39653</v>
      </c>
      <c r="R207" s="11">
        <v>206</v>
      </c>
      <c r="S207" s="4">
        <v>40019</v>
      </c>
      <c r="T207" s="11">
        <v>206</v>
      </c>
      <c r="U207" s="4">
        <v>40384</v>
      </c>
      <c r="V207" s="11">
        <v>206</v>
      </c>
      <c r="W207" s="4">
        <v>40749</v>
      </c>
      <c r="X207" s="12">
        <v>206</v>
      </c>
      <c r="Y207" s="4">
        <v>41114</v>
      </c>
    </row>
    <row r="208" spans="12:25" x14ac:dyDescent="0.25">
      <c r="L208" s="10">
        <v>207</v>
      </c>
      <c r="M208" s="4">
        <v>38924</v>
      </c>
      <c r="N208" s="11">
        <v>207</v>
      </c>
      <c r="O208" s="4">
        <v>39289</v>
      </c>
      <c r="P208" s="11">
        <v>207</v>
      </c>
      <c r="Q208" s="4">
        <v>39654</v>
      </c>
      <c r="R208" s="11">
        <v>207</v>
      </c>
      <c r="S208" s="4">
        <v>40020</v>
      </c>
      <c r="T208" s="11">
        <v>207</v>
      </c>
      <c r="U208" s="4">
        <v>40385</v>
      </c>
      <c r="V208" s="11">
        <v>207</v>
      </c>
      <c r="W208" s="4">
        <v>40750</v>
      </c>
      <c r="X208" s="12">
        <v>207</v>
      </c>
      <c r="Y208" s="4">
        <v>41115</v>
      </c>
    </row>
    <row r="209" spans="12:25" x14ac:dyDescent="0.25">
      <c r="L209" s="10">
        <v>208</v>
      </c>
      <c r="M209" s="4">
        <v>38925</v>
      </c>
      <c r="N209" s="11">
        <v>208</v>
      </c>
      <c r="O209" s="4">
        <v>39290</v>
      </c>
      <c r="P209" s="11">
        <v>208</v>
      </c>
      <c r="Q209" s="4">
        <v>39655</v>
      </c>
      <c r="R209" s="11">
        <v>208</v>
      </c>
      <c r="S209" s="4">
        <v>40021</v>
      </c>
      <c r="T209" s="11">
        <v>208</v>
      </c>
      <c r="U209" s="4">
        <v>40386</v>
      </c>
      <c r="V209" s="11">
        <v>208</v>
      </c>
      <c r="W209" s="4">
        <v>40751</v>
      </c>
      <c r="X209" s="12">
        <v>208</v>
      </c>
      <c r="Y209" s="4">
        <v>41116</v>
      </c>
    </row>
    <row r="210" spans="12:25" x14ac:dyDescent="0.25">
      <c r="L210" s="10">
        <v>209</v>
      </c>
      <c r="M210" s="4">
        <v>38926</v>
      </c>
      <c r="N210" s="11">
        <v>209</v>
      </c>
      <c r="O210" s="4">
        <v>39291</v>
      </c>
      <c r="P210" s="11">
        <v>209</v>
      </c>
      <c r="Q210" s="4">
        <v>39656</v>
      </c>
      <c r="R210" s="11">
        <v>209</v>
      </c>
      <c r="S210" s="4">
        <v>40022</v>
      </c>
      <c r="T210" s="11">
        <v>209</v>
      </c>
      <c r="U210" s="4">
        <v>40387</v>
      </c>
      <c r="V210" s="11">
        <v>209</v>
      </c>
      <c r="W210" s="4">
        <v>40752</v>
      </c>
      <c r="X210" s="12">
        <v>209</v>
      </c>
      <c r="Y210" s="4">
        <v>41117</v>
      </c>
    </row>
    <row r="211" spans="12:25" x14ac:dyDescent="0.25">
      <c r="L211" s="10">
        <v>210</v>
      </c>
      <c r="M211" s="4">
        <v>38927</v>
      </c>
      <c r="N211" s="11">
        <v>210</v>
      </c>
      <c r="O211" s="4">
        <v>39292</v>
      </c>
      <c r="P211" s="11">
        <v>210</v>
      </c>
      <c r="Q211" s="4">
        <v>39657</v>
      </c>
      <c r="R211" s="11">
        <v>210</v>
      </c>
      <c r="S211" s="4">
        <v>40023</v>
      </c>
      <c r="T211" s="11">
        <v>210</v>
      </c>
      <c r="U211" s="4">
        <v>40388</v>
      </c>
      <c r="V211" s="11">
        <v>210</v>
      </c>
      <c r="W211" s="4">
        <v>40753</v>
      </c>
      <c r="X211" s="12">
        <v>210</v>
      </c>
      <c r="Y211" s="4">
        <v>41118</v>
      </c>
    </row>
    <row r="212" spans="12:25" x14ac:dyDescent="0.25">
      <c r="L212" s="10">
        <v>211</v>
      </c>
      <c r="M212" s="4">
        <v>38928</v>
      </c>
      <c r="N212" s="11">
        <v>211</v>
      </c>
      <c r="O212" s="4">
        <v>39293</v>
      </c>
      <c r="P212" s="11">
        <v>211</v>
      </c>
      <c r="Q212" s="4">
        <v>39658</v>
      </c>
      <c r="R212" s="11">
        <v>211</v>
      </c>
      <c r="S212" s="4">
        <v>40024</v>
      </c>
      <c r="T212" s="11">
        <v>211</v>
      </c>
      <c r="U212" s="4">
        <v>40389</v>
      </c>
      <c r="V212" s="11">
        <v>211</v>
      </c>
      <c r="W212" s="4">
        <v>40754</v>
      </c>
      <c r="X212" s="12">
        <v>211</v>
      </c>
      <c r="Y212" s="4">
        <v>41119</v>
      </c>
    </row>
    <row r="213" spans="12:25" x14ac:dyDescent="0.25">
      <c r="L213" s="10">
        <v>212</v>
      </c>
      <c r="M213" s="4">
        <v>38929</v>
      </c>
      <c r="N213" s="11">
        <v>212</v>
      </c>
      <c r="O213" s="4">
        <v>39294</v>
      </c>
      <c r="P213" s="11">
        <v>212</v>
      </c>
      <c r="Q213" s="4">
        <v>39659</v>
      </c>
      <c r="R213" s="11">
        <v>212</v>
      </c>
      <c r="S213" s="4">
        <v>40025</v>
      </c>
      <c r="T213" s="11">
        <v>212</v>
      </c>
      <c r="U213" s="4">
        <v>40390</v>
      </c>
      <c r="V213" s="11">
        <v>212</v>
      </c>
      <c r="W213" s="4">
        <v>40755</v>
      </c>
      <c r="X213" s="12">
        <v>212</v>
      </c>
      <c r="Y213" s="4">
        <v>41120</v>
      </c>
    </row>
    <row r="214" spans="12:25" x14ac:dyDescent="0.25">
      <c r="L214" s="10">
        <v>213</v>
      </c>
      <c r="M214" s="4">
        <v>38930</v>
      </c>
      <c r="N214" s="11">
        <v>213</v>
      </c>
      <c r="O214" s="4">
        <v>39295</v>
      </c>
      <c r="P214" s="11">
        <v>213</v>
      </c>
      <c r="Q214" s="4">
        <v>39660</v>
      </c>
      <c r="R214" s="11">
        <v>213</v>
      </c>
      <c r="S214" s="4">
        <v>40026</v>
      </c>
      <c r="T214" s="11">
        <v>213</v>
      </c>
      <c r="U214" s="4">
        <v>40391</v>
      </c>
      <c r="V214" s="11">
        <v>213</v>
      </c>
      <c r="W214" s="4">
        <v>40756</v>
      </c>
      <c r="X214" s="12">
        <v>213</v>
      </c>
      <c r="Y214" s="4">
        <v>41121</v>
      </c>
    </row>
    <row r="215" spans="12:25" x14ac:dyDescent="0.25">
      <c r="L215" s="10">
        <v>214</v>
      </c>
      <c r="M215" s="4">
        <v>38931</v>
      </c>
      <c r="N215" s="11">
        <v>214</v>
      </c>
      <c r="O215" s="4">
        <v>39296</v>
      </c>
      <c r="P215" s="11">
        <v>214</v>
      </c>
      <c r="Q215" s="4">
        <v>39661</v>
      </c>
      <c r="R215" s="11">
        <v>214</v>
      </c>
      <c r="S215" s="4">
        <v>40027</v>
      </c>
      <c r="T215" s="11">
        <v>214</v>
      </c>
      <c r="U215" s="4">
        <v>40392</v>
      </c>
      <c r="V215" s="11">
        <v>214</v>
      </c>
      <c r="W215" s="4">
        <v>40757</v>
      </c>
      <c r="X215" s="12">
        <v>214</v>
      </c>
      <c r="Y215" s="4">
        <v>41122</v>
      </c>
    </row>
    <row r="216" spans="12:25" x14ac:dyDescent="0.25">
      <c r="L216" s="10">
        <v>215</v>
      </c>
      <c r="M216" s="4">
        <v>38932</v>
      </c>
      <c r="N216" s="11">
        <v>215</v>
      </c>
      <c r="O216" s="4">
        <v>39297</v>
      </c>
      <c r="P216" s="11">
        <v>215</v>
      </c>
      <c r="Q216" s="4">
        <v>39662</v>
      </c>
      <c r="R216" s="11">
        <v>215</v>
      </c>
      <c r="S216" s="4">
        <v>40028</v>
      </c>
      <c r="T216" s="11">
        <v>215</v>
      </c>
      <c r="U216" s="4">
        <v>40393</v>
      </c>
      <c r="V216" s="11">
        <v>215</v>
      </c>
      <c r="W216" s="4">
        <v>40758</v>
      </c>
      <c r="X216" s="12">
        <v>215</v>
      </c>
      <c r="Y216" s="4">
        <v>41123</v>
      </c>
    </row>
    <row r="217" spans="12:25" x14ac:dyDescent="0.25">
      <c r="L217" s="10">
        <v>216</v>
      </c>
      <c r="M217" s="4">
        <v>38933</v>
      </c>
      <c r="N217" s="11">
        <v>216</v>
      </c>
      <c r="O217" s="4">
        <v>39298</v>
      </c>
      <c r="P217" s="11">
        <v>216</v>
      </c>
      <c r="Q217" s="4">
        <v>39663</v>
      </c>
      <c r="R217" s="11">
        <v>216</v>
      </c>
      <c r="S217" s="4">
        <v>40029</v>
      </c>
      <c r="T217" s="11">
        <v>216</v>
      </c>
      <c r="U217" s="4">
        <v>40394</v>
      </c>
      <c r="V217" s="11">
        <v>216</v>
      </c>
      <c r="W217" s="4">
        <v>40759</v>
      </c>
      <c r="X217" s="12">
        <v>216</v>
      </c>
      <c r="Y217" s="4">
        <v>41124</v>
      </c>
    </row>
    <row r="218" spans="12:25" x14ac:dyDescent="0.25">
      <c r="L218" s="10">
        <v>217</v>
      </c>
      <c r="M218" s="4">
        <v>38934</v>
      </c>
      <c r="N218" s="11">
        <v>217</v>
      </c>
      <c r="O218" s="4">
        <v>39299</v>
      </c>
      <c r="P218" s="11">
        <v>217</v>
      </c>
      <c r="Q218" s="4">
        <v>39664</v>
      </c>
      <c r="R218" s="11">
        <v>217</v>
      </c>
      <c r="S218" s="4">
        <v>40030</v>
      </c>
      <c r="T218" s="11">
        <v>217</v>
      </c>
      <c r="U218" s="4">
        <v>40395</v>
      </c>
      <c r="V218" s="11">
        <v>217</v>
      </c>
      <c r="W218" s="4">
        <v>40760</v>
      </c>
      <c r="X218" s="12">
        <v>217</v>
      </c>
      <c r="Y218" s="4">
        <v>41125</v>
      </c>
    </row>
    <row r="219" spans="12:25" x14ac:dyDescent="0.25">
      <c r="L219" s="10">
        <v>218</v>
      </c>
      <c r="M219" s="4">
        <v>38935</v>
      </c>
      <c r="N219" s="11">
        <v>218</v>
      </c>
      <c r="O219" s="4">
        <v>39300</v>
      </c>
      <c r="P219" s="11">
        <v>218</v>
      </c>
      <c r="Q219" s="4">
        <v>39665</v>
      </c>
      <c r="R219" s="11">
        <v>218</v>
      </c>
      <c r="S219" s="4">
        <v>40031</v>
      </c>
      <c r="T219" s="11">
        <v>218</v>
      </c>
      <c r="U219" s="4">
        <v>40396</v>
      </c>
      <c r="V219" s="11">
        <v>218</v>
      </c>
      <c r="W219" s="4">
        <v>40761</v>
      </c>
      <c r="X219" s="12">
        <v>218</v>
      </c>
      <c r="Y219" s="4">
        <v>41126</v>
      </c>
    </row>
    <row r="220" spans="12:25" x14ac:dyDescent="0.25">
      <c r="L220" s="10">
        <v>219</v>
      </c>
      <c r="M220" s="4">
        <v>38936</v>
      </c>
      <c r="N220" s="11">
        <v>219</v>
      </c>
      <c r="O220" s="4">
        <v>39301</v>
      </c>
      <c r="P220" s="11">
        <v>219</v>
      </c>
      <c r="Q220" s="4">
        <v>39666</v>
      </c>
      <c r="R220" s="11">
        <v>219</v>
      </c>
      <c r="S220" s="4">
        <v>40032</v>
      </c>
      <c r="T220" s="11">
        <v>219</v>
      </c>
      <c r="U220" s="4">
        <v>40397</v>
      </c>
      <c r="V220" s="11">
        <v>219</v>
      </c>
      <c r="W220" s="4">
        <v>40762</v>
      </c>
      <c r="X220" s="12">
        <v>219</v>
      </c>
      <c r="Y220" s="4">
        <v>41127</v>
      </c>
    </row>
    <row r="221" spans="12:25" x14ac:dyDescent="0.25">
      <c r="L221" s="10">
        <v>220</v>
      </c>
      <c r="M221" s="4">
        <v>38937</v>
      </c>
      <c r="N221" s="11">
        <v>220</v>
      </c>
      <c r="O221" s="4">
        <v>39302</v>
      </c>
      <c r="P221" s="11">
        <v>220</v>
      </c>
      <c r="Q221" s="4">
        <v>39667</v>
      </c>
      <c r="R221" s="11">
        <v>220</v>
      </c>
      <c r="S221" s="4">
        <v>40033</v>
      </c>
      <c r="T221" s="11">
        <v>220</v>
      </c>
      <c r="U221" s="4">
        <v>40398</v>
      </c>
      <c r="V221" s="11">
        <v>220</v>
      </c>
      <c r="W221" s="4">
        <v>40763</v>
      </c>
      <c r="X221" s="12">
        <v>220</v>
      </c>
      <c r="Y221" s="4">
        <v>41128</v>
      </c>
    </row>
    <row r="222" spans="12:25" x14ac:dyDescent="0.25">
      <c r="L222" s="10">
        <v>221</v>
      </c>
      <c r="M222" s="4">
        <v>38938</v>
      </c>
      <c r="N222" s="11">
        <v>221</v>
      </c>
      <c r="O222" s="4">
        <v>39303</v>
      </c>
      <c r="P222" s="11">
        <v>221</v>
      </c>
      <c r="Q222" s="4">
        <v>39668</v>
      </c>
      <c r="R222" s="11">
        <v>221</v>
      </c>
      <c r="S222" s="4">
        <v>40034</v>
      </c>
      <c r="T222" s="11">
        <v>221</v>
      </c>
      <c r="U222" s="4">
        <v>40399</v>
      </c>
      <c r="V222" s="11">
        <v>221</v>
      </c>
      <c r="W222" s="4">
        <v>40764</v>
      </c>
      <c r="X222" s="12">
        <v>221</v>
      </c>
      <c r="Y222" s="4">
        <v>41129</v>
      </c>
    </row>
    <row r="223" spans="12:25" x14ac:dyDescent="0.25">
      <c r="L223" s="10">
        <v>222</v>
      </c>
      <c r="M223" s="4">
        <v>38939</v>
      </c>
      <c r="N223" s="11">
        <v>222</v>
      </c>
      <c r="O223" s="4">
        <v>39304</v>
      </c>
      <c r="P223" s="11">
        <v>222</v>
      </c>
      <c r="Q223" s="4">
        <v>39669</v>
      </c>
      <c r="R223" s="11">
        <v>222</v>
      </c>
      <c r="S223" s="4">
        <v>40035</v>
      </c>
      <c r="T223" s="11">
        <v>222</v>
      </c>
      <c r="U223" s="4">
        <v>40400</v>
      </c>
      <c r="V223" s="11">
        <v>222</v>
      </c>
      <c r="W223" s="4">
        <v>40765</v>
      </c>
      <c r="X223" s="12">
        <v>222</v>
      </c>
      <c r="Y223" s="4">
        <v>41130</v>
      </c>
    </row>
    <row r="224" spans="12:25" x14ac:dyDescent="0.25">
      <c r="L224" s="10">
        <v>223</v>
      </c>
      <c r="M224" s="4">
        <v>38940</v>
      </c>
      <c r="N224" s="11">
        <v>223</v>
      </c>
      <c r="O224" s="4">
        <v>39305</v>
      </c>
      <c r="P224" s="11">
        <v>223</v>
      </c>
      <c r="Q224" s="4">
        <v>39670</v>
      </c>
      <c r="R224" s="11">
        <v>223</v>
      </c>
      <c r="S224" s="4">
        <v>40036</v>
      </c>
      <c r="T224" s="11">
        <v>223</v>
      </c>
      <c r="U224" s="4">
        <v>40401</v>
      </c>
      <c r="V224" s="11">
        <v>223</v>
      </c>
      <c r="W224" s="4">
        <v>40766</v>
      </c>
      <c r="X224" s="12">
        <v>223</v>
      </c>
      <c r="Y224" s="4">
        <v>41131</v>
      </c>
    </row>
    <row r="225" spans="12:25" x14ac:dyDescent="0.25">
      <c r="L225" s="10">
        <v>224</v>
      </c>
      <c r="M225" s="4">
        <v>38941</v>
      </c>
      <c r="N225" s="11">
        <v>224</v>
      </c>
      <c r="O225" s="4">
        <v>39306</v>
      </c>
      <c r="P225" s="11">
        <v>224</v>
      </c>
      <c r="Q225" s="4">
        <v>39671</v>
      </c>
      <c r="R225" s="11">
        <v>224</v>
      </c>
      <c r="S225" s="4">
        <v>40037</v>
      </c>
      <c r="T225" s="11">
        <v>224</v>
      </c>
      <c r="U225" s="4">
        <v>40402</v>
      </c>
      <c r="V225" s="11">
        <v>224</v>
      </c>
      <c r="W225" s="4">
        <v>40767</v>
      </c>
      <c r="X225" s="12">
        <v>224</v>
      </c>
      <c r="Y225" s="4">
        <v>41132</v>
      </c>
    </row>
    <row r="226" spans="12:25" x14ac:dyDescent="0.25">
      <c r="L226" s="10">
        <v>225</v>
      </c>
      <c r="M226" s="4">
        <v>38942</v>
      </c>
      <c r="N226" s="11">
        <v>225</v>
      </c>
      <c r="O226" s="4">
        <v>39307</v>
      </c>
      <c r="P226" s="11">
        <v>225</v>
      </c>
      <c r="Q226" s="4">
        <v>39672</v>
      </c>
      <c r="R226" s="11">
        <v>225</v>
      </c>
      <c r="S226" s="4">
        <v>40038</v>
      </c>
      <c r="T226" s="11">
        <v>225</v>
      </c>
      <c r="U226" s="4">
        <v>40403</v>
      </c>
      <c r="V226" s="11">
        <v>225</v>
      </c>
      <c r="W226" s="4">
        <v>40768</v>
      </c>
      <c r="X226" s="12">
        <v>225</v>
      </c>
      <c r="Y226" s="4">
        <v>41133</v>
      </c>
    </row>
    <row r="227" spans="12:25" x14ac:dyDescent="0.25">
      <c r="L227" s="10">
        <v>226</v>
      </c>
      <c r="M227" s="4">
        <v>38943</v>
      </c>
      <c r="N227" s="11">
        <v>226</v>
      </c>
      <c r="O227" s="4">
        <v>39308</v>
      </c>
      <c r="P227" s="11">
        <v>226</v>
      </c>
      <c r="Q227" s="4">
        <v>39673</v>
      </c>
      <c r="R227" s="11">
        <v>226</v>
      </c>
      <c r="S227" s="4">
        <v>40039</v>
      </c>
      <c r="T227" s="11">
        <v>226</v>
      </c>
      <c r="U227" s="4">
        <v>40404</v>
      </c>
      <c r="V227" s="11">
        <v>226</v>
      </c>
      <c r="W227" s="4">
        <v>40769</v>
      </c>
      <c r="X227" s="12">
        <v>226</v>
      </c>
      <c r="Y227" s="4">
        <v>41134</v>
      </c>
    </row>
    <row r="228" spans="12:25" x14ac:dyDescent="0.25">
      <c r="L228" s="10">
        <v>227</v>
      </c>
      <c r="M228" s="4">
        <v>38944</v>
      </c>
      <c r="N228" s="11">
        <v>227</v>
      </c>
      <c r="O228" s="4">
        <v>39309</v>
      </c>
      <c r="P228" s="11">
        <v>227</v>
      </c>
      <c r="Q228" s="4">
        <v>39674</v>
      </c>
      <c r="R228" s="11">
        <v>227</v>
      </c>
      <c r="S228" s="4">
        <v>40040</v>
      </c>
      <c r="T228" s="11">
        <v>227</v>
      </c>
      <c r="U228" s="4">
        <v>40405</v>
      </c>
      <c r="V228" s="11">
        <v>227</v>
      </c>
      <c r="W228" s="4">
        <v>40770</v>
      </c>
      <c r="X228" s="12">
        <v>227</v>
      </c>
      <c r="Y228" s="4">
        <v>41135</v>
      </c>
    </row>
    <row r="229" spans="12:25" x14ac:dyDescent="0.25">
      <c r="L229" s="10">
        <v>228</v>
      </c>
      <c r="M229" s="4">
        <v>38945</v>
      </c>
      <c r="N229" s="11">
        <v>228</v>
      </c>
      <c r="O229" s="4">
        <v>39310</v>
      </c>
      <c r="P229" s="11">
        <v>228</v>
      </c>
      <c r="Q229" s="4">
        <v>39675</v>
      </c>
      <c r="R229" s="11">
        <v>228</v>
      </c>
      <c r="S229" s="4">
        <v>40041</v>
      </c>
      <c r="T229" s="11">
        <v>228</v>
      </c>
      <c r="U229" s="4">
        <v>40406</v>
      </c>
      <c r="V229" s="11">
        <v>228</v>
      </c>
      <c r="W229" s="4">
        <v>40771</v>
      </c>
      <c r="X229" s="12">
        <v>228</v>
      </c>
      <c r="Y229" s="4">
        <v>41136</v>
      </c>
    </row>
    <row r="230" spans="12:25" x14ac:dyDescent="0.25">
      <c r="L230" s="10">
        <v>229</v>
      </c>
      <c r="M230" s="4">
        <v>38946</v>
      </c>
      <c r="N230" s="11">
        <v>229</v>
      </c>
      <c r="O230" s="4">
        <v>39311</v>
      </c>
      <c r="P230" s="11">
        <v>229</v>
      </c>
      <c r="Q230" s="4">
        <v>39676</v>
      </c>
      <c r="R230" s="11">
        <v>229</v>
      </c>
      <c r="S230" s="4">
        <v>40042</v>
      </c>
      <c r="T230" s="11">
        <v>229</v>
      </c>
      <c r="U230" s="4">
        <v>40407</v>
      </c>
      <c r="V230" s="11">
        <v>229</v>
      </c>
      <c r="W230" s="4">
        <v>40772</v>
      </c>
      <c r="X230" s="12">
        <v>229</v>
      </c>
      <c r="Y230" s="4">
        <v>41137</v>
      </c>
    </row>
    <row r="231" spans="12:25" x14ac:dyDescent="0.25">
      <c r="L231" s="10">
        <v>230</v>
      </c>
      <c r="M231" s="4">
        <v>38947</v>
      </c>
      <c r="N231" s="11">
        <v>230</v>
      </c>
      <c r="O231" s="4">
        <v>39312</v>
      </c>
      <c r="P231" s="11">
        <v>230</v>
      </c>
      <c r="Q231" s="4">
        <v>39677</v>
      </c>
      <c r="R231" s="11">
        <v>230</v>
      </c>
      <c r="S231" s="4">
        <v>40043</v>
      </c>
      <c r="T231" s="11">
        <v>230</v>
      </c>
      <c r="U231" s="4">
        <v>40408</v>
      </c>
      <c r="V231" s="11">
        <v>230</v>
      </c>
      <c r="W231" s="4">
        <v>40773</v>
      </c>
      <c r="X231" s="12">
        <v>230</v>
      </c>
      <c r="Y231" s="4">
        <v>41138</v>
      </c>
    </row>
    <row r="232" spans="12:25" x14ac:dyDescent="0.25">
      <c r="L232" s="10">
        <v>231</v>
      </c>
      <c r="M232" s="4">
        <v>38948</v>
      </c>
      <c r="N232" s="11">
        <v>231</v>
      </c>
      <c r="O232" s="4">
        <v>39313</v>
      </c>
      <c r="P232" s="11">
        <v>231</v>
      </c>
      <c r="Q232" s="4">
        <v>39678</v>
      </c>
      <c r="R232" s="11">
        <v>231</v>
      </c>
      <c r="S232" s="4">
        <v>40044</v>
      </c>
      <c r="T232" s="11">
        <v>231</v>
      </c>
      <c r="U232" s="4">
        <v>40409</v>
      </c>
      <c r="V232" s="11">
        <v>231</v>
      </c>
      <c r="W232" s="4">
        <v>40774</v>
      </c>
      <c r="X232" s="12">
        <v>231</v>
      </c>
      <c r="Y232" s="4">
        <v>41139</v>
      </c>
    </row>
    <row r="233" spans="12:25" x14ac:dyDescent="0.25">
      <c r="L233" s="10">
        <v>232</v>
      </c>
      <c r="M233" s="4">
        <v>38949</v>
      </c>
      <c r="N233" s="11">
        <v>232</v>
      </c>
      <c r="O233" s="4">
        <v>39314</v>
      </c>
      <c r="P233" s="11">
        <v>232</v>
      </c>
      <c r="Q233" s="4">
        <v>39679</v>
      </c>
      <c r="R233" s="11">
        <v>232</v>
      </c>
      <c r="S233" s="4">
        <v>40045</v>
      </c>
      <c r="T233" s="11">
        <v>232</v>
      </c>
      <c r="U233" s="4">
        <v>40410</v>
      </c>
      <c r="V233" s="11">
        <v>232</v>
      </c>
      <c r="W233" s="4">
        <v>40775</v>
      </c>
      <c r="X233" s="12">
        <v>232</v>
      </c>
      <c r="Y233" s="4">
        <v>41140</v>
      </c>
    </row>
    <row r="234" spans="12:25" x14ac:dyDescent="0.25">
      <c r="L234" s="10">
        <v>233</v>
      </c>
      <c r="M234" s="4">
        <v>38950</v>
      </c>
      <c r="N234" s="11">
        <v>233</v>
      </c>
      <c r="O234" s="4">
        <v>39315</v>
      </c>
      <c r="P234" s="11">
        <v>233</v>
      </c>
      <c r="Q234" s="4">
        <v>39680</v>
      </c>
      <c r="R234" s="11">
        <v>233</v>
      </c>
      <c r="S234" s="4">
        <v>40046</v>
      </c>
      <c r="T234" s="11">
        <v>233</v>
      </c>
      <c r="U234" s="4">
        <v>40411</v>
      </c>
      <c r="V234" s="11">
        <v>233</v>
      </c>
      <c r="W234" s="4">
        <v>40776</v>
      </c>
      <c r="X234" s="12">
        <v>233</v>
      </c>
      <c r="Y234" s="4">
        <v>41141</v>
      </c>
    </row>
    <row r="235" spans="12:25" x14ac:dyDescent="0.25">
      <c r="L235" s="10">
        <v>234</v>
      </c>
      <c r="M235" s="4">
        <v>38951</v>
      </c>
      <c r="N235" s="11">
        <v>234</v>
      </c>
      <c r="O235" s="4">
        <v>39316</v>
      </c>
      <c r="P235" s="11">
        <v>234</v>
      </c>
      <c r="Q235" s="4">
        <v>39681</v>
      </c>
      <c r="R235" s="11">
        <v>234</v>
      </c>
      <c r="S235" s="4">
        <v>40047</v>
      </c>
      <c r="T235" s="11">
        <v>234</v>
      </c>
      <c r="U235" s="4">
        <v>40412</v>
      </c>
      <c r="V235" s="11">
        <v>234</v>
      </c>
      <c r="W235" s="4">
        <v>40777</v>
      </c>
      <c r="X235" s="12">
        <v>234</v>
      </c>
      <c r="Y235" s="4">
        <v>41142</v>
      </c>
    </row>
    <row r="236" spans="12:25" x14ac:dyDescent="0.25">
      <c r="L236" s="10">
        <v>235</v>
      </c>
      <c r="M236" s="4">
        <v>38952</v>
      </c>
      <c r="N236" s="11">
        <v>235</v>
      </c>
      <c r="O236" s="4">
        <v>39317</v>
      </c>
      <c r="P236" s="11">
        <v>235</v>
      </c>
      <c r="Q236" s="4">
        <v>39682</v>
      </c>
      <c r="R236" s="11">
        <v>235</v>
      </c>
      <c r="S236" s="4">
        <v>40048</v>
      </c>
      <c r="T236" s="11">
        <v>235</v>
      </c>
      <c r="U236" s="4">
        <v>40413</v>
      </c>
      <c r="V236" s="11">
        <v>235</v>
      </c>
      <c r="W236" s="4">
        <v>40778</v>
      </c>
      <c r="X236" s="12">
        <v>235</v>
      </c>
      <c r="Y236" s="4">
        <v>41143</v>
      </c>
    </row>
    <row r="237" spans="12:25" x14ac:dyDescent="0.25">
      <c r="L237" s="10">
        <v>236</v>
      </c>
      <c r="M237" s="4">
        <v>38953</v>
      </c>
      <c r="N237" s="11">
        <v>236</v>
      </c>
      <c r="O237" s="4">
        <v>39318</v>
      </c>
      <c r="P237" s="11">
        <v>236</v>
      </c>
      <c r="Q237" s="4">
        <v>39683</v>
      </c>
      <c r="R237" s="11">
        <v>236</v>
      </c>
      <c r="S237" s="4">
        <v>40049</v>
      </c>
      <c r="T237" s="11">
        <v>236</v>
      </c>
      <c r="U237" s="4">
        <v>40414</v>
      </c>
      <c r="V237" s="11">
        <v>236</v>
      </c>
      <c r="W237" s="4">
        <v>40779</v>
      </c>
      <c r="X237" s="12">
        <v>236</v>
      </c>
      <c r="Y237" s="4">
        <v>41144</v>
      </c>
    </row>
    <row r="238" spans="12:25" x14ac:dyDescent="0.25">
      <c r="L238" s="10">
        <v>237</v>
      </c>
      <c r="M238" s="4">
        <v>38954</v>
      </c>
      <c r="N238" s="11">
        <v>237</v>
      </c>
      <c r="O238" s="4">
        <v>39319</v>
      </c>
      <c r="P238" s="11">
        <v>237</v>
      </c>
      <c r="Q238" s="4">
        <v>39684</v>
      </c>
      <c r="R238" s="11">
        <v>237</v>
      </c>
      <c r="S238" s="4">
        <v>40050</v>
      </c>
      <c r="T238" s="11">
        <v>237</v>
      </c>
      <c r="U238" s="4">
        <v>40415</v>
      </c>
      <c r="V238" s="11">
        <v>237</v>
      </c>
      <c r="W238" s="4">
        <v>40780</v>
      </c>
      <c r="X238" s="12">
        <v>237</v>
      </c>
      <c r="Y238" s="4">
        <v>41145</v>
      </c>
    </row>
    <row r="239" spans="12:25" x14ac:dyDescent="0.25">
      <c r="L239" s="10">
        <v>238</v>
      </c>
      <c r="M239" s="4">
        <v>38955</v>
      </c>
      <c r="N239" s="11">
        <v>238</v>
      </c>
      <c r="O239" s="4">
        <v>39320</v>
      </c>
      <c r="P239" s="11">
        <v>238</v>
      </c>
      <c r="Q239" s="4">
        <v>39685</v>
      </c>
      <c r="R239" s="11">
        <v>238</v>
      </c>
      <c r="S239" s="4">
        <v>40051</v>
      </c>
      <c r="T239" s="11">
        <v>238</v>
      </c>
      <c r="U239" s="4">
        <v>40416</v>
      </c>
      <c r="V239" s="11">
        <v>238</v>
      </c>
      <c r="W239" s="4">
        <v>40781</v>
      </c>
      <c r="X239" s="12">
        <v>238</v>
      </c>
      <c r="Y239" s="4">
        <v>41146</v>
      </c>
    </row>
    <row r="240" spans="12:25" x14ac:dyDescent="0.25">
      <c r="L240" s="10">
        <v>239</v>
      </c>
      <c r="M240" s="4">
        <v>38956</v>
      </c>
      <c r="N240" s="11">
        <v>239</v>
      </c>
      <c r="O240" s="4">
        <v>39321</v>
      </c>
      <c r="P240" s="11">
        <v>239</v>
      </c>
      <c r="Q240" s="4">
        <v>39686</v>
      </c>
      <c r="R240" s="11">
        <v>239</v>
      </c>
      <c r="S240" s="4">
        <v>40052</v>
      </c>
      <c r="T240" s="11">
        <v>239</v>
      </c>
      <c r="U240" s="4">
        <v>40417</v>
      </c>
      <c r="V240" s="11">
        <v>239</v>
      </c>
      <c r="W240" s="4">
        <v>40782</v>
      </c>
      <c r="X240" s="12">
        <v>239</v>
      </c>
      <c r="Y240" s="4">
        <v>41147</v>
      </c>
    </row>
    <row r="241" spans="12:25" x14ac:dyDescent="0.25">
      <c r="L241" s="10">
        <v>240</v>
      </c>
      <c r="M241" s="4">
        <v>38957</v>
      </c>
      <c r="N241" s="11">
        <v>240</v>
      </c>
      <c r="O241" s="4">
        <v>39322</v>
      </c>
      <c r="P241" s="11">
        <v>240</v>
      </c>
      <c r="Q241" s="4">
        <v>39687</v>
      </c>
      <c r="R241" s="11">
        <v>240</v>
      </c>
      <c r="S241" s="4">
        <v>40053</v>
      </c>
      <c r="T241" s="11">
        <v>240</v>
      </c>
      <c r="U241" s="4">
        <v>40418</v>
      </c>
      <c r="V241" s="11">
        <v>240</v>
      </c>
      <c r="W241" s="4">
        <v>40783</v>
      </c>
      <c r="X241" s="12">
        <v>240</v>
      </c>
      <c r="Y241" s="4">
        <v>41148</v>
      </c>
    </row>
    <row r="242" spans="12:25" x14ac:dyDescent="0.25">
      <c r="L242" s="10">
        <v>241</v>
      </c>
      <c r="M242" s="4">
        <v>38958</v>
      </c>
      <c r="N242" s="11">
        <v>241</v>
      </c>
      <c r="O242" s="4">
        <v>39323</v>
      </c>
      <c r="P242" s="11">
        <v>241</v>
      </c>
      <c r="Q242" s="4">
        <v>39688</v>
      </c>
      <c r="R242" s="11">
        <v>241</v>
      </c>
      <c r="S242" s="4">
        <v>40054</v>
      </c>
      <c r="T242" s="11">
        <v>241</v>
      </c>
      <c r="U242" s="4">
        <v>40419</v>
      </c>
      <c r="V242" s="11">
        <v>241</v>
      </c>
      <c r="W242" s="4">
        <v>40784</v>
      </c>
      <c r="X242" s="12">
        <v>241</v>
      </c>
      <c r="Y242" s="4">
        <v>41149</v>
      </c>
    </row>
    <row r="243" spans="12:25" x14ac:dyDescent="0.25">
      <c r="L243" s="10">
        <v>242</v>
      </c>
      <c r="M243" s="4">
        <v>38959</v>
      </c>
      <c r="N243" s="11">
        <v>242</v>
      </c>
      <c r="O243" s="4">
        <v>39324</v>
      </c>
      <c r="P243" s="11">
        <v>242</v>
      </c>
      <c r="Q243" s="4">
        <v>39689</v>
      </c>
      <c r="R243" s="11">
        <v>242</v>
      </c>
      <c r="S243" s="4">
        <v>40055</v>
      </c>
      <c r="T243" s="11">
        <v>242</v>
      </c>
      <c r="U243" s="4">
        <v>40420</v>
      </c>
      <c r="V243" s="11">
        <v>242</v>
      </c>
      <c r="W243" s="4">
        <v>40785</v>
      </c>
      <c r="X243" s="12">
        <v>242</v>
      </c>
      <c r="Y243" s="4">
        <v>41150</v>
      </c>
    </row>
    <row r="244" spans="12:25" x14ac:dyDescent="0.25">
      <c r="L244" s="10">
        <v>243</v>
      </c>
      <c r="M244" s="4">
        <v>38960</v>
      </c>
      <c r="N244" s="11">
        <v>243</v>
      </c>
      <c r="O244" s="4">
        <v>39325</v>
      </c>
      <c r="P244" s="11">
        <v>243</v>
      </c>
      <c r="Q244" s="4">
        <v>39690</v>
      </c>
      <c r="R244" s="11">
        <v>243</v>
      </c>
      <c r="S244" s="4">
        <v>40056</v>
      </c>
      <c r="T244" s="11">
        <v>243</v>
      </c>
      <c r="U244" s="4">
        <v>40421</v>
      </c>
      <c r="V244" s="11">
        <v>243</v>
      </c>
      <c r="W244" s="4">
        <v>40786</v>
      </c>
      <c r="X244" s="12">
        <v>243</v>
      </c>
      <c r="Y244" s="4">
        <v>41151</v>
      </c>
    </row>
    <row r="245" spans="12:25" x14ac:dyDescent="0.25">
      <c r="L245" s="10">
        <v>244</v>
      </c>
      <c r="M245" s="4">
        <v>38961</v>
      </c>
      <c r="N245" s="11">
        <v>244</v>
      </c>
      <c r="O245" s="4">
        <v>39326</v>
      </c>
      <c r="P245" s="11">
        <v>244</v>
      </c>
      <c r="Q245" s="4">
        <v>39691</v>
      </c>
      <c r="R245" s="11">
        <v>244</v>
      </c>
      <c r="S245" s="4">
        <v>40057</v>
      </c>
      <c r="T245" s="11">
        <v>244</v>
      </c>
      <c r="U245" s="4">
        <v>40422</v>
      </c>
      <c r="V245" s="11">
        <v>244</v>
      </c>
      <c r="W245" s="4">
        <v>40787</v>
      </c>
      <c r="X245" s="12">
        <v>244</v>
      </c>
      <c r="Y245" s="4">
        <v>41152</v>
      </c>
    </row>
    <row r="246" spans="12:25" x14ac:dyDescent="0.25">
      <c r="L246" s="10">
        <v>245</v>
      </c>
      <c r="M246" s="4">
        <v>38962</v>
      </c>
      <c r="N246" s="11">
        <v>245</v>
      </c>
      <c r="O246" s="4">
        <v>39327</v>
      </c>
      <c r="P246" s="11">
        <v>245</v>
      </c>
      <c r="Q246" s="4">
        <v>39692</v>
      </c>
      <c r="R246" s="11">
        <v>245</v>
      </c>
      <c r="S246" s="4">
        <v>40058</v>
      </c>
      <c r="T246" s="11">
        <v>245</v>
      </c>
      <c r="U246" s="4">
        <v>40423</v>
      </c>
      <c r="V246" s="11">
        <v>245</v>
      </c>
      <c r="W246" s="4">
        <v>40788</v>
      </c>
      <c r="X246" s="12">
        <v>245</v>
      </c>
      <c r="Y246" s="4">
        <v>41153</v>
      </c>
    </row>
    <row r="247" spans="12:25" x14ac:dyDescent="0.25">
      <c r="L247" s="10">
        <v>246</v>
      </c>
      <c r="M247" s="4">
        <v>38963</v>
      </c>
      <c r="N247" s="11">
        <v>246</v>
      </c>
      <c r="O247" s="4">
        <v>39328</v>
      </c>
      <c r="P247" s="11">
        <v>246</v>
      </c>
      <c r="Q247" s="4">
        <v>39693</v>
      </c>
      <c r="R247" s="11">
        <v>246</v>
      </c>
      <c r="S247" s="4">
        <v>40059</v>
      </c>
      <c r="T247" s="11">
        <v>246</v>
      </c>
      <c r="U247" s="4">
        <v>40424</v>
      </c>
      <c r="V247" s="11">
        <v>246</v>
      </c>
      <c r="W247" s="4">
        <v>40789</v>
      </c>
      <c r="X247" s="12">
        <v>246</v>
      </c>
      <c r="Y247" s="4">
        <v>41154</v>
      </c>
    </row>
    <row r="248" spans="12:25" x14ac:dyDescent="0.25">
      <c r="L248" s="10">
        <v>247</v>
      </c>
      <c r="M248" s="4">
        <v>38964</v>
      </c>
      <c r="N248" s="11">
        <v>247</v>
      </c>
      <c r="O248" s="4">
        <v>39329</v>
      </c>
      <c r="P248" s="11">
        <v>247</v>
      </c>
      <c r="Q248" s="4">
        <v>39694</v>
      </c>
      <c r="R248" s="11">
        <v>247</v>
      </c>
      <c r="S248" s="4">
        <v>40060</v>
      </c>
      <c r="T248" s="11">
        <v>247</v>
      </c>
      <c r="U248" s="4">
        <v>40425</v>
      </c>
      <c r="V248" s="11">
        <v>247</v>
      </c>
      <c r="W248" s="4">
        <v>40790</v>
      </c>
      <c r="X248" s="12">
        <v>247</v>
      </c>
      <c r="Y248" s="4">
        <v>41155</v>
      </c>
    </row>
    <row r="249" spans="12:25" x14ac:dyDescent="0.25">
      <c r="L249" s="10">
        <v>248</v>
      </c>
      <c r="M249" s="4">
        <v>38965</v>
      </c>
      <c r="N249" s="11">
        <v>248</v>
      </c>
      <c r="O249" s="4">
        <v>39330</v>
      </c>
      <c r="P249" s="11">
        <v>248</v>
      </c>
      <c r="Q249" s="4">
        <v>39695</v>
      </c>
      <c r="R249" s="11">
        <v>248</v>
      </c>
      <c r="S249" s="4">
        <v>40061</v>
      </c>
      <c r="T249" s="11">
        <v>248</v>
      </c>
      <c r="U249" s="4">
        <v>40426</v>
      </c>
      <c r="V249" s="11">
        <v>248</v>
      </c>
      <c r="W249" s="4">
        <v>40791</v>
      </c>
      <c r="X249" s="12">
        <v>248</v>
      </c>
      <c r="Y249" s="4">
        <v>41156</v>
      </c>
    </row>
    <row r="250" spans="12:25" x14ac:dyDescent="0.25">
      <c r="L250" s="10">
        <v>249</v>
      </c>
      <c r="M250" s="4">
        <v>38966</v>
      </c>
      <c r="N250" s="11">
        <v>249</v>
      </c>
      <c r="O250" s="4">
        <v>39331</v>
      </c>
      <c r="P250" s="11">
        <v>249</v>
      </c>
      <c r="Q250" s="4">
        <v>39696</v>
      </c>
      <c r="R250" s="11">
        <v>249</v>
      </c>
      <c r="S250" s="4">
        <v>40062</v>
      </c>
      <c r="T250" s="11">
        <v>249</v>
      </c>
      <c r="U250" s="4">
        <v>40427</v>
      </c>
      <c r="V250" s="11">
        <v>249</v>
      </c>
      <c r="W250" s="4">
        <v>40792</v>
      </c>
      <c r="X250" s="12">
        <v>249</v>
      </c>
      <c r="Y250" s="4">
        <v>41157</v>
      </c>
    </row>
    <row r="251" spans="12:25" x14ac:dyDescent="0.25">
      <c r="L251" s="10">
        <v>250</v>
      </c>
      <c r="M251" s="4">
        <v>38967</v>
      </c>
      <c r="N251" s="11">
        <v>250</v>
      </c>
      <c r="O251" s="4">
        <v>39332</v>
      </c>
      <c r="P251" s="11">
        <v>250</v>
      </c>
      <c r="Q251" s="4">
        <v>39697</v>
      </c>
      <c r="R251" s="11">
        <v>250</v>
      </c>
      <c r="S251" s="4">
        <v>40063</v>
      </c>
      <c r="T251" s="11">
        <v>250</v>
      </c>
      <c r="U251" s="4">
        <v>40428</v>
      </c>
      <c r="V251" s="11">
        <v>250</v>
      </c>
      <c r="W251" s="4">
        <v>40793</v>
      </c>
      <c r="X251" s="12">
        <v>250</v>
      </c>
      <c r="Y251" s="4">
        <v>41158</v>
      </c>
    </row>
    <row r="252" spans="12:25" x14ac:dyDescent="0.25">
      <c r="L252" s="10">
        <v>251</v>
      </c>
      <c r="M252" s="4">
        <v>38968</v>
      </c>
      <c r="N252" s="11">
        <v>251</v>
      </c>
      <c r="O252" s="4">
        <v>39333</v>
      </c>
      <c r="P252" s="11">
        <v>251</v>
      </c>
      <c r="Q252" s="4">
        <v>39698</v>
      </c>
      <c r="R252" s="11">
        <v>251</v>
      </c>
      <c r="S252" s="4">
        <v>40064</v>
      </c>
      <c r="T252" s="11">
        <v>251</v>
      </c>
      <c r="U252" s="4">
        <v>40429</v>
      </c>
      <c r="V252" s="11">
        <v>251</v>
      </c>
      <c r="W252" s="4">
        <v>40794</v>
      </c>
      <c r="X252" s="12">
        <v>251</v>
      </c>
      <c r="Y252" s="4">
        <v>41159</v>
      </c>
    </row>
    <row r="253" spans="12:25" x14ac:dyDescent="0.25">
      <c r="L253" s="10">
        <v>252</v>
      </c>
      <c r="M253" s="4">
        <v>38969</v>
      </c>
      <c r="N253" s="11">
        <v>252</v>
      </c>
      <c r="O253" s="4">
        <v>39334</v>
      </c>
      <c r="P253" s="11">
        <v>252</v>
      </c>
      <c r="Q253" s="4">
        <v>39699</v>
      </c>
      <c r="R253" s="11">
        <v>252</v>
      </c>
      <c r="S253" s="4">
        <v>40065</v>
      </c>
      <c r="T253" s="11">
        <v>252</v>
      </c>
      <c r="U253" s="4">
        <v>40430</v>
      </c>
      <c r="V253" s="11">
        <v>252</v>
      </c>
      <c r="W253" s="4">
        <v>40795</v>
      </c>
      <c r="X253" s="12">
        <v>252</v>
      </c>
      <c r="Y253" s="4">
        <v>41160</v>
      </c>
    </row>
    <row r="254" spans="12:25" x14ac:dyDescent="0.25">
      <c r="L254" s="10">
        <v>253</v>
      </c>
      <c r="M254" s="4">
        <v>38970</v>
      </c>
      <c r="N254" s="11">
        <v>253</v>
      </c>
      <c r="O254" s="4">
        <v>39335</v>
      </c>
      <c r="P254" s="11">
        <v>253</v>
      </c>
      <c r="Q254" s="4">
        <v>39700</v>
      </c>
      <c r="R254" s="11">
        <v>253</v>
      </c>
      <c r="S254" s="4">
        <v>40066</v>
      </c>
      <c r="T254" s="11">
        <v>253</v>
      </c>
      <c r="U254" s="4">
        <v>40431</v>
      </c>
      <c r="V254" s="11">
        <v>253</v>
      </c>
      <c r="W254" s="4">
        <v>40796</v>
      </c>
      <c r="X254" s="12">
        <v>253</v>
      </c>
      <c r="Y254" s="4">
        <v>41161</v>
      </c>
    </row>
    <row r="255" spans="12:25" x14ac:dyDescent="0.25">
      <c r="L255" s="10">
        <v>254</v>
      </c>
      <c r="M255" s="4">
        <v>38971</v>
      </c>
      <c r="N255" s="11">
        <v>254</v>
      </c>
      <c r="O255" s="4">
        <v>39336</v>
      </c>
      <c r="P255" s="11">
        <v>254</v>
      </c>
      <c r="Q255" s="4">
        <v>39701</v>
      </c>
      <c r="R255" s="11">
        <v>254</v>
      </c>
      <c r="S255" s="4">
        <v>40067</v>
      </c>
      <c r="T255" s="11">
        <v>254</v>
      </c>
      <c r="U255" s="4">
        <v>40432</v>
      </c>
      <c r="V255" s="11">
        <v>254</v>
      </c>
      <c r="W255" s="4">
        <v>40797</v>
      </c>
      <c r="X255" s="12">
        <v>254</v>
      </c>
      <c r="Y255" s="4">
        <v>41162</v>
      </c>
    </row>
    <row r="256" spans="12:25" x14ac:dyDescent="0.25">
      <c r="L256" s="10">
        <v>255</v>
      </c>
      <c r="M256" s="4">
        <v>38972</v>
      </c>
      <c r="N256" s="11">
        <v>255</v>
      </c>
      <c r="O256" s="4">
        <v>39337</v>
      </c>
      <c r="P256" s="11">
        <v>255</v>
      </c>
      <c r="Q256" s="4">
        <v>39702</v>
      </c>
      <c r="R256" s="11">
        <v>255</v>
      </c>
      <c r="S256" s="4">
        <v>40068</v>
      </c>
      <c r="T256" s="11">
        <v>255</v>
      </c>
      <c r="U256" s="4">
        <v>40433</v>
      </c>
      <c r="V256" s="11">
        <v>255</v>
      </c>
      <c r="W256" s="4">
        <v>40798</v>
      </c>
      <c r="X256" s="12">
        <v>255</v>
      </c>
      <c r="Y256" s="4">
        <v>41163</v>
      </c>
    </row>
    <row r="257" spans="12:25" x14ac:dyDescent="0.25">
      <c r="L257" s="10">
        <v>256</v>
      </c>
      <c r="M257" s="4">
        <v>38973</v>
      </c>
      <c r="N257" s="11">
        <v>256</v>
      </c>
      <c r="O257" s="4">
        <v>39338</v>
      </c>
      <c r="P257" s="11">
        <v>256</v>
      </c>
      <c r="Q257" s="4">
        <v>39703</v>
      </c>
      <c r="R257" s="11">
        <v>256</v>
      </c>
      <c r="S257" s="4">
        <v>40069</v>
      </c>
      <c r="T257" s="11">
        <v>256</v>
      </c>
      <c r="U257" s="4">
        <v>40434</v>
      </c>
      <c r="V257" s="11">
        <v>256</v>
      </c>
      <c r="W257" s="4">
        <v>40799</v>
      </c>
      <c r="X257" s="12">
        <v>256</v>
      </c>
      <c r="Y257" s="4">
        <v>41164</v>
      </c>
    </row>
    <row r="258" spans="12:25" x14ac:dyDescent="0.25">
      <c r="L258" s="10">
        <v>257</v>
      </c>
      <c r="M258" s="4">
        <v>38974</v>
      </c>
      <c r="N258" s="11">
        <v>257</v>
      </c>
      <c r="O258" s="4">
        <v>39339</v>
      </c>
      <c r="P258" s="11">
        <v>257</v>
      </c>
      <c r="Q258" s="4">
        <v>39704</v>
      </c>
      <c r="R258" s="11">
        <v>257</v>
      </c>
      <c r="S258" s="4">
        <v>40070</v>
      </c>
      <c r="T258" s="11">
        <v>257</v>
      </c>
      <c r="U258" s="4">
        <v>40435</v>
      </c>
      <c r="V258" s="11">
        <v>257</v>
      </c>
      <c r="W258" s="4">
        <v>40800</v>
      </c>
      <c r="X258" s="12">
        <v>257</v>
      </c>
      <c r="Y258" s="4">
        <v>41165</v>
      </c>
    </row>
    <row r="259" spans="12:25" x14ac:dyDescent="0.25">
      <c r="L259" s="10">
        <v>258</v>
      </c>
      <c r="M259" s="4">
        <v>38975</v>
      </c>
      <c r="N259" s="11">
        <v>258</v>
      </c>
      <c r="O259" s="4">
        <v>39340</v>
      </c>
      <c r="P259" s="11">
        <v>258</v>
      </c>
      <c r="Q259" s="4">
        <v>39705</v>
      </c>
      <c r="R259" s="11">
        <v>258</v>
      </c>
      <c r="S259" s="4">
        <v>40071</v>
      </c>
      <c r="T259" s="11">
        <v>258</v>
      </c>
      <c r="U259" s="4">
        <v>40436</v>
      </c>
      <c r="V259" s="11">
        <v>258</v>
      </c>
      <c r="W259" s="4">
        <v>40801</v>
      </c>
      <c r="X259" s="12">
        <v>258</v>
      </c>
      <c r="Y259" s="4">
        <v>41166</v>
      </c>
    </row>
    <row r="260" spans="12:25" x14ac:dyDescent="0.25">
      <c r="L260" s="10">
        <v>259</v>
      </c>
      <c r="M260" s="4">
        <v>38976</v>
      </c>
      <c r="N260" s="11">
        <v>259</v>
      </c>
      <c r="O260" s="4">
        <v>39341</v>
      </c>
      <c r="P260" s="11">
        <v>259</v>
      </c>
      <c r="Q260" s="4">
        <v>39706</v>
      </c>
      <c r="R260" s="11">
        <v>259</v>
      </c>
      <c r="S260" s="4">
        <v>40072</v>
      </c>
      <c r="T260" s="11">
        <v>259</v>
      </c>
      <c r="U260" s="4">
        <v>40437</v>
      </c>
      <c r="V260" s="11">
        <v>259</v>
      </c>
      <c r="W260" s="4">
        <v>40802</v>
      </c>
      <c r="X260" s="12">
        <v>259</v>
      </c>
      <c r="Y260" s="4">
        <v>41167</v>
      </c>
    </row>
    <row r="261" spans="12:25" x14ac:dyDescent="0.25">
      <c r="L261" s="10">
        <v>260</v>
      </c>
      <c r="M261" s="4">
        <v>38977</v>
      </c>
      <c r="N261" s="11">
        <v>260</v>
      </c>
      <c r="O261" s="4">
        <v>39342</v>
      </c>
      <c r="P261" s="11">
        <v>260</v>
      </c>
      <c r="Q261" s="4">
        <v>39707</v>
      </c>
      <c r="R261" s="11">
        <v>260</v>
      </c>
      <c r="S261" s="4">
        <v>40073</v>
      </c>
      <c r="T261" s="11">
        <v>260</v>
      </c>
      <c r="U261" s="4">
        <v>40438</v>
      </c>
      <c r="V261" s="11">
        <v>260</v>
      </c>
      <c r="W261" s="4">
        <v>40803</v>
      </c>
      <c r="X261" s="12">
        <v>260</v>
      </c>
      <c r="Y261" s="4">
        <v>41168</v>
      </c>
    </row>
    <row r="262" spans="12:25" x14ac:dyDescent="0.25">
      <c r="L262" s="10">
        <v>261</v>
      </c>
      <c r="M262" s="4">
        <v>38978</v>
      </c>
      <c r="N262" s="11">
        <v>261</v>
      </c>
      <c r="O262" s="4">
        <v>39343</v>
      </c>
      <c r="P262" s="11">
        <v>261</v>
      </c>
      <c r="Q262" s="4">
        <v>39708</v>
      </c>
      <c r="R262" s="11">
        <v>261</v>
      </c>
      <c r="S262" s="4">
        <v>40074</v>
      </c>
      <c r="T262" s="11">
        <v>261</v>
      </c>
      <c r="U262" s="4">
        <v>40439</v>
      </c>
      <c r="V262" s="11">
        <v>261</v>
      </c>
      <c r="W262" s="4">
        <v>40804</v>
      </c>
      <c r="X262" s="12">
        <v>261</v>
      </c>
      <c r="Y262" s="4">
        <v>41169</v>
      </c>
    </row>
    <row r="263" spans="12:25" x14ac:dyDescent="0.25">
      <c r="L263" s="10">
        <v>262</v>
      </c>
      <c r="M263" s="4">
        <v>38979</v>
      </c>
      <c r="N263" s="11">
        <v>262</v>
      </c>
      <c r="O263" s="4">
        <v>39344</v>
      </c>
      <c r="P263" s="11">
        <v>262</v>
      </c>
      <c r="Q263" s="4">
        <v>39709</v>
      </c>
      <c r="R263" s="11">
        <v>262</v>
      </c>
      <c r="S263" s="4">
        <v>40075</v>
      </c>
      <c r="T263" s="11">
        <v>262</v>
      </c>
      <c r="U263" s="4">
        <v>40440</v>
      </c>
      <c r="V263" s="11">
        <v>262</v>
      </c>
      <c r="W263" s="4">
        <v>40805</v>
      </c>
      <c r="X263" s="12">
        <v>262</v>
      </c>
      <c r="Y263" s="4">
        <v>41170</v>
      </c>
    </row>
    <row r="264" spans="12:25" x14ac:dyDescent="0.25">
      <c r="L264" s="10">
        <v>263</v>
      </c>
      <c r="M264" s="4">
        <v>38980</v>
      </c>
      <c r="N264" s="11">
        <v>263</v>
      </c>
      <c r="O264" s="4">
        <v>39345</v>
      </c>
      <c r="P264" s="11">
        <v>263</v>
      </c>
      <c r="Q264" s="4">
        <v>39710</v>
      </c>
      <c r="R264" s="11">
        <v>263</v>
      </c>
      <c r="S264" s="4">
        <v>40076</v>
      </c>
      <c r="T264" s="11">
        <v>263</v>
      </c>
      <c r="U264" s="4">
        <v>40441</v>
      </c>
      <c r="V264" s="11">
        <v>263</v>
      </c>
      <c r="W264" s="4">
        <v>40806</v>
      </c>
      <c r="X264" s="12">
        <v>263</v>
      </c>
      <c r="Y264" s="4">
        <v>41171</v>
      </c>
    </row>
    <row r="265" spans="12:25" x14ac:dyDescent="0.25">
      <c r="L265" s="10">
        <v>264</v>
      </c>
      <c r="M265" s="4">
        <v>38981</v>
      </c>
      <c r="N265" s="11">
        <v>264</v>
      </c>
      <c r="O265" s="4">
        <v>39346</v>
      </c>
      <c r="P265" s="11">
        <v>264</v>
      </c>
      <c r="Q265" s="4">
        <v>39711</v>
      </c>
      <c r="R265" s="11">
        <v>264</v>
      </c>
      <c r="S265" s="4">
        <v>40077</v>
      </c>
      <c r="T265" s="11">
        <v>264</v>
      </c>
      <c r="U265" s="4">
        <v>40442</v>
      </c>
      <c r="V265" s="11">
        <v>264</v>
      </c>
      <c r="W265" s="4">
        <v>40807</v>
      </c>
      <c r="X265" s="12">
        <v>264</v>
      </c>
      <c r="Y265" s="4">
        <v>41172</v>
      </c>
    </row>
    <row r="266" spans="12:25" x14ac:dyDescent="0.25">
      <c r="L266" s="10">
        <v>265</v>
      </c>
      <c r="M266" s="4">
        <v>38982</v>
      </c>
      <c r="N266" s="11">
        <v>265</v>
      </c>
      <c r="O266" s="4">
        <v>39347</v>
      </c>
      <c r="P266" s="11">
        <v>265</v>
      </c>
      <c r="Q266" s="4">
        <v>39712</v>
      </c>
      <c r="R266" s="11">
        <v>265</v>
      </c>
      <c r="S266" s="4">
        <v>40078</v>
      </c>
      <c r="T266" s="11">
        <v>265</v>
      </c>
      <c r="U266" s="4">
        <v>40443</v>
      </c>
      <c r="V266" s="11">
        <v>265</v>
      </c>
      <c r="W266" s="4">
        <v>40808</v>
      </c>
      <c r="X266" s="12">
        <v>265</v>
      </c>
      <c r="Y266" s="4">
        <v>41173</v>
      </c>
    </row>
    <row r="267" spans="12:25" x14ac:dyDescent="0.25">
      <c r="L267" s="10">
        <v>266</v>
      </c>
      <c r="M267" s="4">
        <v>38983</v>
      </c>
      <c r="N267" s="11">
        <v>266</v>
      </c>
      <c r="O267" s="4">
        <v>39348</v>
      </c>
      <c r="P267" s="11">
        <v>266</v>
      </c>
      <c r="Q267" s="4">
        <v>39713</v>
      </c>
      <c r="R267" s="11">
        <v>266</v>
      </c>
      <c r="S267" s="4">
        <v>40079</v>
      </c>
      <c r="T267" s="11">
        <v>266</v>
      </c>
      <c r="U267" s="4">
        <v>40444</v>
      </c>
      <c r="V267" s="11">
        <v>266</v>
      </c>
      <c r="W267" s="4">
        <v>40809</v>
      </c>
      <c r="X267" s="12">
        <v>266</v>
      </c>
      <c r="Y267" s="4">
        <v>41174</v>
      </c>
    </row>
    <row r="268" spans="12:25" x14ac:dyDescent="0.25">
      <c r="L268" s="10">
        <v>267</v>
      </c>
      <c r="M268" s="4">
        <v>38984</v>
      </c>
      <c r="N268" s="11">
        <v>267</v>
      </c>
      <c r="O268" s="4">
        <v>39349</v>
      </c>
      <c r="P268" s="11">
        <v>267</v>
      </c>
      <c r="Q268" s="4">
        <v>39714</v>
      </c>
      <c r="R268" s="11">
        <v>267</v>
      </c>
      <c r="S268" s="4">
        <v>40080</v>
      </c>
      <c r="T268" s="11">
        <v>267</v>
      </c>
      <c r="U268" s="4">
        <v>40445</v>
      </c>
      <c r="V268" s="11">
        <v>267</v>
      </c>
      <c r="W268" s="4">
        <v>40810</v>
      </c>
      <c r="X268" s="12">
        <v>267</v>
      </c>
      <c r="Y268" s="4">
        <v>41175</v>
      </c>
    </row>
    <row r="269" spans="12:25" x14ac:dyDescent="0.25">
      <c r="L269" s="10">
        <v>268</v>
      </c>
      <c r="M269" s="4">
        <v>38985</v>
      </c>
      <c r="N269" s="11">
        <v>268</v>
      </c>
      <c r="O269" s="4">
        <v>39350</v>
      </c>
      <c r="P269" s="11">
        <v>268</v>
      </c>
      <c r="Q269" s="4">
        <v>39715</v>
      </c>
      <c r="R269" s="11">
        <v>268</v>
      </c>
      <c r="S269" s="4">
        <v>40081</v>
      </c>
      <c r="T269" s="11">
        <v>268</v>
      </c>
      <c r="U269" s="4">
        <v>40446</v>
      </c>
      <c r="V269" s="11">
        <v>268</v>
      </c>
      <c r="W269" s="4">
        <v>40811</v>
      </c>
      <c r="X269" s="12">
        <v>268</v>
      </c>
      <c r="Y269" s="4">
        <v>41176</v>
      </c>
    </row>
    <row r="270" spans="12:25" x14ac:dyDescent="0.25">
      <c r="L270" s="10">
        <v>269</v>
      </c>
      <c r="M270" s="4">
        <v>38986</v>
      </c>
      <c r="N270" s="11">
        <v>269</v>
      </c>
      <c r="O270" s="4">
        <v>39351</v>
      </c>
      <c r="P270" s="11">
        <v>269</v>
      </c>
      <c r="Q270" s="4">
        <v>39716</v>
      </c>
      <c r="R270" s="11">
        <v>269</v>
      </c>
      <c r="S270" s="4">
        <v>40082</v>
      </c>
      <c r="T270" s="11">
        <v>269</v>
      </c>
      <c r="U270" s="4">
        <v>40447</v>
      </c>
      <c r="V270" s="11">
        <v>269</v>
      </c>
      <c r="W270" s="4">
        <v>40812</v>
      </c>
      <c r="X270" s="12">
        <v>269</v>
      </c>
      <c r="Y270" s="4">
        <v>41177</v>
      </c>
    </row>
    <row r="271" spans="12:25" x14ac:dyDescent="0.25">
      <c r="L271" s="10">
        <v>270</v>
      </c>
      <c r="M271" s="4">
        <v>38987</v>
      </c>
      <c r="N271" s="11">
        <v>270</v>
      </c>
      <c r="O271" s="4">
        <v>39352</v>
      </c>
      <c r="P271" s="11">
        <v>270</v>
      </c>
      <c r="Q271" s="4">
        <v>39717</v>
      </c>
      <c r="R271" s="11">
        <v>270</v>
      </c>
      <c r="S271" s="4">
        <v>40083</v>
      </c>
      <c r="T271" s="11">
        <v>270</v>
      </c>
      <c r="U271" s="4">
        <v>40448</v>
      </c>
      <c r="V271" s="11">
        <v>270</v>
      </c>
      <c r="W271" s="4">
        <v>40813</v>
      </c>
      <c r="X271" s="12">
        <v>270</v>
      </c>
      <c r="Y271" s="4">
        <v>41178</v>
      </c>
    </row>
    <row r="272" spans="12:25" x14ac:dyDescent="0.25">
      <c r="L272" s="10">
        <v>271</v>
      </c>
      <c r="M272" s="4">
        <v>38988</v>
      </c>
      <c r="N272" s="11">
        <v>271</v>
      </c>
      <c r="O272" s="4">
        <v>39353</v>
      </c>
      <c r="P272" s="11">
        <v>271</v>
      </c>
      <c r="Q272" s="4">
        <v>39718</v>
      </c>
      <c r="R272" s="11">
        <v>271</v>
      </c>
      <c r="S272" s="4">
        <v>40084</v>
      </c>
      <c r="T272" s="11">
        <v>271</v>
      </c>
      <c r="U272" s="4">
        <v>40449</v>
      </c>
      <c r="V272" s="11">
        <v>271</v>
      </c>
      <c r="W272" s="4">
        <v>40814</v>
      </c>
      <c r="X272" s="12">
        <v>271</v>
      </c>
      <c r="Y272" s="4">
        <v>41179</v>
      </c>
    </row>
    <row r="273" spans="12:25" x14ac:dyDescent="0.25">
      <c r="L273" s="10">
        <v>272</v>
      </c>
      <c r="M273" s="4">
        <v>38989</v>
      </c>
      <c r="N273" s="11">
        <v>272</v>
      </c>
      <c r="O273" s="4">
        <v>39354</v>
      </c>
      <c r="P273" s="11">
        <v>272</v>
      </c>
      <c r="Q273" s="4">
        <v>39719</v>
      </c>
      <c r="R273" s="11">
        <v>272</v>
      </c>
      <c r="S273" s="4">
        <v>40085</v>
      </c>
      <c r="T273" s="11">
        <v>272</v>
      </c>
      <c r="U273" s="4">
        <v>40450</v>
      </c>
      <c r="V273" s="11">
        <v>272</v>
      </c>
      <c r="W273" s="4">
        <v>40815</v>
      </c>
      <c r="X273" s="12">
        <v>272</v>
      </c>
      <c r="Y273" s="4">
        <v>41180</v>
      </c>
    </row>
    <row r="274" spans="12:25" x14ac:dyDescent="0.25">
      <c r="L274" s="10">
        <v>273</v>
      </c>
      <c r="M274" s="4">
        <v>38990</v>
      </c>
      <c r="N274" s="11">
        <v>273</v>
      </c>
      <c r="O274" s="4">
        <v>39355</v>
      </c>
      <c r="P274" s="11">
        <v>273</v>
      </c>
      <c r="Q274" s="4">
        <v>39720</v>
      </c>
      <c r="R274" s="11">
        <v>273</v>
      </c>
      <c r="S274" s="4">
        <v>40086</v>
      </c>
      <c r="T274" s="11">
        <v>273</v>
      </c>
      <c r="U274" s="4">
        <v>40451</v>
      </c>
      <c r="V274" s="11">
        <v>273</v>
      </c>
      <c r="W274" s="4">
        <v>40816</v>
      </c>
      <c r="X274" s="12">
        <v>273</v>
      </c>
      <c r="Y274" s="4">
        <v>41181</v>
      </c>
    </row>
    <row r="275" spans="12:25" x14ac:dyDescent="0.25">
      <c r="L275" s="10">
        <v>274</v>
      </c>
      <c r="M275" s="4">
        <v>38991</v>
      </c>
      <c r="N275" s="11">
        <v>274</v>
      </c>
      <c r="O275" s="4">
        <v>39356</v>
      </c>
      <c r="P275" s="11">
        <v>274</v>
      </c>
      <c r="Q275" s="4">
        <v>39721</v>
      </c>
      <c r="R275" s="11">
        <v>274</v>
      </c>
      <c r="S275" s="4">
        <v>40087</v>
      </c>
      <c r="T275" s="11">
        <v>274</v>
      </c>
      <c r="U275" s="4">
        <v>40452</v>
      </c>
      <c r="V275" s="11">
        <v>274</v>
      </c>
      <c r="W275" s="4">
        <v>40817</v>
      </c>
      <c r="X275" s="12">
        <v>274</v>
      </c>
      <c r="Y275" s="4">
        <v>41182</v>
      </c>
    </row>
    <row r="276" spans="12:25" x14ac:dyDescent="0.25">
      <c r="L276" s="10">
        <v>275</v>
      </c>
      <c r="M276" s="4">
        <v>38992</v>
      </c>
      <c r="N276" s="11">
        <v>275</v>
      </c>
      <c r="O276" s="4">
        <v>39357</v>
      </c>
      <c r="P276" s="11">
        <v>275</v>
      </c>
      <c r="Q276" s="4">
        <v>39722</v>
      </c>
      <c r="R276" s="11">
        <v>275</v>
      </c>
      <c r="S276" s="4">
        <v>40088</v>
      </c>
      <c r="T276" s="11">
        <v>275</v>
      </c>
      <c r="U276" s="4">
        <v>40453</v>
      </c>
      <c r="V276" s="11">
        <v>275</v>
      </c>
      <c r="W276" s="4">
        <v>40818</v>
      </c>
      <c r="X276" s="12">
        <v>275</v>
      </c>
      <c r="Y276" s="4">
        <v>41183</v>
      </c>
    </row>
    <row r="277" spans="12:25" x14ac:dyDescent="0.25">
      <c r="L277" s="10">
        <v>276</v>
      </c>
      <c r="M277" s="4">
        <v>38993</v>
      </c>
      <c r="N277" s="11">
        <v>276</v>
      </c>
      <c r="O277" s="4">
        <v>39358</v>
      </c>
      <c r="P277" s="11">
        <v>276</v>
      </c>
      <c r="Q277" s="4">
        <v>39723</v>
      </c>
      <c r="R277" s="11">
        <v>276</v>
      </c>
      <c r="S277" s="4">
        <v>40089</v>
      </c>
      <c r="T277" s="11">
        <v>276</v>
      </c>
      <c r="U277" s="4">
        <v>40454</v>
      </c>
      <c r="V277" s="11">
        <v>276</v>
      </c>
      <c r="W277" s="4">
        <v>40819</v>
      </c>
      <c r="X277" s="12">
        <v>276</v>
      </c>
      <c r="Y277" s="4">
        <v>41184</v>
      </c>
    </row>
    <row r="278" spans="12:25" x14ac:dyDescent="0.25">
      <c r="L278" s="10">
        <v>277</v>
      </c>
      <c r="M278" s="4">
        <v>38994</v>
      </c>
      <c r="N278" s="11">
        <v>277</v>
      </c>
      <c r="O278" s="4">
        <v>39359</v>
      </c>
      <c r="P278" s="11">
        <v>277</v>
      </c>
      <c r="Q278" s="4">
        <v>39724</v>
      </c>
      <c r="R278" s="11">
        <v>277</v>
      </c>
      <c r="S278" s="4">
        <v>40090</v>
      </c>
      <c r="T278" s="11">
        <v>277</v>
      </c>
      <c r="U278" s="4">
        <v>40455</v>
      </c>
      <c r="V278" s="11">
        <v>277</v>
      </c>
      <c r="W278" s="4">
        <v>40820</v>
      </c>
      <c r="X278" s="12">
        <v>277</v>
      </c>
      <c r="Y278" s="4">
        <v>41185</v>
      </c>
    </row>
    <row r="279" spans="12:25" x14ac:dyDescent="0.25">
      <c r="L279" s="10">
        <v>278</v>
      </c>
      <c r="M279" s="4">
        <v>38995</v>
      </c>
      <c r="N279" s="11">
        <v>278</v>
      </c>
      <c r="O279" s="4">
        <v>39360</v>
      </c>
      <c r="P279" s="11">
        <v>278</v>
      </c>
      <c r="Q279" s="4">
        <v>39725</v>
      </c>
      <c r="R279" s="11">
        <v>278</v>
      </c>
      <c r="S279" s="4">
        <v>40091</v>
      </c>
      <c r="T279" s="11">
        <v>278</v>
      </c>
      <c r="U279" s="4">
        <v>40456</v>
      </c>
      <c r="V279" s="11">
        <v>278</v>
      </c>
      <c r="W279" s="4">
        <v>40821</v>
      </c>
      <c r="X279" s="12">
        <v>278</v>
      </c>
      <c r="Y279" s="4">
        <v>41186</v>
      </c>
    </row>
    <row r="280" spans="12:25" x14ac:dyDescent="0.25">
      <c r="L280" s="10">
        <v>279</v>
      </c>
      <c r="M280" s="4">
        <v>38996</v>
      </c>
      <c r="N280" s="11">
        <v>279</v>
      </c>
      <c r="O280" s="4">
        <v>39361</v>
      </c>
      <c r="P280" s="11">
        <v>279</v>
      </c>
      <c r="Q280" s="4">
        <v>39726</v>
      </c>
      <c r="R280" s="11">
        <v>279</v>
      </c>
      <c r="S280" s="4">
        <v>40092</v>
      </c>
      <c r="T280" s="11">
        <v>279</v>
      </c>
      <c r="U280" s="4">
        <v>40457</v>
      </c>
      <c r="V280" s="11">
        <v>279</v>
      </c>
      <c r="W280" s="4">
        <v>40822</v>
      </c>
      <c r="X280" s="12">
        <v>279</v>
      </c>
      <c r="Y280" s="4">
        <v>41187</v>
      </c>
    </row>
    <row r="281" spans="12:25" x14ac:dyDescent="0.25">
      <c r="L281" s="10">
        <v>280</v>
      </c>
      <c r="M281" s="4">
        <v>38997</v>
      </c>
      <c r="N281" s="11">
        <v>280</v>
      </c>
      <c r="O281" s="4">
        <v>39362</v>
      </c>
      <c r="P281" s="11">
        <v>280</v>
      </c>
      <c r="Q281" s="4">
        <v>39727</v>
      </c>
      <c r="R281" s="11">
        <v>280</v>
      </c>
      <c r="S281" s="4">
        <v>40093</v>
      </c>
      <c r="T281" s="11">
        <v>280</v>
      </c>
      <c r="U281" s="4">
        <v>40458</v>
      </c>
      <c r="V281" s="11">
        <v>280</v>
      </c>
      <c r="W281" s="4">
        <v>40823</v>
      </c>
      <c r="X281" s="12">
        <v>280</v>
      </c>
      <c r="Y281" s="4">
        <v>41188</v>
      </c>
    </row>
    <row r="282" spans="12:25" x14ac:dyDescent="0.25">
      <c r="L282" s="10">
        <v>281</v>
      </c>
      <c r="M282" s="4">
        <v>38998</v>
      </c>
      <c r="N282" s="11">
        <v>281</v>
      </c>
      <c r="O282" s="4">
        <v>39363</v>
      </c>
      <c r="P282" s="11">
        <v>281</v>
      </c>
      <c r="Q282" s="4">
        <v>39728</v>
      </c>
      <c r="R282" s="11">
        <v>281</v>
      </c>
      <c r="S282" s="4">
        <v>40094</v>
      </c>
      <c r="T282" s="11">
        <v>281</v>
      </c>
      <c r="U282" s="4">
        <v>40459</v>
      </c>
      <c r="V282" s="11">
        <v>281</v>
      </c>
      <c r="W282" s="4">
        <v>40824</v>
      </c>
      <c r="X282" s="12">
        <v>281</v>
      </c>
      <c r="Y282" s="4">
        <v>41189</v>
      </c>
    </row>
    <row r="283" spans="12:25" x14ac:dyDescent="0.25">
      <c r="L283" s="10">
        <v>282</v>
      </c>
      <c r="M283" s="4">
        <v>38999</v>
      </c>
      <c r="N283" s="11">
        <v>282</v>
      </c>
      <c r="O283" s="4">
        <v>39364</v>
      </c>
      <c r="P283" s="11">
        <v>282</v>
      </c>
      <c r="Q283" s="4">
        <v>39729</v>
      </c>
      <c r="R283" s="11">
        <v>282</v>
      </c>
      <c r="S283" s="4">
        <v>40095</v>
      </c>
      <c r="T283" s="11">
        <v>282</v>
      </c>
      <c r="U283" s="4">
        <v>40460</v>
      </c>
      <c r="V283" s="11">
        <v>282</v>
      </c>
      <c r="W283" s="4">
        <v>40825</v>
      </c>
      <c r="X283" s="12">
        <v>282</v>
      </c>
      <c r="Y283" s="4">
        <v>41190</v>
      </c>
    </row>
    <row r="284" spans="12:25" x14ac:dyDescent="0.25">
      <c r="L284" s="10">
        <v>283</v>
      </c>
      <c r="M284" s="4">
        <v>39000</v>
      </c>
      <c r="N284" s="11">
        <v>283</v>
      </c>
      <c r="O284" s="4">
        <v>39365</v>
      </c>
      <c r="P284" s="11">
        <v>283</v>
      </c>
      <c r="Q284" s="4">
        <v>39730</v>
      </c>
      <c r="R284" s="11">
        <v>283</v>
      </c>
      <c r="S284" s="4">
        <v>40096</v>
      </c>
      <c r="T284" s="11">
        <v>283</v>
      </c>
      <c r="U284" s="4">
        <v>40461</v>
      </c>
      <c r="V284" s="11">
        <v>283</v>
      </c>
      <c r="W284" s="4">
        <v>40826</v>
      </c>
      <c r="X284" s="12">
        <v>283</v>
      </c>
      <c r="Y284" s="4">
        <v>41191</v>
      </c>
    </row>
    <row r="285" spans="12:25" x14ac:dyDescent="0.25">
      <c r="L285" s="10">
        <v>284</v>
      </c>
      <c r="M285" s="4">
        <v>39001</v>
      </c>
      <c r="N285" s="11">
        <v>284</v>
      </c>
      <c r="O285" s="4">
        <v>39366</v>
      </c>
      <c r="P285" s="11">
        <v>284</v>
      </c>
      <c r="Q285" s="4">
        <v>39731</v>
      </c>
      <c r="R285" s="11">
        <v>284</v>
      </c>
      <c r="S285" s="4">
        <v>40097</v>
      </c>
      <c r="T285" s="11">
        <v>284</v>
      </c>
      <c r="U285" s="4">
        <v>40462</v>
      </c>
      <c r="V285" s="11">
        <v>284</v>
      </c>
      <c r="W285" s="4">
        <v>40827</v>
      </c>
      <c r="X285" s="12">
        <v>284</v>
      </c>
      <c r="Y285" s="4">
        <v>41192</v>
      </c>
    </row>
    <row r="286" spans="12:25" x14ac:dyDescent="0.25">
      <c r="L286" s="10">
        <v>285</v>
      </c>
      <c r="M286" s="4">
        <v>39002</v>
      </c>
      <c r="N286" s="11">
        <v>285</v>
      </c>
      <c r="O286" s="4">
        <v>39367</v>
      </c>
      <c r="P286" s="11">
        <v>285</v>
      </c>
      <c r="Q286" s="4">
        <v>39732</v>
      </c>
      <c r="R286" s="11">
        <v>285</v>
      </c>
      <c r="S286" s="4">
        <v>40098</v>
      </c>
      <c r="T286" s="11">
        <v>285</v>
      </c>
      <c r="U286" s="4">
        <v>40463</v>
      </c>
      <c r="V286" s="11">
        <v>285</v>
      </c>
      <c r="W286" s="4">
        <v>40828</v>
      </c>
      <c r="X286" s="12">
        <v>285</v>
      </c>
      <c r="Y286" s="4">
        <v>41193</v>
      </c>
    </row>
    <row r="287" spans="12:25" x14ac:dyDescent="0.25">
      <c r="L287" s="10">
        <v>286</v>
      </c>
      <c r="M287" s="4">
        <v>39003</v>
      </c>
      <c r="N287" s="11">
        <v>286</v>
      </c>
      <c r="O287" s="4">
        <v>39368</v>
      </c>
      <c r="P287" s="11">
        <v>286</v>
      </c>
      <c r="Q287" s="4">
        <v>39733</v>
      </c>
      <c r="R287" s="11">
        <v>286</v>
      </c>
      <c r="S287" s="4">
        <v>40099</v>
      </c>
      <c r="T287" s="11">
        <v>286</v>
      </c>
      <c r="U287" s="4">
        <v>40464</v>
      </c>
      <c r="V287" s="11">
        <v>286</v>
      </c>
      <c r="W287" s="4">
        <v>40829</v>
      </c>
      <c r="X287" s="12">
        <v>286</v>
      </c>
      <c r="Y287" s="4">
        <v>41194</v>
      </c>
    </row>
    <row r="288" spans="12:25" x14ac:dyDescent="0.25">
      <c r="L288" s="10">
        <v>287</v>
      </c>
      <c r="M288" s="4">
        <v>39004</v>
      </c>
      <c r="N288" s="11">
        <v>287</v>
      </c>
      <c r="O288" s="4">
        <v>39369</v>
      </c>
      <c r="P288" s="11">
        <v>287</v>
      </c>
      <c r="Q288" s="4">
        <v>39734</v>
      </c>
      <c r="R288" s="11">
        <v>287</v>
      </c>
      <c r="S288" s="4">
        <v>40100</v>
      </c>
      <c r="T288" s="11">
        <v>287</v>
      </c>
      <c r="U288" s="4">
        <v>40465</v>
      </c>
      <c r="V288" s="11">
        <v>287</v>
      </c>
      <c r="W288" s="4">
        <v>40830</v>
      </c>
      <c r="X288" s="12">
        <v>287</v>
      </c>
      <c r="Y288" s="4">
        <v>41195</v>
      </c>
    </row>
    <row r="289" spans="12:25" x14ac:dyDescent="0.25">
      <c r="L289" s="10">
        <v>288</v>
      </c>
      <c r="M289" s="4">
        <v>39005</v>
      </c>
      <c r="N289" s="11">
        <v>288</v>
      </c>
      <c r="O289" s="4">
        <v>39370</v>
      </c>
      <c r="P289" s="11">
        <v>288</v>
      </c>
      <c r="Q289" s="4">
        <v>39735</v>
      </c>
      <c r="R289" s="11">
        <v>288</v>
      </c>
      <c r="S289" s="4">
        <v>40101</v>
      </c>
      <c r="T289" s="11">
        <v>288</v>
      </c>
      <c r="U289" s="4">
        <v>40466</v>
      </c>
      <c r="V289" s="11">
        <v>288</v>
      </c>
      <c r="W289" s="4">
        <v>40831</v>
      </c>
      <c r="X289" s="12">
        <v>288</v>
      </c>
      <c r="Y289" s="4">
        <v>41196</v>
      </c>
    </row>
    <row r="290" spans="12:25" x14ac:dyDescent="0.25">
      <c r="L290" s="10">
        <v>289</v>
      </c>
      <c r="M290" s="4">
        <v>39006</v>
      </c>
      <c r="N290" s="11">
        <v>289</v>
      </c>
      <c r="O290" s="4">
        <v>39371</v>
      </c>
      <c r="P290" s="11">
        <v>289</v>
      </c>
      <c r="Q290" s="4">
        <v>39736</v>
      </c>
      <c r="R290" s="11">
        <v>289</v>
      </c>
      <c r="S290" s="4">
        <v>40102</v>
      </c>
      <c r="T290" s="11">
        <v>289</v>
      </c>
      <c r="U290" s="4">
        <v>40467</v>
      </c>
      <c r="V290" s="11">
        <v>289</v>
      </c>
      <c r="W290" s="4">
        <v>40832</v>
      </c>
      <c r="X290" s="12">
        <v>289</v>
      </c>
      <c r="Y290" s="4">
        <v>41197</v>
      </c>
    </row>
    <row r="291" spans="12:25" x14ac:dyDescent="0.25">
      <c r="L291" s="10">
        <v>290</v>
      </c>
      <c r="M291" s="4">
        <v>39007</v>
      </c>
      <c r="N291" s="11">
        <v>290</v>
      </c>
      <c r="O291" s="4">
        <v>39372</v>
      </c>
      <c r="P291" s="11">
        <v>290</v>
      </c>
      <c r="Q291" s="4">
        <v>39737</v>
      </c>
      <c r="R291" s="11">
        <v>290</v>
      </c>
      <c r="S291" s="4">
        <v>40103</v>
      </c>
      <c r="T291" s="11">
        <v>290</v>
      </c>
      <c r="U291" s="4">
        <v>40468</v>
      </c>
      <c r="V291" s="11">
        <v>290</v>
      </c>
      <c r="W291" s="4">
        <v>40833</v>
      </c>
      <c r="X291" s="12">
        <v>290</v>
      </c>
      <c r="Y291" s="4">
        <v>41198</v>
      </c>
    </row>
    <row r="292" spans="12:25" x14ac:dyDescent="0.25">
      <c r="L292" s="10">
        <v>291</v>
      </c>
      <c r="M292" s="4">
        <v>39008</v>
      </c>
      <c r="N292" s="11">
        <v>291</v>
      </c>
      <c r="O292" s="4">
        <v>39373</v>
      </c>
      <c r="P292" s="11">
        <v>291</v>
      </c>
      <c r="Q292" s="4">
        <v>39738</v>
      </c>
      <c r="R292" s="11">
        <v>291</v>
      </c>
      <c r="S292" s="4">
        <v>40104</v>
      </c>
      <c r="T292" s="11">
        <v>291</v>
      </c>
      <c r="U292" s="4">
        <v>40469</v>
      </c>
      <c r="V292" s="11">
        <v>291</v>
      </c>
      <c r="W292" s="4">
        <v>40834</v>
      </c>
      <c r="X292" s="12">
        <v>291</v>
      </c>
      <c r="Y292" s="4">
        <v>41199</v>
      </c>
    </row>
    <row r="293" spans="12:25" x14ac:dyDescent="0.25">
      <c r="L293" s="10">
        <v>292</v>
      </c>
      <c r="M293" s="4">
        <v>39009</v>
      </c>
      <c r="N293" s="11">
        <v>292</v>
      </c>
      <c r="O293" s="4">
        <v>39374</v>
      </c>
      <c r="P293" s="11">
        <v>292</v>
      </c>
      <c r="Q293" s="4">
        <v>39739</v>
      </c>
      <c r="R293" s="11">
        <v>292</v>
      </c>
      <c r="S293" s="4">
        <v>40105</v>
      </c>
      <c r="T293" s="11">
        <v>292</v>
      </c>
      <c r="U293" s="4">
        <v>40470</v>
      </c>
      <c r="V293" s="11">
        <v>292</v>
      </c>
      <c r="W293" s="4">
        <v>40835</v>
      </c>
      <c r="X293" s="12">
        <v>292</v>
      </c>
      <c r="Y293" s="4">
        <v>41200</v>
      </c>
    </row>
    <row r="294" spans="12:25" x14ac:dyDescent="0.25">
      <c r="L294" s="10">
        <v>293</v>
      </c>
      <c r="M294" s="4">
        <v>39010</v>
      </c>
      <c r="N294" s="11">
        <v>293</v>
      </c>
      <c r="O294" s="4">
        <v>39375</v>
      </c>
      <c r="P294" s="11">
        <v>293</v>
      </c>
      <c r="Q294" s="4">
        <v>39740</v>
      </c>
      <c r="R294" s="11">
        <v>293</v>
      </c>
      <c r="S294" s="4">
        <v>40106</v>
      </c>
      <c r="T294" s="11">
        <v>293</v>
      </c>
      <c r="U294" s="4">
        <v>40471</v>
      </c>
      <c r="V294" s="11">
        <v>293</v>
      </c>
      <c r="W294" s="4">
        <v>40836</v>
      </c>
      <c r="X294" s="12">
        <v>293</v>
      </c>
      <c r="Y294" s="4">
        <v>41201</v>
      </c>
    </row>
    <row r="295" spans="12:25" x14ac:dyDescent="0.25">
      <c r="L295" s="10">
        <v>294</v>
      </c>
      <c r="M295" s="4">
        <v>39011</v>
      </c>
      <c r="N295" s="11">
        <v>294</v>
      </c>
      <c r="O295" s="4">
        <v>39376</v>
      </c>
      <c r="P295" s="11">
        <v>294</v>
      </c>
      <c r="Q295" s="4">
        <v>39741</v>
      </c>
      <c r="R295" s="11">
        <v>294</v>
      </c>
      <c r="S295" s="4">
        <v>40107</v>
      </c>
      <c r="T295" s="11">
        <v>294</v>
      </c>
      <c r="U295" s="4">
        <v>40472</v>
      </c>
      <c r="V295" s="11">
        <v>294</v>
      </c>
      <c r="W295" s="4">
        <v>40837</v>
      </c>
      <c r="X295" s="12">
        <v>294</v>
      </c>
      <c r="Y295" s="4">
        <v>41202</v>
      </c>
    </row>
    <row r="296" spans="12:25" x14ac:dyDescent="0.25">
      <c r="L296" s="10">
        <v>295</v>
      </c>
      <c r="M296" s="4">
        <v>39012</v>
      </c>
      <c r="N296" s="11">
        <v>295</v>
      </c>
      <c r="O296" s="4">
        <v>39377</v>
      </c>
      <c r="P296" s="11">
        <v>295</v>
      </c>
      <c r="Q296" s="4">
        <v>39742</v>
      </c>
      <c r="R296" s="11">
        <v>295</v>
      </c>
      <c r="S296" s="4">
        <v>40108</v>
      </c>
      <c r="T296" s="11">
        <v>295</v>
      </c>
      <c r="U296" s="4">
        <v>40473</v>
      </c>
      <c r="V296" s="11">
        <v>295</v>
      </c>
      <c r="W296" s="4">
        <v>40838</v>
      </c>
      <c r="X296" s="12">
        <v>295</v>
      </c>
      <c r="Y296" s="4">
        <v>41203</v>
      </c>
    </row>
    <row r="297" spans="12:25" x14ac:dyDescent="0.25">
      <c r="L297" s="10">
        <v>296</v>
      </c>
      <c r="M297" s="4">
        <v>39013</v>
      </c>
      <c r="N297" s="11">
        <v>296</v>
      </c>
      <c r="O297" s="4">
        <v>39378</v>
      </c>
      <c r="P297" s="11">
        <v>296</v>
      </c>
      <c r="Q297" s="4">
        <v>39743</v>
      </c>
      <c r="R297" s="11">
        <v>296</v>
      </c>
      <c r="S297" s="4">
        <v>40109</v>
      </c>
      <c r="T297" s="11">
        <v>296</v>
      </c>
      <c r="U297" s="4">
        <v>40474</v>
      </c>
      <c r="V297" s="11">
        <v>296</v>
      </c>
      <c r="W297" s="4">
        <v>40839</v>
      </c>
      <c r="X297" s="12">
        <v>296</v>
      </c>
      <c r="Y297" s="4">
        <v>41204</v>
      </c>
    </row>
    <row r="298" spans="12:25" x14ac:dyDescent="0.25">
      <c r="L298" s="10">
        <v>297</v>
      </c>
      <c r="M298" s="4">
        <v>39014</v>
      </c>
      <c r="N298" s="11">
        <v>297</v>
      </c>
      <c r="O298" s="4">
        <v>39379</v>
      </c>
      <c r="P298" s="11">
        <v>297</v>
      </c>
      <c r="Q298" s="4">
        <v>39744</v>
      </c>
      <c r="R298" s="11">
        <v>297</v>
      </c>
      <c r="S298" s="4">
        <v>40110</v>
      </c>
      <c r="T298" s="11">
        <v>297</v>
      </c>
      <c r="U298" s="4">
        <v>40475</v>
      </c>
      <c r="V298" s="11">
        <v>297</v>
      </c>
      <c r="W298" s="4">
        <v>40840</v>
      </c>
      <c r="X298" s="12">
        <v>297</v>
      </c>
      <c r="Y298" s="4">
        <v>41205</v>
      </c>
    </row>
    <row r="299" spans="12:25" x14ac:dyDescent="0.25">
      <c r="L299" s="10">
        <v>298</v>
      </c>
      <c r="M299" s="4">
        <v>39015</v>
      </c>
      <c r="N299" s="11">
        <v>298</v>
      </c>
      <c r="O299" s="4">
        <v>39380</v>
      </c>
      <c r="P299" s="11">
        <v>298</v>
      </c>
      <c r="Q299" s="4">
        <v>39745</v>
      </c>
      <c r="R299" s="11">
        <v>298</v>
      </c>
      <c r="S299" s="4">
        <v>40111</v>
      </c>
      <c r="T299" s="11">
        <v>298</v>
      </c>
      <c r="U299" s="4">
        <v>40476</v>
      </c>
      <c r="V299" s="11">
        <v>298</v>
      </c>
      <c r="W299" s="4">
        <v>40841</v>
      </c>
      <c r="X299" s="12">
        <v>298</v>
      </c>
      <c r="Y299" s="4">
        <v>41206</v>
      </c>
    </row>
    <row r="300" spans="12:25" x14ac:dyDescent="0.25">
      <c r="L300" s="10">
        <v>299</v>
      </c>
      <c r="M300" s="4">
        <v>39016</v>
      </c>
      <c r="N300" s="11">
        <v>299</v>
      </c>
      <c r="O300" s="4">
        <v>39381</v>
      </c>
      <c r="P300" s="11">
        <v>299</v>
      </c>
      <c r="Q300" s="4">
        <v>39746</v>
      </c>
      <c r="R300" s="11">
        <v>299</v>
      </c>
      <c r="S300" s="4">
        <v>40112</v>
      </c>
      <c r="T300" s="11">
        <v>299</v>
      </c>
      <c r="U300" s="4">
        <v>40477</v>
      </c>
      <c r="V300" s="11">
        <v>299</v>
      </c>
      <c r="W300" s="4">
        <v>40842</v>
      </c>
      <c r="X300" s="12">
        <v>299</v>
      </c>
      <c r="Y300" s="4">
        <v>41207</v>
      </c>
    </row>
    <row r="301" spans="12:25" x14ac:dyDescent="0.25">
      <c r="L301" s="10">
        <v>300</v>
      </c>
      <c r="M301" s="4">
        <v>39017</v>
      </c>
      <c r="N301" s="11">
        <v>300</v>
      </c>
      <c r="O301" s="4">
        <v>39382</v>
      </c>
      <c r="P301" s="11">
        <v>300</v>
      </c>
      <c r="Q301" s="4">
        <v>39747</v>
      </c>
      <c r="R301" s="11">
        <v>300</v>
      </c>
      <c r="S301" s="4">
        <v>40113</v>
      </c>
      <c r="T301" s="11">
        <v>300</v>
      </c>
      <c r="U301" s="4">
        <v>40478</v>
      </c>
      <c r="V301" s="11">
        <v>300</v>
      </c>
      <c r="W301" s="4">
        <v>40843</v>
      </c>
      <c r="X301" s="12">
        <v>300</v>
      </c>
      <c r="Y301" s="4">
        <v>41208</v>
      </c>
    </row>
    <row r="302" spans="12:25" x14ac:dyDescent="0.25">
      <c r="L302" s="10">
        <v>301</v>
      </c>
      <c r="M302" s="4">
        <v>39018</v>
      </c>
      <c r="N302" s="11">
        <v>301</v>
      </c>
      <c r="O302" s="4">
        <v>39383</v>
      </c>
      <c r="P302" s="11">
        <v>301</v>
      </c>
      <c r="Q302" s="4">
        <v>39748</v>
      </c>
      <c r="R302" s="11">
        <v>301</v>
      </c>
      <c r="S302" s="4">
        <v>40114</v>
      </c>
      <c r="T302" s="11">
        <v>301</v>
      </c>
      <c r="U302" s="4">
        <v>40479</v>
      </c>
      <c r="V302" s="11">
        <v>301</v>
      </c>
      <c r="W302" s="4">
        <v>40844</v>
      </c>
      <c r="X302" s="12">
        <v>301</v>
      </c>
      <c r="Y302" s="4">
        <v>41209</v>
      </c>
    </row>
    <row r="303" spans="12:25" x14ac:dyDescent="0.25">
      <c r="L303" s="10">
        <v>302</v>
      </c>
      <c r="M303" s="4">
        <v>39019</v>
      </c>
      <c r="N303" s="11">
        <v>302</v>
      </c>
      <c r="O303" s="4">
        <v>39384</v>
      </c>
      <c r="P303" s="11">
        <v>302</v>
      </c>
      <c r="Q303" s="4">
        <v>39749</v>
      </c>
      <c r="R303" s="11">
        <v>302</v>
      </c>
      <c r="S303" s="4">
        <v>40115</v>
      </c>
      <c r="T303" s="11">
        <v>302</v>
      </c>
      <c r="U303" s="4">
        <v>40480</v>
      </c>
      <c r="V303" s="11">
        <v>302</v>
      </c>
      <c r="W303" s="4">
        <v>40845</v>
      </c>
      <c r="X303" s="12">
        <v>302</v>
      </c>
      <c r="Y303" s="4">
        <v>41210</v>
      </c>
    </row>
    <row r="304" spans="12:25" x14ac:dyDescent="0.25">
      <c r="L304" s="10">
        <v>303</v>
      </c>
      <c r="M304" s="4">
        <v>39020</v>
      </c>
      <c r="N304" s="11">
        <v>303</v>
      </c>
      <c r="O304" s="4">
        <v>39385</v>
      </c>
      <c r="P304" s="11">
        <v>303</v>
      </c>
      <c r="Q304" s="4">
        <v>39750</v>
      </c>
      <c r="R304" s="11">
        <v>303</v>
      </c>
      <c r="S304" s="4">
        <v>40116</v>
      </c>
      <c r="T304" s="11">
        <v>303</v>
      </c>
      <c r="U304" s="4">
        <v>40481</v>
      </c>
      <c r="V304" s="11">
        <v>303</v>
      </c>
      <c r="W304" s="4">
        <v>40846</v>
      </c>
      <c r="X304" s="12">
        <v>303</v>
      </c>
      <c r="Y304" s="4">
        <v>41211</v>
      </c>
    </row>
    <row r="305" spans="12:25" x14ac:dyDescent="0.25">
      <c r="L305" s="10">
        <v>304</v>
      </c>
      <c r="M305" s="4">
        <v>39021</v>
      </c>
      <c r="N305" s="11">
        <v>304</v>
      </c>
      <c r="O305" s="4">
        <v>39386</v>
      </c>
      <c r="P305" s="11">
        <v>304</v>
      </c>
      <c r="Q305" s="4">
        <v>39751</v>
      </c>
      <c r="R305" s="11">
        <v>304</v>
      </c>
      <c r="S305" s="4">
        <v>40117</v>
      </c>
      <c r="T305" s="11">
        <v>304</v>
      </c>
      <c r="U305" s="4">
        <v>40482</v>
      </c>
      <c r="V305" s="11">
        <v>304</v>
      </c>
      <c r="W305" s="4">
        <v>40847</v>
      </c>
      <c r="X305" s="12">
        <v>304</v>
      </c>
      <c r="Y305" s="4">
        <v>41212</v>
      </c>
    </row>
    <row r="306" spans="12:25" x14ac:dyDescent="0.25">
      <c r="L306" s="10">
        <v>305</v>
      </c>
      <c r="M306" s="4">
        <v>39022</v>
      </c>
      <c r="N306" s="11">
        <v>305</v>
      </c>
      <c r="O306" s="4">
        <v>39387</v>
      </c>
      <c r="P306" s="11">
        <v>305</v>
      </c>
      <c r="Q306" s="4">
        <v>39752</v>
      </c>
      <c r="R306" s="11">
        <v>305</v>
      </c>
      <c r="S306" s="4">
        <v>40118</v>
      </c>
      <c r="T306" s="11">
        <v>305</v>
      </c>
      <c r="U306" s="4">
        <v>40483</v>
      </c>
      <c r="V306" s="11">
        <v>305</v>
      </c>
      <c r="W306" s="4">
        <v>40848</v>
      </c>
      <c r="X306" s="12">
        <v>305</v>
      </c>
      <c r="Y306" s="4">
        <v>41213</v>
      </c>
    </row>
    <row r="307" spans="12:25" x14ac:dyDescent="0.25">
      <c r="L307" s="10">
        <v>306</v>
      </c>
      <c r="M307" s="4">
        <v>39023</v>
      </c>
      <c r="N307" s="11">
        <v>306</v>
      </c>
      <c r="O307" s="4">
        <v>39388</v>
      </c>
      <c r="P307" s="11">
        <v>306</v>
      </c>
      <c r="Q307" s="4">
        <v>39753</v>
      </c>
      <c r="R307" s="11">
        <v>306</v>
      </c>
      <c r="S307" s="4">
        <v>40119</v>
      </c>
      <c r="T307" s="11">
        <v>306</v>
      </c>
      <c r="U307" s="4">
        <v>40484</v>
      </c>
      <c r="V307" s="11">
        <v>306</v>
      </c>
      <c r="W307" s="4">
        <v>40849</v>
      </c>
      <c r="X307" s="12">
        <v>306</v>
      </c>
      <c r="Y307" s="4">
        <v>41214</v>
      </c>
    </row>
    <row r="308" spans="12:25" x14ac:dyDescent="0.25">
      <c r="L308" s="10">
        <v>307</v>
      </c>
      <c r="M308" s="4">
        <v>39024</v>
      </c>
      <c r="N308" s="11">
        <v>307</v>
      </c>
      <c r="O308" s="4">
        <v>39389</v>
      </c>
      <c r="P308" s="11">
        <v>307</v>
      </c>
      <c r="Q308" s="4">
        <v>39754</v>
      </c>
      <c r="R308" s="11">
        <v>307</v>
      </c>
      <c r="S308" s="4">
        <v>40120</v>
      </c>
      <c r="T308" s="11">
        <v>307</v>
      </c>
      <c r="U308" s="4">
        <v>40485</v>
      </c>
      <c r="V308" s="11">
        <v>307</v>
      </c>
      <c r="W308" s="4">
        <v>40850</v>
      </c>
      <c r="X308" s="12">
        <v>307</v>
      </c>
      <c r="Y308" s="4">
        <v>41215</v>
      </c>
    </row>
    <row r="309" spans="12:25" x14ac:dyDescent="0.25">
      <c r="L309" s="10">
        <v>308</v>
      </c>
      <c r="M309" s="4">
        <v>39025</v>
      </c>
      <c r="N309" s="11">
        <v>308</v>
      </c>
      <c r="O309" s="4">
        <v>39390</v>
      </c>
      <c r="P309" s="11">
        <v>308</v>
      </c>
      <c r="Q309" s="4">
        <v>39755</v>
      </c>
      <c r="R309" s="11">
        <v>308</v>
      </c>
      <c r="S309" s="4">
        <v>40121</v>
      </c>
      <c r="T309" s="11">
        <v>308</v>
      </c>
      <c r="U309" s="4">
        <v>40486</v>
      </c>
      <c r="V309" s="11">
        <v>308</v>
      </c>
      <c r="W309" s="4">
        <v>40851</v>
      </c>
      <c r="X309" s="12">
        <v>308</v>
      </c>
      <c r="Y309" s="4">
        <v>41216</v>
      </c>
    </row>
    <row r="310" spans="12:25" x14ac:dyDescent="0.25">
      <c r="L310" s="10">
        <v>309</v>
      </c>
      <c r="M310" s="4">
        <v>39026</v>
      </c>
      <c r="N310" s="11">
        <v>309</v>
      </c>
      <c r="O310" s="4">
        <v>39391</v>
      </c>
      <c r="P310" s="11">
        <v>309</v>
      </c>
      <c r="Q310" s="4">
        <v>39756</v>
      </c>
      <c r="R310" s="11">
        <v>309</v>
      </c>
      <c r="S310" s="4">
        <v>40122</v>
      </c>
      <c r="T310" s="11">
        <v>309</v>
      </c>
      <c r="U310" s="4">
        <v>40487</v>
      </c>
      <c r="V310" s="11">
        <v>309</v>
      </c>
      <c r="W310" s="4">
        <v>40852</v>
      </c>
      <c r="X310" s="12">
        <v>309</v>
      </c>
      <c r="Y310" s="4">
        <v>41217</v>
      </c>
    </row>
    <row r="311" spans="12:25" x14ac:dyDescent="0.25">
      <c r="L311" s="10">
        <v>310</v>
      </c>
      <c r="M311" s="4">
        <v>39027</v>
      </c>
      <c r="N311" s="11">
        <v>310</v>
      </c>
      <c r="O311" s="4">
        <v>39392</v>
      </c>
      <c r="P311" s="11">
        <v>310</v>
      </c>
      <c r="Q311" s="4">
        <v>39757</v>
      </c>
      <c r="R311" s="11">
        <v>310</v>
      </c>
      <c r="S311" s="4">
        <v>40123</v>
      </c>
      <c r="T311" s="11">
        <v>310</v>
      </c>
      <c r="U311" s="4">
        <v>40488</v>
      </c>
      <c r="V311" s="11">
        <v>310</v>
      </c>
      <c r="W311" s="4">
        <v>40853</v>
      </c>
      <c r="X311" s="12">
        <v>310</v>
      </c>
      <c r="Y311" s="4">
        <v>41218</v>
      </c>
    </row>
    <row r="312" spans="12:25" x14ac:dyDescent="0.25">
      <c r="L312" s="10">
        <v>311</v>
      </c>
      <c r="M312" s="4">
        <v>39028</v>
      </c>
      <c r="N312" s="11">
        <v>311</v>
      </c>
      <c r="O312" s="4">
        <v>39393</v>
      </c>
      <c r="P312" s="11">
        <v>311</v>
      </c>
      <c r="Q312" s="4">
        <v>39758</v>
      </c>
      <c r="R312" s="11">
        <v>311</v>
      </c>
      <c r="S312" s="4">
        <v>40124</v>
      </c>
      <c r="T312" s="11">
        <v>311</v>
      </c>
      <c r="U312" s="4">
        <v>40489</v>
      </c>
      <c r="V312" s="11">
        <v>311</v>
      </c>
      <c r="W312" s="4">
        <v>40854</v>
      </c>
      <c r="X312" s="12">
        <v>311</v>
      </c>
      <c r="Y312" s="4">
        <v>41219</v>
      </c>
    </row>
    <row r="313" spans="12:25" x14ac:dyDescent="0.25">
      <c r="L313" s="10">
        <v>312</v>
      </c>
      <c r="M313" s="4">
        <v>39029</v>
      </c>
      <c r="N313" s="11">
        <v>312</v>
      </c>
      <c r="O313" s="4">
        <v>39394</v>
      </c>
      <c r="P313" s="11">
        <v>312</v>
      </c>
      <c r="Q313" s="4">
        <v>39759</v>
      </c>
      <c r="R313" s="11">
        <v>312</v>
      </c>
      <c r="S313" s="4">
        <v>40125</v>
      </c>
      <c r="T313" s="11">
        <v>312</v>
      </c>
      <c r="U313" s="4">
        <v>40490</v>
      </c>
      <c r="V313" s="11">
        <v>312</v>
      </c>
      <c r="W313" s="4">
        <v>40855</v>
      </c>
      <c r="X313" s="12">
        <v>312</v>
      </c>
      <c r="Y313" s="4">
        <v>41220</v>
      </c>
    </row>
    <row r="314" spans="12:25" x14ac:dyDescent="0.25">
      <c r="L314" s="10">
        <v>313</v>
      </c>
      <c r="M314" s="4">
        <v>39030</v>
      </c>
      <c r="N314" s="11">
        <v>313</v>
      </c>
      <c r="O314" s="4">
        <v>39395</v>
      </c>
      <c r="P314" s="11">
        <v>313</v>
      </c>
      <c r="Q314" s="4">
        <v>39760</v>
      </c>
      <c r="R314" s="11">
        <v>313</v>
      </c>
      <c r="S314" s="4">
        <v>40126</v>
      </c>
      <c r="T314" s="11">
        <v>313</v>
      </c>
      <c r="U314" s="4">
        <v>40491</v>
      </c>
      <c r="V314" s="11">
        <v>313</v>
      </c>
      <c r="W314" s="4">
        <v>40856</v>
      </c>
      <c r="X314" s="12">
        <v>313</v>
      </c>
      <c r="Y314" s="4">
        <v>41221</v>
      </c>
    </row>
    <row r="315" spans="12:25" x14ac:dyDescent="0.25">
      <c r="L315" s="10">
        <v>314</v>
      </c>
      <c r="M315" s="4">
        <v>39031</v>
      </c>
      <c r="N315" s="11">
        <v>314</v>
      </c>
      <c r="O315" s="4">
        <v>39396</v>
      </c>
      <c r="P315" s="11">
        <v>314</v>
      </c>
      <c r="Q315" s="4">
        <v>39761</v>
      </c>
      <c r="R315" s="11">
        <v>314</v>
      </c>
      <c r="S315" s="4">
        <v>40127</v>
      </c>
      <c r="T315" s="11">
        <v>314</v>
      </c>
      <c r="U315" s="4">
        <v>40492</v>
      </c>
      <c r="V315" s="11">
        <v>314</v>
      </c>
      <c r="W315" s="4">
        <v>40857</v>
      </c>
      <c r="X315" s="12">
        <v>314</v>
      </c>
      <c r="Y315" s="4">
        <v>41222</v>
      </c>
    </row>
    <row r="316" spans="12:25" x14ac:dyDescent="0.25">
      <c r="L316" s="10">
        <v>315</v>
      </c>
      <c r="M316" s="4">
        <v>39032</v>
      </c>
      <c r="N316" s="11">
        <v>315</v>
      </c>
      <c r="O316" s="4">
        <v>39397</v>
      </c>
      <c r="P316" s="11">
        <v>315</v>
      </c>
      <c r="Q316" s="4">
        <v>39762</v>
      </c>
      <c r="R316" s="11">
        <v>315</v>
      </c>
      <c r="S316" s="4">
        <v>40128</v>
      </c>
      <c r="T316" s="11">
        <v>315</v>
      </c>
      <c r="U316" s="4">
        <v>40493</v>
      </c>
      <c r="V316" s="11">
        <v>315</v>
      </c>
      <c r="W316" s="4">
        <v>40858</v>
      </c>
      <c r="X316" s="12">
        <v>315</v>
      </c>
      <c r="Y316" s="4">
        <v>41223</v>
      </c>
    </row>
    <row r="317" spans="12:25" x14ac:dyDescent="0.25">
      <c r="L317" s="10">
        <v>316</v>
      </c>
      <c r="M317" s="4">
        <v>39033</v>
      </c>
      <c r="N317" s="11">
        <v>316</v>
      </c>
      <c r="O317" s="4">
        <v>39398</v>
      </c>
      <c r="P317" s="11">
        <v>316</v>
      </c>
      <c r="Q317" s="4">
        <v>39763</v>
      </c>
      <c r="R317" s="11">
        <v>316</v>
      </c>
      <c r="S317" s="4">
        <v>40129</v>
      </c>
      <c r="T317" s="11">
        <v>316</v>
      </c>
      <c r="U317" s="4">
        <v>40494</v>
      </c>
      <c r="V317" s="11">
        <v>316</v>
      </c>
      <c r="W317" s="4">
        <v>40859</v>
      </c>
      <c r="X317" s="12">
        <v>316</v>
      </c>
      <c r="Y317" s="4">
        <v>41224</v>
      </c>
    </row>
    <row r="318" spans="12:25" x14ac:dyDescent="0.25">
      <c r="L318" s="10">
        <v>317</v>
      </c>
      <c r="M318" s="4">
        <v>39034</v>
      </c>
      <c r="N318" s="11">
        <v>317</v>
      </c>
      <c r="O318" s="4">
        <v>39399</v>
      </c>
      <c r="P318" s="11">
        <v>317</v>
      </c>
      <c r="Q318" s="4">
        <v>39764</v>
      </c>
      <c r="R318" s="11">
        <v>317</v>
      </c>
      <c r="S318" s="4">
        <v>40130</v>
      </c>
      <c r="T318" s="11">
        <v>317</v>
      </c>
      <c r="U318" s="4">
        <v>40495</v>
      </c>
      <c r="V318" s="11">
        <v>317</v>
      </c>
      <c r="W318" s="4">
        <v>40860</v>
      </c>
      <c r="X318" s="12">
        <v>317</v>
      </c>
      <c r="Y318" s="4">
        <v>41225</v>
      </c>
    </row>
    <row r="319" spans="12:25" x14ac:dyDescent="0.25">
      <c r="L319" s="10">
        <v>318</v>
      </c>
      <c r="M319" s="4">
        <v>39035</v>
      </c>
      <c r="N319" s="11">
        <v>318</v>
      </c>
      <c r="O319" s="4">
        <v>39400</v>
      </c>
      <c r="P319" s="11">
        <v>318</v>
      </c>
      <c r="Q319" s="4">
        <v>39765</v>
      </c>
      <c r="R319" s="11">
        <v>318</v>
      </c>
      <c r="S319" s="4">
        <v>40131</v>
      </c>
      <c r="T319" s="11">
        <v>318</v>
      </c>
      <c r="U319" s="4">
        <v>40496</v>
      </c>
      <c r="V319" s="11">
        <v>318</v>
      </c>
      <c r="W319" s="4">
        <v>40861</v>
      </c>
      <c r="X319" s="12">
        <v>318</v>
      </c>
      <c r="Y319" s="4">
        <v>41226</v>
      </c>
    </row>
    <row r="320" spans="12:25" x14ac:dyDescent="0.25">
      <c r="L320" s="10">
        <v>319</v>
      </c>
      <c r="M320" s="4">
        <v>39036</v>
      </c>
      <c r="N320" s="11">
        <v>319</v>
      </c>
      <c r="O320" s="4">
        <v>39401</v>
      </c>
      <c r="P320" s="11">
        <v>319</v>
      </c>
      <c r="Q320" s="4">
        <v>39766</v>
      </c>
      <c r="R320" s="11">
        <v>319</v>
      </c>
      <c r="S320" s="4">
        <v>40132</v>
      </c>
      <c r="T320" s="11">
        <v>319</v>
      </c>
      <c r="U320" s="4">
        <v>40497</v>
      </c>
      <c r="V320" s="11">
        <v>319</v>
      </c>
      <c r="W320" s="4">
        <v>40862</v>
      </c>
      <c r="X320" s="12">
        <v>319</v>
      </c>
      <c r="Y320" s="4">
        <v>41227</v>
      </c>
    </row>
    <row r="321" spans="12:25" x14ac:dyDescent="0.25">
      <c r="L321" s="10">
        <v>320</v>
      </c>
      <c r="M321" s="4">
        <v>39037</v>
      </c>
      <c r="N321" s="11">
        <v>320</v>
      </c>
      <c r="O321" s="4">
        <v>39402</v>
      </c>
      <c r="P321" s="11">
        <v>320</v>
      </c>
      <c r="Q321" s="4">
        <v>39767</v>
      </c>
      <c r="R321" s="11">
        <v>320</v>
      </c>
      <c r="S321" s="4">
        <v>40133</v>
      </c>
      <c r="T321" s="11">
        <v>320</v>
      </c>
      <c r="U321" s="4">
        <v>40498</v>
      </c>
      <c r="V321" s="11">
        <v>320</v>
      </c>
      <c r="W321" s="4">
        <v>40863</v>
      </c>
      <c r="X321" s="12">
        <v>320</v>
      </c>
      <c r="Y321" s="4">
        <v>41228</v>
      </c>
    </row>
    <row r="322" spans="12:25" x14ac:dyDescent="0.25">
      <c r="L322" s="10">
        <v>321</v>
      </c>
      <c r="M322" s="4">
        <v>39038</v>
      </c>
      <c r="N322" s="11">
        <v>321</v>
      </c>
      <c r="O322" s="4">
        <v>39403</v>
      </c>
      <c r="P322" s="11">
        <v>321</v>
      </c>
      <c r="Q322" s="4">
        <v>39768</v>
      </c>
      <c r="R322" s="11">
        <v>321</v>
      </c>
      <c r="S322" s="4">
        <v>40134</v>
      </c>
      <c r="T322" s="11">
        <v>321</v>
      </c>
      <c r="U322" s="4">
        <v>40499</v>
      </c>
      <c r="V322" s="11">
        <v>321</v>
      </c>
      <c r="W322" s="4">
        <v>40864</v>
      </c>
      <c r="X322" s="12">
        <v>321</v>
      </c>
      <c r="Y322" s="4">
        <v>41229</v>
      </c>
    </row>
    <row r="323" spans="12:25" x14ac:dyDescent="0.25">
      <c r="L323" s="10">
        <v>322</v>
      </c>
      <c r="M323" s="4">
        <v>39039</v>
      </c>
      <c r="N323" s="11">
        <v>322</v>
      </c>
      <c r="O323" s="4">
        <v>39404</v>
      </c>
      <c r="P323" s="11">
        <v>322</v>
      </c>
      <c r="Q323" s="4">
        <v>39769</v>
      </c>
      <c r="R323" s="11">
        <v>322</v>
      </c>
      <c r="S323" s="4">
        <v>40135</v>
      </c>
      <c r="T323" s="11">
        <v>322</v>
      </c>
      <c r="U323" s="4">
        <v>40500</v>
      </c>
      <c r="V323" s="11">
        <v>322</v>
      </c>
      <c r="W323" s="4">
        <v>40865</v>
      </c>
      <c r="X323" s="12">
        <v>322</v>
      </c>
      <c r="Y323" s="4">
        <v>41230</v>
      </c>
    </row>
    <row r="324" spans="12:25" x14ac:dyDescent="0.25">
      <c r="L324" s="10">
        <v>323</v>
      </c>
      <c r="M324" s="4">
        <v>39040</v>
      </c>
      <c r="N324" s="11">
        <v>323</v>
      </c>
      <c r="O324" s="4">
        <v>39405</v>
      </c>
      <c r="P324" s="11">
        <v>323</v>
      </c>
      <c r="Q324" s="4">
        <v>39770</v>
      </c>
      <c r="R324" s="11">
        <v>323</v>
      </c>
      <c r="S324" s="4">
        <v>40136</v>
      </c>
      <c r="T324" s="11">
        <v>323</v>
      </c>
      <c r="U324" s="4">
        <v>40501</v>
      </c>
      <c r="V324" s="11">
        <v>323</v>
      </c>
      <c r="W324" s="4">
        <v>40866</v>
      </c>
      <c r="X324" s="12">
        <v>323</v>
      </c>
      <c r="Y324" s="4">
        <v>41231</v>
      </c>
    </row>
    <row r="325" spans="12:25" x14ac:dyDescent="0.25">
      <c r="L325" s="10">
        <v>324</v>
      </c>
      <c r="M325" s="4">
        <v>39041</v>
      </c>
      <c r="N325" s="11">
        <v>324</v>
      </c>
      <c r="O325" s="4">
        <v>39406</v>
      </c>
      <c r="P325" s="11">
        <v>324</v>
      </c>
      <c r="Q325" s="4">
        <v>39771</v>
      </c>
      <c r="R325" s="11">
        <v>324</v>
      </c>
      <c r="S325" s="4">
        <v>40137</v>
      </c>
      <c r="T325" s="11">
        <v>324</v>
      </c>
      <c r="U325" s="4">
        <v>40502</v>
      </c>
      <c r="V325" s="11">
        <v>324</v>
      </c>
      <c r="W325" s="4">
        <v>40867</v>
      </c>
      <c r="X325" s="12">
        <v>324</v>
      </c>
      <c r="Y325" s="4">
        <v>41232</v>
      </c>
    </row>
    <row r="326" spans="12:25" x14ac:dyDescent="0.25">
      <c r="L326" s="10">
        <v>325</v>
      </c>
      <c r="M326" s="4">
        <v>39042</v>
      </c>
      <c r="N326" s="11">
        <v>325</v>
      </c>
      <c r="O326" s="4">
        <v>39407</v>
      </c>
      <c r="P326" s="11">
        <v>325</v>
      </c>
      <c r="Q326" s="4">
        <v>39772</v>
      </c>
      <c r="R326" s="11">
        <v>325</v>
      </c>
      <c r="S326" s="4">
        <v>40138</v>
      </c>
      <c r="T326" s="11">
        <v>325</v>
      </c>
      <c r="U326" s="4">
        <v>40503</v>
      </c>
      <c r="V326" s="11">
        <v>325</v>
      </c>
      <c r="W326" s="4">
        <v>40868</v>
      </c>
      <c r="X326" s="12">
        <v>325</v>
      </c>
      <c r="Y326" s="4">
        <v>41233</v>
      </c>
    </row>
    <row r="327" spans="12:25" x14ac:dyDescent="0.25">
      <c r="L327" s="10">
        <v>326</v>
      </c>
      <c r="M327" s="4">
        <v>39043</v>
      </c>
      <c r="N327" s="11">
        <v>326</v>
      </c>
      <c r="O327" s="4">
        <v>39408</v>
      </c>
      <c r="P327" s="11">
        <v>326</v>
      </c>
      <c r="Q327" s="4">
        <v>39773</v>
      </c>
      <c r="R327" s="11">
        <v>326</v>
      </c>
      <c r="S327" s="4">
        <v>40139</v>
      </c>
      <c r="T327" s="11">
        <v>326</v>
      </c>
      <c r="U327" s="4">
        <v>40504</v>
      </c>
      <c r="V327" s="11">
        <v>326</v>
      </c>
      <c r="W327" s="4">
        <v>40869</v>
      </c>
      <c r="X327" s="12">
        <v>326</v>
      </c>
      <c r="Y327" s="4">
        <v>41234</v>
      </c>
    </row>
    <row r="328" spans="12:25" x14ac:dyDescent="0.25">
      <c r="L328" s="10">
        <v>327</v>
      </c>
      <c r="M328" s="4">
        <v>39044</v>
      </c>
      <c r="N328" s="11">
        <v>327</v>
      </c>
      <c r="O328" s="4">
        <v>39409</v>
      </c>
      <c r="P328" s="11">
        <v>327</v>
      </c>
      <c r="Q328" s="4">
        <v>39774</v>
      </c>
      <c r="R328" s="11">
        <v>327</v>
      </c>
      <c r="S328" s="4">
        <v>40140</v>
      </c>
      <c r="T328" s="11">
        <v>327</v>
      </c>
      <c r="U328" s="4">
        <v>40505</v>
      </c>
      <c r="V328" s="11">
        <v>327</v>
      </c>
      <c r="W328" s="4">
        <v>40870</v>
      </c>
      <c r="X328" s="12">
        <v>327</v>
      </c>
      <c r="Y328" s="4">
        <v>41235</v>
      </c>
    </row>
    <row r="329" spans="12:25" x14ac:dyDescent="0.25">
      <c r="L329" s="10">
        <v>328</v>
      </c>
      <c r="M329" s="4">
        <v>39045</v>
      </c>
      <c r="N329" s="11">
        <v>328</v>
      </c>
      <c r="O329" s="4">
        <v>39410</v>
      </c>
      <c r="P329" s="11">
        <v>328</v>
      </c>
      <c r="Q329" s="4">
        <v>39775</v>
      </c>
      <c r="R329" s="11">
        <v>328</v>
      </c>
      <c r="S329" s="4">
        <v>40141</v>
      </c>
      <c r="T329" s="11">
        <v>328</v>
      </c>
      <c r="U329" s="4">
        <v>40506</v>
      </c>
      <c r="V329" s="11">
        <v>328</v>
      </c>
      <c r="W329" s="4">
        <v>40871</v>
      </c>
      <c r="X329" s="12">
        <v>328</v>
      </c>
      <c r="Y329" s="4">
        <v>41236</v>
      </c>
    </row>
    <row r="330" spans="12:25" x14ac:dyDescent="0.25">
      <c r="L330" s="10">
        <v>329</v>
      </c>
      <c r="M330" s="4">
        <v>39046</v>
      </c>
      <c r="N330" s="11">
        <v>329</v>
      </c>
      <c r="O330" s="4">
        <v>39411</v>
      </c>
      <c r="P330" s="11">
        <v>329</v>
      </c>
      <c r="Q330" s="4">
        <v>39776</v>
      </c>
      <c r="R330" s="11">
        <v>329</v>
      </c>
      <c r="S330" s="4">
        <v>40142</v>
      </c>
      <c r="T330" s="11">
        <v>329</v>
      </c>
      <c r="U330" s="4">
        <v>40507</v>
      </c>
      <c r="V330" s="11">
        <v>329</v>
      </c>
      <c r="W330" s="4">
        <v>40872</v>
      </c>
      <c r="X330" s="12">
        <v>329</v>
      </c>
      <c r="Y330" s="4">
        <v>41237</v>
      </c>
    </row>
    <row r="331" spans="12:25" x14ac:dyDescent="0.25">
      <c r="L331" s="10">
        <v>330</v>
      </c>
      <c r="M331" s="4">
        <v>39047</v>
      </c>
      <c r="N331" s="11">
        <v>330</v>
      </c>
      <c r="O331" s="4">
        <v>39412</v>
      </c>
      <c r="P331" s="11">
        <v>330</v>
      </c>
      <c r="Q331" s="4">
        <v>39777</v>
      </c>
      <c r="R331" s="11">
        <v>330</v>
      </c>
      <c r="S331" s="4">
        <v>40143</v>
      </c>
      <c r="T331" s="11">
        <v>330</v>
      </c>
      <c r="U331" s="4">
        <v>40508</v>
      </c>
      <c r="V331" s="11">
        <v>330</v>
      </c>
      <c r="W331" s="4">
        <v>40873</v>
      </c>
      <c r="X331" s="12">
        <v>330</v>
      </c>
      <c r="Y331" s="4">
        <v>41238</v>
      </c>
    </row>
    <row r="332" spans="12:25" x14ac:dyDescent="0.25">
      <c r="L332" s="10">
        <v>331</v>
      </c>
      <c r="M332" s="4">
        <v>39048</v>
      </c>
      <c r="N332" s="11">
        <v>331</v>
      </c>
      <c r="O332" s="4">
        <v>39413</v>
      </c>
      <c r="P332" s="11">
        <v>331</v>
      </c>
      <c r="Q332" s="4">
        <v>39778</v>
      </c>
      <c r="R332" s="11">
        <v>331</v>
      </c>
      <c r="S332" s="4">
        <v>40144</v>
      </c>
      <c r="T332" s="11">
        <v>331</v>
      </c>
      <c r="U332" s="4">
        <v>40509</v>
      </c>
      <c r="V332" s="11">
        <v>331</v>
      </c>
      <c r="W332" s="4">
        <v>40874</v>
      </c>
      <c r="X332" s="12">
        <v>331</v>
      </c>
      <c r="Y332" s="4">
        <v>41239</v>
      </c>
    </row>
    <row r="333" spans="12:25" x14ac:dyDescent="0.25">
      <c r="L333" s="10">
        <v>332</v>
      </c>
      <c r="M333" s="4">
        <v>39049</v>
      </c>
      <c r="N333" s="11">
        <v>332</v>
      </c>
      <c r="O333" s="4">
        <v>39414</v>
      </c>
      <c r="P333" s="11">
        <v>332</v>
      </c>
      <c r="Q333" s="4">
        <v>39779</v>
      </c>
      <c r="R333" s="11">
        <v>332</v>
      </c>
      <c r="S333" s="4">
        <v>40145</v>
      </c>
      <c r="T333" s="11">
        <v>332</v>
      </c>
      <c r="U333" s="4">
        <v>40510</v>
      </c>
      <c r="V333" s="11">
        <v>332</v>
      </c>
      <c r="W333" s="4">
        <v>40875</v>
      </c>
      <c r="X333" s="12">
        <v>332</v>
      </c>
      <c r="Y333" s="4">
        <v>41240</v>
      </c>
    </row>
    <row r="334" spans="12:25" x14ac:dyDescent="0.25">
      <c r="L334" s="10">
        <v>333</v>
      </c>
      <c r="M334" s="4">
        <v>39050</v>
      </c>
      <c r="N334" s="11">
        <v>333</v>
      </c>
      <c r="O334" s="4">
        <v>39415</v>
      </c>
      <c r="P334" s="11">
        <v>333</v>
      </c>
      <c r="Q334" s="4">
        <v>39780</v>
      </c>
      <c r="R334" s="11">
        <v>333</v>
      </c>
      <c r="S334" s="4">
        <v>40146</v>
      </c>
      <c r="T334" s="11">
        <v>333</v>
      </c>
      <c r="U334" s="4">
        <v>40511</v>
      </c>
      <c r="V334" s="11">
        <v>333</v>
      </c>
      <c r="W334" s="4">
        <v>40876</v>
      </c>
      <c r="X334" s="12">
        <v>333</v>
      </c>
      <c r="Y334" s="4">
        <v>41241</v>
      </c>
    </row>
    <row r="335" spans="12:25" x14ac:dyDescent="0.25">
      <c r="L335" s="10">
        <v>334</v>
      </c>
      <c r="M335" s="4">
        <v>39051</v>
      </c>
      <c r="N335" s="11">
        <v>334</v>
      </c>
      <c r="O335" s="4">
        <v>39416</v>
      </c>
      <c r="P335" s="11">
        <v>334</v>
      </c>
      <c r="Q335" s="4">
        <v>39781</v>
      </c>
      <c r="R335" s="11">
        <v>334</v>
      </c>
      <c r="S335" s="4">
        <v>40147</v>
      </c>
      <c r="T335" s="11">
        <v>334</v>
      </c>
      <c r="U335" s="4">
        <v>40512</v>
      </c>
      <c r="V335" s="11">
        <v>334</v>
      </c>
      <c r="W335" s="4">
        <v>40877</v>
      </c>
      <c r="X335" s="12">
        <v>334</v>
      </c>
      <c r="Y335" s="4">
        <v>41242</v>
      </c>
    </row>
    <row r="336" spans="12:25" x14ac:dyDescent="0.25">
      <c r="L336" s="10">
        <v>335</v>
      </c>
      <c r="M336" s="4">
        <v>39052</v>
      </c>
      <c r="N336" s="11">
        <v>335</v>
      </c>
      <c r="O336" s="4">
        <v>39417</v>
      </c>
      <c r="P336" s="11">
        <v>335</v>
      </c>
      <c r="Q336" s="4">
        <v>39782</v>
      </c>
      <c r="R336" s="11">
        <v>335</v>
      </c>
      <c r="S336" s="4">
        <v>40148</v>
      </c>
      <c r="T336" s="11">
        <v>335</v>
      </c>
      <c r="U336" s="4">
        <v>40513</v>
      </c>
      <c r="V336" s="11">
        <v>335</v>
      </c>
      <c r="W336" s="4">
        <v>40878</v>
      </c>
      <c r="X336" s="12">
        <v>335</v>
      </c>
      <c r="Y336" s="4">
        <v>41243</v>
      </c>
    </row>
    <row r="337" spans="12:25" x14ac:dyDescent="0.25">
      <c r="L337" s="10">
        <v>336</v>
      </c>
      <c r="M337" s="4">
        <v>39053</v>
      </c>
      <c r="N337" s="11">
        <v>336</v>
      </c>
      <c r="O337" s="4">
        <v>39418</v>
      </c>
      <c r="P337" s="11">
        <v>336</v>
      </c>
      <c r="Q337" s="4">
        <v>39783</v>
      </c>
      <c r="R337" s="11">
        <v>336</v>
      </c>
      <c r="S337" s="4">
        <v>40149</v>
      </c>
      <c r="T337" s="11">
        <v>336</v>
      </c>
      <c r="U337" s="4">
        <v>40514</v>
      </c>
      <c r="V337" s="11">
        <v>336</v>
      </c>
      <c r="W337" s="4">
        <v>40879</v>
      </c>
      <c r="X337" s="12">
        <v>336</v>
      </c>
      <c r="Y337" s="4">
        <v>41244</v>
      </c>
    </row>
    <row r="338" spans="12:25" x14ac:dyDescent="0.25">
      <c r="L338" s="10">
        <v>337</v>
      </c>
      <c r="M338" s="4">
        <v>39054</v>
      </c>
      <c r="N338" s="11">
        <v>337</v>
      </c>
      <c r="O338" s="4">
        <v>39419</v>
      </c>
      <c r="P338" s="11">
        <v>337</v>
      </c>
      <c r="Q338" s="4">
        <v>39784</v>
      </c>
      <c r="R338" s="11">
        <v>337</v>
      </c>
      <c r="S338" s="4">
        <v>40150</v>
      </c>
      <c r="T338" s="11">
        <v>337</v>
      </c>
      <c r="U338" s="4">
        <v>40515</v>
      </c>
      <c r="V338" s="11">
        <v>337</v>
      </c>
      <c r="W338" s="4">
        <v>40880</v>
      </c>
      <c r="X338" s="12">
        <v>337</v>
      </c>
      <c r="Y338" s="4">
        <v>41245</v>
      </c>
    </row>
    <row r="339" spans="12:25" x14ac:dyDescent="0.25">
      <c r="L339" s="10">
        <v>338</v>
      </c>
      <c r="M339" s="4">
        <v>39055</v>
      </c>
      <c r="N339" s="11">
        <v>338</v>
      </c>
      <c r="O339" s="4">
        <v>39420</v>
      </c>
      <c r="P339" s="11">
        <v>338</v>
      </c>
      <c r="Q339" s="4">
        <v>39785</v>
      </c>
      <c r="R339" s="11">
        <v>338</v>
      </c>
      <c r="S339" s="4">
        <v>40151</v>
      </c>
      <c r="T339" s="11">
        <v>338</v>
      </c>
      <c r="U339" s="4">
        <v>40516</v>
      </c>
      <c r="V339" s="11">
        <v>338</v>
      </c>
      <c r="W339" s="4">
        <v>40881</v>
      </c>
      <c r="X339" s="12">
        <v>338</v>
      </c>
      <c r="Y339" s="4">
        <v>41246</v>
      </c>
    </row>
    <row r="340" spans="12:25" x14ac:dyDescent="0.25">
      <c r="L340" s="10">
        <v>339</v>
      </c>
      <c r="M340" s="4">
        <v>39056</v>
      </c>
      <c r="N340" s="11">
        <v>339</v>
      </c>
      <c r="O340" s="4">
        <v>39421</v>
      </c>
      <c r="P340" s="11">
        <v>339</v>
      </c>
      <c r="Q340" s="4">
        <v>39786</v>
      </c>
      <c r="R340" s="11">
        <v>339</v>
      </c>
      <c r="S340" s="4">
        <v>40152</v>
      </c>
      <c r="T340" s="11">
        <v>339</v>
      </c>
      <c r="U340" s="4">
        <v>40517</v>
      </c>
      <c r="V340" s="11">
        <v>339</v>
      </c>
      <c r="W340" s="4">
        <v>40882</v>
      </c>
      <c r="X340" s="12">
        <v>339</v>
      </c>
      <c r="Y340" s="4">
        <v>41247</v>
      </c>
    </row>
    <row r="341" spans="12:25" x14ac:dyDescent="0.25">
      <c r="L341" s="10">
        <v>340</v>
      </c>
      <c r="M341" s="4">
        <v>39057</v>
      </c>
      <c r="N341" s="11">
        <v>340</v>
      </c>
      <c r="O341" s="4">
        <v>39422</v>
      </c>
      <c r="P341" s="11">
        <v>340</v>
      </c>
      <c r="Q341" s="4">
        <v>39787</v>
      </c>
      <c r="R341" s="11">
        <v>340</v>
      </c>
      <c r="S341" s="4">
        <v>40153</v>
      </c>
      <c r="T341" s="11">
        <v>340</v>
      </c>
      <c r="U341" s="4">
        <v>40518</v>
      </c>
      <c r="V341" s="11">
        <v>340</v>
      </c>
      <c r="W341" s="4">
        <v>40883</v>
      </c>
      <c r="X341" s="12">
        <v>340</v>
      </c>
      <c r="Y341" s="4">
        <v>41248</v>
      </c>
    </row>
    <row r="342" spans="12:25" x14ac:dyDescent="0.25">
      <c r="L342" s="10">
        <v>341</v>
      </c>
      <c r="M342" s="4">
        <v>39058</v>
      </c>
      <c r="N342" s="11">
        <v>341</v>
      </c>
      <c r="O342" s="4">
        <v>39423</v>
      </c>
      <c r="P342" s="11">
        <v>341</v>
      </c>
      <c r="Q342" s="4">
        <v>39788</v>
      </c>
      <c r="R342" s="11">
        <v>341</v>
      </c>
      <c r="S342" s="4">
        <v>40154</v>
      </c>
      <c r="T342" s="11">
        <v>341</v>
      </c>
      <c r="U342" s="4">
        <v>40519</v>
      </c>
      <c r="V342" s="11">
        <v>341</v>
      </c>
      <c r="W342" s="4">
        <v>40884</v>
      </c>
      <c r="X342" s="12">
        <v>341</v>
      </c>
      <c r="Y342" s="4">
        <v>41249</v>
      </c>
    </row>
    <row r="343" spans="12:25" x14ac:dyDescent="0.25">
      <c r="L343" s="10">
        <v>342</v>
      </c>
      <c r="M343" s="4">
        <v>39059</v>
      </c>
      <c r="N343" s="11">
        <v>342</v>
      </c>
      <c r="O343" s="4">
        <v>39424</v>
      </c>
      <c r="P343" s="11">
        <v>342</v>
      </c>
      <c r="Q343" s="4">
        <v>39789</v>
      </c>
      <c r="R343" s="11">
        <v>342</v>
      </c>
      <c r="S343" s="4">
        <v>40155</v>
      </c>
      <c r="T343" s="11">
        <v>342</v>
      </c>
      <c r="U343" s="4">
        <v>40520</v>
      </c>
      <c r="V343" s="11">
        <v>342</v>
      </c>
      <c r="W343" s="4">
        <v>40885</v>
      </c>
      <c r="X343" s="12">
        <v>342</v>
      </c>
      <c r="Y343" s="4">
        <v>41250</v>
      </c>
    </row>
    <row r="344" spans="12:25" x14ac:dyDescent="0.25">
      <c r="L344" s="10">
        <v>343</v>
      </c>
      <c r="M344" s="4">
        <v>39060</v>
      </c>
      <c r="N344" s="11">
        <v>343</v>
      </c>
      <c r="O344" s="4">
        <v>39425</v>
      </c>
      <c r="P344" s="11">
        <v>343</v>
      </c>
      <c r="Q344" s="4">
        <v>39790</v>
      </c>
      <c r="R344" s="11">
        <v>343</v>
      </c>
      <c r="S344" s="4">
        <v>40156</v>
      </c>
      <c r="T344" s="11">
        <v>343</v>
      </c>
      <c r="U344" s="4">
        <v>40521</v>
      </c>
      <c r="V344" s="11">
        <v>343</v>
      </c>
      <c r="W344" s="4">
        <v>40886</v>
      </c>
      <c r="X344" s="12">
        <v>343</v>
      </c>
      <c r="Y344" s="4">
        <v>41251</v>
      </c>
    </row>
    <row r="345" spans="12:25" x14ac:dyDescent="0.25">
      <c r="L345" s="10">
        <v>344</v>
      </c>
      <c r="M345" s="4">
        <v>39061</v>
      </c>
      <c r="N345" s="11">
        <v>344</v>
      </c>
      <c r="O345" s="4">
        <v>39426</v>
      </c>
      <c r="P345" s="11">
        <v>344</v>
      </c>
      <c r="Q345" s="4">
        <v>39791</v>
      </c>
      <c r="R345" s="11">
        <v>344</v>
      </c>
      <c r="S345" s="4">
        <v>40157</v>
      </c>
      <c r="T345" s="11">
        <v>344</v>
      </c>
      <c r="U345" s="4">
        <v>40522</v>
      </c>
      <c r="V345" s="11">
        <v>344</v>
      </c>
      <c r="W345" s="4">
        <v>40887</v>
      </c>
      <c r="X345" s="12">
        <v>344</v>
      </c>
      <c r="Y345" s="4">
        <v>41252</v>
      </c>
    </row>
    <row r="346" spans="12:25" x14ac:dyDescent="0.25">
      <c r="L346" s="10">
        <v>345</v>
      </c>
      <c r="M346" s="4">
        <v>39062</v>
      </c>
      <c r="N346" s="11">
        <v>345</v>
      </c>
      <c r="O346" s="4">
        <v>39427</v>
      </c>
      <c r="P346" s="11">
        <v>345</v>
      </c>
      <c r="Q346" s="4">
        <v>39792</v>
      </c>
      <c r="R346" s="11">
        <v>345</v>
      </c>
      <c r="S346" s="4">
        <v>40158</v>
      </c>
      <c r="T346" s="11">
        <v>345</v>
      </c>
      <c r="U346" s="4">
        <v>40523</v>
      </c>
      <c r="V346" s="11">
        <v>345</v>
      </c>
      <c r="W346" s="4">
        <v>40888</v>
      </c>
      <c r="X346" s="12">
        <v>345</v>
      </c>
      <c r="Y346" s="4">
        <v>41253</v>
      </c>
    </row>
    <row r="347" spans="12:25" x14ac:dyDescent="0.25">
      <c r="L347" s="10">
        <v>346</v>
      </c>
      <c r="M347" s="4">
        <v>39063</v>
      </c>
      <c r="N347" s="11">
        <v>346</v>
      </c>
      <c r="O347" s="4">
        <v>39428</v>
      </c>
      <c r="P347" s="11">
        <v>346</v>
      </c>
      <c r="Q347" s="4">
        <v>39793</v>
      </c>
      <c r="R347" s="11">
        <v>346</v>
      </c>
      <c r="S347" s="4">
        <v>40159</v>
      </c>
      <c r="T347" s="11">
        <v>346</v>
      </c>
      <c r="U347" s="4">
        <v>40524</v>
      </c>
      <c r="V347" s="11">
        <v>346</v>
      </c>
      <c r="W347" s="4">
        <v>40889</v>
      </c>
      <c r="X347" s="12">
        <v>346</v>
      </c>
      <c r="Y347" s="4">
        <v>41254</v>
      </c>
    </row>
    <row r="348" spans="12:25" x14ac:dyDescent="0.25">
      <c r="L348" s="10">
        <v>347</v>
      </c>
      <c r="M348" s="4">
        <v>39064</v>
      </c>
      <c r="N348" s="11">
        <v>347</v>
      </c>
      <c r="O348" s="4">
        <v>39429</v>
      </c>
      <c r="P348" s="11">
        <v>347</v>
      </c>
      <c r="Q348" s="4">
        <v>39794</v>
      </c>
      <c r="R348" s="11">
        <v>347</v>
      </c>
      <c r="S348" s="4">
        <v>40160</v>
      </c>
      <c r="T348" s="11">
        <v>347</v>
      </c>
      <c r="U348" s="4">
        <v>40525</v>
      </c>
      <c r="V348" s="11">
        <v>347</v>
      </c>
      <c r="W348" s="4">
        <v>40890</v>
      </c>
      <c r="X348" s="12">
        <v>347</v>
      </c>
      <c r="Y348" s="4">
        <v>41255</v>
      </c>
    </row>
    <row r="349" spans="12:25" x14ac:dyDescent="0.25">
      <c r="L349" s="10">
        <v>348</v>
      </c>
      <c r="M349" s="4">
        <v>39065</v>
      </c>
      <c r="N349" s="11">
        <v>348</v>
      </c>
      <c r="O349" s="4">
        <v>39430</v>
      </c>
      <c r="P349" s="11">
        <v>348</v>
      </c>
      <c r="Q349" s="4">
        <v>39795</v>
      </c>
      <c r="R349" s="11">
        <v>348</v>
      </c>
      <c r="S349" s="4">
        <v>40161</v>
      </c>
      <c r="T349" s="11">
        <v>348</v>
      </c>
      <c r="U349" s="4">
        <v>40526</v>
      </c>
      <c r="V349" s="11">
        <v>348</v>
      </c>
      <c r="W349" s="4">
        <v>40891</v>
      </c>
      <c r="X349" s="12">
        <v>348</v>
      </c>
      <c r="Y349" s="4">
        <v>41256</v>
      </c>
    </row>
    <row r="350" spans="12:25" x14ac:dyDescent="0.25">
      <c r="L350" s="10">
        <v>349</v>
      </c>
      <c r="M350" s="4">
        <v>39066</v>
      </c>
      <c r="N350" s="11">
        <v>349</v>
      </c>
      <c r="O350" s="4">
        <v>39431</v>
      </c>
      <c r="P350" s="11">
        <v>349</v>
      </c>
      <c r="Q350" s="4">
        <v>39796</v>
      </c>
      <c r="R350" s="11">
        <v>349</v>
      </c>
      <c r="S350" s="4">
        <v>40162</v>
      </c>
      <c r="T350" s="11">
        <v>349</v>
      </c>
      <c r="U350" s="4">
        <v>40527</v>
      </c>
      <c r="V350" s="11">
        <v>349</v>
      </c>
      <c r="W350" s="4">
        <v>40892</v>
      </c>
      <c r="X350" s="12">
        <v>349</v>
      </c>
      <c r="Y350" s="4">
        <v>41257</v>
      </c>
    </row>
    <row r="351" spans="12:25" x14ac:dyDescent="0.25">
      <c r="L351" s="10">
        <v>350</v>
      </c>
      <c r="M351" s="4">
        <v>39067</v>
      </c>
      <c r="N351" s="11">
        <v>350</v>
      </c>
      <c r="O351" s="4">
        <v>39432</v>
      </c>
      <c r="P351" s="11">
        <v>350</v>
      </c>
      <c r="Q351" s="4">
        <v>39797</v>
      </c>
      <c r="R351" s="11">
        <v>350</v>
      </c>
      <c r="S351" s="4">
        <v>40163</v>
      </c>
      <c r="T351" s="11">
        <v>350</v>
      </c>
      <c r="U351" s="4">
        <v>40528</v>
      </c>
      <c r="V351" s="11">
        <v>350</v>
      </c>
      <c r="W351" s="4">
        <v>40893</v>
      </c>
      <c r="X351" s="12">
        <v>350</v>
      </c>
      <c r="Y351" s="4">
        <v>41258</v>
      </c>
    </row>
    <row r="352" spans="12:25" x14ac:dyDescent="0.25">
      <c r="L352" s="10">
        <v>351</v>
      </c>
      <c r="M352" s="4">
        <v>39068</v>
      </c>
      <c r="N352" s="11">
        <v>351</v>
      </c>
      <c r="O352" s="4">
        <v>39433</v>
      </c>
      <c r="P352" s="11">
        <v>351</v>
      </c>
      <c r="Q352" s="4">
        <v>39798</v>
      </c>
      <c r="R352" s="11">
        <v>351</v>
      </c>
      <c r="S352" s="4">
        <v>40164</v>
      </c>
      <c r="T352" s="11">
        <v>351</v>
      </c>
      <c r="U352" s="4">
        <v>40529</v>
      </c>
      <c r="V352" s="11">
        <v>351</v>
      </c>
      <c r="W352" s="4">
        <v>40894</v>
      </c>
      <c r="X352" s="12">
        <v>351</v>
      </c>
      <c r="Y352" s="4">
        <v>41259</v>
      </c>
    </row>
    <row r="353" spans="12:25" x14ac:dyDescent="0.25">
      <c r="L353" s="10">
        <v>352</v>
      </c>
      <c r="M353" s="4">
        <v>39069</v>
      </c>
      <c r="N353" s="11">
        <v>352</v>
      </c>
      <c r="O353" s="4">
        <v>39434</v>
      </c>
      <c r="P353" s="11">
        <v>352</v>
      </c>
      <c r="Q353" s="4">
        <v>39799</v>
      </c>
      <c r="R353" s="11">
        <v>352</v>
      </c>
      <c r="S353" s="4">
        <v>40165</v>
      </c>
      <c r="T353" s="11">
        <v>352</v>
      </c>
      <c r="U353" s="4">
        <v>40530</v>
      </c>
      <c r="V353" s="11">
        <v>352</v>
      </c>
      <c r="W353" s="4">
        <v>40895</v>
      </c>
      <c r="X353" s="12">
        <v>352</v>
      </c>
      <c r="Y353" s="4">
        <v>41260</v>
      </c>
    </row>
    <row r="354" spans="12:25" x14ac:dyDescent="0.25">
      <c r="L354" s="10">
        <v>353</v>
      </c>
      <c r="M354" s="4">
        <v>39070</v>
      </c>
      <c r="N354" s="11">
        <v>353</v>
      </c>
      <c r="O354" s="4">
        <v>39435</v>
      </c>
      <c r="P354" s="11">
        <v>353</v>
      </c>
      <c r="Q354" s="4">
        <v>39800</v>
      </c>
      <c r="R354" s="11">
        <v>353</v>
      </c>
      <c r="S354" s="4">
        <v>40166</v>
      </c>
      <c r="T354" s="11">
        <v>353</v>
      </c>
      <c r="U354" s="4">
        <v>40531</v>
      </c>
      <c r="V354" s="11">
        <v>353</v>
      </c>
      <c r="W354" s="4">
        <v>40896</v>
      </c>
      <c r="X354" s="12">
        <v>353</v>
      </c>
      <c r="Y354" s="4">
        <v>41261</v>
      </c>
    </row>
    <row r="355" spans="12:25" x14ac:dyDescent="0.25">
      <c r="L355" s="10">
        <v>354</v>
      </c>
      <c r="M355" s="4">
        <v>39071</v>
      </c>
      <c r="N355" s="11">
        <v>354</v>
      </c>
      <c r="O355" s="4">
        <v>39436</v>
      </c>
      <c r="P355" s="11">
        <v>354</v>
      </c>
      <c r="Q355" s="4">
        <v>39801</v>
      </c>
      <c r="R355" s="11">
        <v>354</v>
      </c>
      <c r="S355" s="4">
        <v>40167</v>
      </c>
      <c r="T355" s="11">
        <v>354</v>
      </c>
      <c r="U355" s="4">
        <v>40532</v>
      </c>
      <c r="V355" s="11">
        <v>354</v>
      </c>
      <c r="W355" s="4">
        <v>40897</v>
      </c>
      <c r="X355" s="12">
        <v>354</v>
      </c>
      <c r="Y355" s="4">
        <v>41262</v>
      </c>
    </row>
    <row r="356" spans="12:25" x14ac:dyDescent="0.25">
      <c r="L356" s="10">
        <v>355</v>
      </c>
      <c r="M356" s="4">
        <v>39072</v>
      </c>
      <c r="N356" s="11">
        <v>355</v>
      </c>
      <c r="O356" s="4">
        <v>39437</v>
      </c>
      <c r="P356" s="11">
        <v>355</v>
      </c>
      <c r="Q356" s="4">
        <v>39802</v>
      </c>
      <c r="R356" s="11">
        <v>355</v>
      </c>
      <c r="S356" s="4">
        <v>40168</v>
      </c>
      <c r="T356" s="11">
        <v>355</v>
      </c>
      <c r="U356" s="4">
        <v>40533</v>
      </c>
      <c r="V356" s="11">
        <v>355</v>
      </c>
      <c r="W356" s="4">
        <v>40898</v>
      </c>
      <c r="X356" s="12">
        <v>355</v>
      </c>
      <c r="Y356" s="4">
        <v>41263</v>
      </c>
    </row>
    <row r="357" spans="12:25" x14ac:dyDescent="0.25">
      <c r="L357" s="10">
        <v>356</v>
      </c>
      <c r="M357" s="4">
        <v>39073</v>
      </c>
      <c r="N357" s="11">
        <v>356</v>
      </c>
      <c r="O357" s="4">
        <v>39438</v>
      </c>
      <c r="P357" s="11">
        <v>356</v>
      </c>
      <c r="Q357" s="4">
        <v>39803</v>
      </c>
      <c r="R357" s="11">
        <v>356</v>
      </c>
      <c r="S357" s="4">
        <v>40169</v>
      </c>
      <c r="T357" s="11">
        <v>356</v>
      </c>
      <c r="U357" s="4">
        <v>40534</v>
      </c>
      <c r="V357" s="11">
        <v>356</v>
      </c>
      <c r="W357" s="4">
        <v>40899</v>
      </c>
      <c r="X357" s="12">
        <v>356</v>
      </c>
      <c r="Y357" s="4">
        <v>41264</v>
      </c>
    </row>
    <row r="358" spans="12:25" x14ac:dyDescent="0.25">
      <c r="L358" s="10">
        <v>357</v>
      </c>
      <c r="M358" s="4">
        <v>39074</v>
      </c>
      <c r="N358" s="11">
        <v>357</v>
      </c>
      <c r="O358" s="4">
        <v>39439</v>
      </c>
      <c r="P358" s="11">
        <v>357</v>
      </c>
      <c r="Q358" s="4">
        <v>39804</v>
      </c>
      <c r="R358" s="11">
        <v>357</v>
      </c>
      <c r="S358" s="4">
        <v>40170</v>
      </c>
      <c r="T358" s="11">
        <v>357</v>
      </c>
      <c r="U358" s="4">
        <v>40535</v>
      </c>
      <c r="V358" s="11">
        <v>357</v>
      </c>
      <c r="W358" s="4">
        <v>40900</v>
      </c>
      <c r="X358" s="12">
        <v>357</v>
      </c>
      <c r="Y358" s="4">
        <v>41265</v>
      </c>
    </row>
    <row r="359" spans="12:25" x14ac:dyDescent="0.25">
      <c r="L359" s="10">
        <v>358</v>
      </c>
      <c r="M359" s="4">
        <v>39075</v>
      </c>
      <c r="N359" s="11">
        <v>358</v>
      </c>
      <c r="O359" s="4">
        <v>39440</v>
      </c>
      <c r="P359" s="11">
        <v>358</v>
      </c>
      <c r="Q359" s="4">
        <v>39805</v>
      </c>
      <c r="R359" s="11">
        <v>358</v>
      </c>
      <c r="S359" s="4">
        <v>40171</v>
      </c>
      <c r="T359" s="11">
        <v>358</v>
      </c>
      <c r="U359" s="4">
        <v>40536</v>
      </c>
      <c r="V359" s="11">
        <v>358</v>
      </c>
      <c r="W359" s="4">
        <v>40901</v>
      </c>
      <c r="X359" s="12">
        <v>358</v>
      </c>
      <c r="Y359" s="4">
        <v>41266</v>
      </c>
    </row>
    <row r="360" spans="12:25" x14ac:dyDescent="0.25">
      <c r="L360" s="10">
        <v>359</v>
      </c>
      <c r="M360" s="4">
        <v>39076</v>
      </c>
      <c r="N360" s="11">
        <v>359</v>
      </c>
      <c r="O360" s="4">
        <v>39441</v>
      </c>
      <c r="P360" s="11">
        <v>359</v>
      </c>
      <c r="Q360" s="4">
        <v>39806</v>
      </c>
      <c r="R360" s="11">
        <v>359</v>
      </c>
      <c r="S360" s="4">
        <v>40172</v>
      </c>
      <c r="T360" s="11">
        <v>359</v>
      </c>
      <c r="U360" s="4">
        <v>40537</v>
      </c>
      <c r="V360" s="11">
        <v>359</v>
      </c>
      <c r="W360" s="4">
        <v>40902</v>
      </c>
      <c r="X360" s="12">
        <v>359</v>
      </c>
      <c r="Y360" s="4">
        <v>41267</v>
      </c>
    </row>
    <row r="361" spans="12:25" x14ac:dyDescent="0.25">
      <c r="L361" s="10">
        <v>360</v>
      </c>
      <c r="M361" s="4">
        <v>39077</v>
      </c>
      <c r="N361" s="11">
        <v>360</v>
      </c>
      <c r="O361" s="4">
        <v>39442</v>
      </c>
      <c r="P361" s="11">
        <v>360</v>
      </c>
      <c r="Q361" s="4">
        <v>39807</v>
      </c>
      <c r="R361" s="11">
        <v>360</v>
      </c>
      <c r="S361" s="4">
        <v>40173</v>
      </c>
      <c r="T361" s="11">
        <v>360</v>
      </c>
      <c r="U361" s="4">
        <v>40538</v>
      </c>
      <c r="V361" s="11">
        <v>360</v>
      </c>
      <c r="W361" s="4">
        <v>40903</v>
      </c>
      <c r="X361" s="12">
        <v>360</v>
      </c>
      <c r="Y361" s="4">
        <v>41268</v>
      </c>
    </row>
    <row r="362" spans="12:25" x14ac:dyDescent="0.25">
      <c r="L362" s="10">
        <v>361</v>
      </c>
      <c r="M362" s="4">
        <v>39078</v>
      </c>
      <c r="N362" s="11">
        <v>361</v>
      </c>
      <c r="O362" s="4">
        <v>39443</v>
      </c>
      <c r="P362" s="11">
        <v>361</v>
      </c>
      <c r="Q362" s="4">
        <v>39808</v>
      </c>
      <c r="R362" s="11">
        <v>361</v>
      </c>
      <c r="S362" s="4">
        <v>40174</v>
      </c>
      <c r="T362" s="11">
        <v>361</v>
      </c>
      <c r="U362" s="4">
        <v>40539</v>
      </c>
      <c r="V362" s="11">
        <v>361</v>
      </c>
      <c r="W362" s="4">
        <v>40904</v>
      </c>
      <c r="X362" s="12">
        <v>361</v>
      </c>
      <c r="Y362" s="4">
        <v>41269</v>
      </c>
    </row>
    <row r="363" spans="12:25" x14ac:dyDescent="0.25">
      <c r="L363" s="10">
        <v>362</v>
      </c>
      <c r="M363" s="4">
        <v>39079</v>
      </c>
      <c r="N363" s="11">
        <v>362</v>
      </c>
      <c r="O363" s="4">
        <v>39444</v>
      </c>
      <c r="P363" s="11">
        <v>362</v>
      </c>
      <c r="Q363" s="4">
        <v>39809</v>
      </c>
      <c r="R363" s="11">
        <v>362</v>
      </c>
      <c r="S363" s="4">
        <v>40175</v>
      </c>
      <c r="T363" s="11">
        <v>362</v>
      </c>
      <c r="U363" s="4">
        <v>40540</v>
      </c>
      <c r="V363" s="11">
        <v>362</v>
      </c>
      <c r="W363" s="4">
        <v>40905</v>
      </c>
      <c r="X363" s="12">
        <v>362</v>
      </c>
      <c r="Y363" s="4">
        <v>41270</v>
      </c>
    </row>
    <row r="364" spans="12:25" x14ac:dyDescent="0.25">
      <c r="L364" s="10">
        <v>363</v>
      </c>
      <c r="M364" s="4">
        <v>39080</v>
      </c>
      <c r="N364" s="11">
        <v>363</v>
      </c>
      <c r="O364" s="4">
        <v>39445</v>
      </c>
      <c r="P364" s="11">
        <v>363</v>
      </c>
      <c r="Q364" s="4">
        <v>39810</v>
      </c>
      <c r="R364" s="11">
        <v>363</v>
      </c>
      <c r="S364" s="4">
        <v>40176</v>
      </c>
      <c r="T364" s="11">
        <v>363</v>
      </c>
      <c r="U364" s="4">
        <v>40541</v>
      </c>
      <c r="V364" s="11">
        <v>363</v>
      </c>
      <c r="W364" s="4">
        <v>40906</v>
      </c>
      <c r="X364" s="12">
        <v>363</v>
      </c>
      <c r="Y364" s="4">
        <v>41271</v>
      </c>
    </row>
    <row r="365" spans="12:25" x14ac:dyDescent="0.25">
      <c r="L365" s="10">
        <v>364</v>
      </c>
      <c r="M365" s="4">
        <v>39081</v>
      </c>
      <c r="N365" s="11">
        <v>364</v>
      </c>
      <c r="O365" s="4">
        <v>39446</v>
      </c>
      <c r="P365" s="11">
        <v>364</v>
      </c>
      <c r="Q365" s="4">
        <v>39811</v>
      </c>
      <c r="R365" s="11">
        <v>364</v>
      </c>
      <c r="S365" s="4">
        <v>40177</v>
      </c>
      <c r="T365" s="11">
        <v>364</v>
      </c>
      <c r="U365" s="4">
        <v>40542</v>
      </c>
      <c r="V365" s="11">
        <v>364</v>
      </c>
      <c r="W365" s="4">
        <v>40907</v>
      </c>
      <c r="X365" s="12">
        <v>364</v>
      </c>
      <c r="Y365" s="4">
        <v>41272</v>
      </c>
    </row>
    <row r="366" spans="12:25" x14ac:dyDescent="0.25">
      <c r="L366" s="10">
        <v>365</v>
      </c>
      <c r="M366" s="4">
        <v>39082</v>
      </c>
      <c r="N366" s="11">
        <v>365</v>
      </c>
      <c r="O366" s="4">
        <v>39447</v>
      </c>
      <c r="P366" s="11">
        <v>365</v>
      </c>
      <c r="Q366" s="4">
        <v>39812</v>
      </c>
      <c r="R366" s="11">
        <v>365</v>
      </c>
      <c r="S366" s="4">
        <v>40178</v>
      </c>
      <c r="T366" s="11">
        <v>365</v>
      </c>
      <c r="U366" s="4">
        <v>40543</v>
      </c>
      <c r="V366" s="11">
        <v>365</v>
      </c>
      <c r="W366" s="4">
        <v>40908</v>
      </c>
      <c r="X366" s="12">
        <v>365</v>
      </c>
      <c r="Y366" s="4">
        <v>41273</v>
      </c>
    </row>
    <row r="367" spans="12:25" ht="15.75" thickBot="1" x14ac:dyDescent="0.3">
      <c r="L367" s="13"/>
      <c r="M367" s="14"/>
      <c r="N367" s="15"/>
      <c r="O367" s="14"/>
      <c r="P367" s="15">
        <v>366</v>
      </c>
      <c r="Q367" s="16">
        <v>39813</v>
      </c>
      <c r="R367" s="15"/>
      <c r="S367" s="14"/>
      <c r="T367" s="15"/>
      <c r="U367" s="14"/>
      <c r="V367" s="15"/>
      <c r="W367" s="14"/>
      <c r="X367" s="17">
        <v>366</v>
      </c>
      <c r="Y367" s="4">
        <v>41274</v>
      </c>
    </row>
  </sheetData>
  <phoneticPr fontId="5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7</vt:i4>
      </vt:variant>
    </vt:vector>
  </HeadingPairs>
  <TitlesOfParts>
    <vt:vector size="12" baseType="lpstr">
      <vt:lpstr>Welcome</vt:lpstr>
      <vt:lpstr>Data</vt:lpstr>
      <vt:lpstr>Records</vt:lpstr>
      <vt:lpstr>Rec_Prep</vt:lpstr>
      <vt:lpstr>Lists</vt:lpstr>
      <vt:lpstr>Camp</vt:lpstr>
      <vt:lpstr>Date2013</vt:lpstr>
      <vt:lpstr>Observers</vt:lpstr>
      <vt:lpstr>Sex</vt:lpstr>
      <vt:lpstr>Site</vt:lpstr>
      <vt:lpstr>Species</vt:lpstr>
      <vt:lpstr>Transect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OJB</dc:creator>
  <cp:lastModifiedBy>OB</cp:lastModifiedBy>
  <dcterms:created xsi:type="dcterms:W3CDTF">2013-04-12T01:09:21Z</dcterms:created>
  <dcterms:modified xsi:type="dcterms:W3CDTF">2014-06-12T20:42:58Z</dcterms:modified>
</cp:coreProperties>
</file>