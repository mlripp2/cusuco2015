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05" yWindow="-150" windowWidth="14655" windowHeight="8100" activeTab="5"/>
  </bookViews>
  <sheets>
    <sheet name="Welcome" sheetId="5" r:id="rId1"/>
    <sheet name="Data" sheetId="1" r:id="rId2"/>
    <sheet name="Occasion" sheetId="6" r:id="rId3"/>
    <sheet name="Records" sheetId="3" r:id="rId4"/>
    <sheet name="Occ_Prep" sheetId="7" r:id="rId5"/>
    <sheet name="Rec_Prep" sheetId="2" r:id="rId6"/>
    <sheet name="Lists" sheetId="4" r:id="rId7"/>
  </sheets>
  <definedNames>
    <definedName name="_xlnm._FilterDatabase" localSheetId="1" hidden="1">Data!$A$1:$AM$3</definedName>
    <definedName name="Camp">Lists!$C$2:$C$9</definedName>
    <definedName name="Date2013">Lists!$B$2:$B$73</definedName>
    <definedName name="Jul_06">Lists!$L$2:$M$366</definedName>
    <definedName name="Jul_07">Lists!$N$2:$O$366</definedName>
    <definedName name="Jul_08">Lists!$P$2:$Q$367</definedName>
    <definedName name="Jul_09">Lists!$R$2:$S$366</definedName>
    <definedName name="Jul_10">Lists!$T$2:$U$366</definedName>
    <definedName name="Jul_11">Lists!$V$2:$W$366</definedName>
    <definedName name="Jul_12">Lists!$X$2:$Y$367</definedName>
    <definedName name="Observers">Lists!$F$2:$F$48</definedName>
    <definedName name="Sex">Lists!$I$2:$I$4</definedName>
    <definedName name="Site">Lists!$E$2:$E$163</definedName>
    <definedName name="Species">Lists!$H$2:$H$113</definedName>
    <definedName name="Transect">Lists!$D$2:$D$41</definedName>
  </definedNames>
  <calcPr calcId="144525"/>
</workbook>
</file>

<file path=xl/calcChain.xml><?xml version="1.0" encoding="utf-8"?>
<calcChain xmlns="http://schemas.openxmlformats.org/spreadsheetml/2006/main">
  <c r="U12" i="3" l="1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F12" i="3"/>
  <c r="E12" i="3"/>
  <c r="D12" i="3"/>
  <c r="C12" i="3"/>
  <c r="B12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F11" i="3"/>
  <c r="E11" i="3"/>
  <c r="D11" i="3"/>
  <c r="C11" i="3"/>
  <c r="B11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F10" i="3"/>
  <c r="E10" i="3"/>
  <c r="D10" i="3"/>
  <c r="C10" i="3"/>
  <c r="B10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F9" i="3"/>
  <c r="E9" i="3"/>
  <c r="D9" i="3"/>
  <c r="C9" i="3"/>
  <c r="B9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F8" i="3"/>
  <c r="E8" i="3"/>
  <c r="D8" i="3"/>
  <c r="C8" i="3"/>
  <c r="B8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F7" i="3"/>
  <c r="E7" i="3"/>
  <c r="D7" i="3"/>
  <c r="C7" i="3"/>
  <c r="B7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F6" i="3"/>
  <c r="E6" i="3"/>
  <c r="D6" i="3"/>
  <c r="C6" i="3"/>
  <c r="B6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F5" i="3"/>
  <c r="E5" i="3"/>
  <c r="D5" i="3"/>
  <c r="C5" i="3"/>
  <c r="B5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F4" i="3"/>
  <c r="E4" i="3"/>
  <c r="D4" i="3"/>
  <c r="C4" i="3"/>
  <c r="B4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F3" i="3"/>
  <c r="E3" i="3"/>
  <c r="D3" i="3"/>
  <c r="C3" i="3"/>
  <c r="B3" i="3"/>
  <c r="A4" i="6"/>
  <c r="A5" i="6" s="1"/>
  <c r="A6" i="6" s="1"/>
  <c r="A7" i="6" s="1"/>
  <c r="A8" i="6" s="1"/>
  <c r="A9" i="6" s="1"/>
  <c r="A10" i="6" s="1"/>
  <c r="A11" i="6" s="1"/>
  <c r="A12" i="6" s="1"/>
  <c r="A13" i="6" s="1"/>
  <c r="K12" i="6"/>
  <c r="J12" i="6"/>
  <c r="I12" i="6"/>
  <c r="H12" i="6"/>
  <c r="G12" i="6"/>
  <c r="F12" i="6"/>
  <c r="E12" i="6"/>
  <c r="D12" i="6"/>
  <c r="C12" i="6"/>
  <c r="B12" i="6" s="1"/>
  <c r="K11" i="6"/>
  <c r="J11" i="6"/>
  <c r="I11" i="6"/>
  <c r="H11" i="6"/>
  <c r="G11" i="6"/>
  <c r="F11" i="6"/>
  <c r="E11" i="6"/>
  <c r="D11" i="6"/>
  <c r="C11" i="6"/>
  <c r="B11" i="6" s="1"/>
  <c r="K10" i="6"/>
  <c r="J10" i="6"/>
  <c r="I10" i="6"/>
  <c r="H10" i="6"/>
  <c r="G10" i="6"/>
  <c r="F10" i="6"/>
  <c r="E10" i="6"/>
  <c r="D10" i="6"/>
  <c r="C10" i="6"/>
  <c r="B10" i="6" s="1"/>
  <c r="K9" i="6"/>
  <c r="J9" i="6"/>
  <c r="I9" i="6"/>
  <c r="H9" i="6"/>
  <c r="G9" i="6"/>
  <c r="F9" i="6"/>
  <c r="E9" i="6"/>
  <c r="D9" i="6"/>
  <c r="C9" i="6"/>
  <c r="B9" i="6" s="1"/>
  <c r="K8" i="6"/>
  <c r="J8" i="6"/>
  <c r="I8" i="6"/>
  <c r="H8" i="6"/>
  <c r="G8" i="6"/>
  <c r="F8" i="6"/>
  <c r="E8" i="6"/>
  <c r="D8" i="6"/>
  <c r="C8" i="6"/>
  <c r="B8" i="6" s="1"/>
  <c r="K7" i="6"/>
  <c r="J7" i="6"/>
  <c r="I7" i="6"/>
  <c r="H7" i="6"/>
  <c r="G7" i="6"/>
  <c r="F7" i="6"/>
  <c r="E7" i="6"/>
  <c r="D7" i="6"/>
  <c r="C7" i="6"/>
  <c r="B7" i="6" s="1"/>
  <c r="K6" i="6"/>
  <c r="J6" i="6"/>
  <c r="I6" i="6"/>
  <c r="H6" i="6"/>
  <c r="G6" i="6"/>
  <c r="F6" i="6"/>
  <c r="E6" i="6"/>
  <c r="D6" i="6"/>
  <c r="C6" i="6"/>
  <c r="B6" i="6" s="1"/>
  <c r="K5" i="6"/>
  <c r="J5" i="6"/>
  <c r="I5" i="6"/>
  <c r="H5" i="6"/>
  <c r="G5" i="6"/>
  <c r="F5" i="6"/>
  <c r="E5" i="6"/>
  <c r="D5" i="6"/>
  <c r="C5" i="6"/>
  <c r="B5" i="6" s="1"/>
  <c r="K4" i="6"/>
  <c r="J4" i="6"/>
  <c r="I4" i="6"/>
  <c r="H4" i="6"/>
  <c r="G4" i="6"/>
  <c r="F4" i="6"/>
  <c r="E4" i="6"/>
  <c r="D4" i="6"/>
  <c r="C4" i="6"/>
  <c r="B4" i="6" s="1"/>
  <c r="K3" i="6"/>
  <c r="J3" i="6"/>
  <c r="I3" i="6"/>
  <c r="H3" i="6"/>
  <c r="G3" i="6"/>
  <c r="F3" i="6"/>
  <c r="E3" i="6"/>
  <c r="D3" i="6"/>
  <c r="C3" i="6"/>
  <c r="B3" i="6" s="1"/>
  <c r="W3" i="1"/>
  <c r="W4" i="1"/>
  <c r="W5" i="1"/>
  <c r="W6" i="1"/>
  <c r="P3" i="1"/>
  <c r="Q3" i="1" s="1"/>
  <c r="P4" i="1"/>
  <c r="Q4" i="1"/>
  <c r="R4" i="1"/>
  <c r="S4" i="1"/>
  <c r="P5" i="1"/>
  <c r="Q5" i="1"/>
  <c r="R5" i="1"/>
  <c r="S5" i="1"/>
  <c r="R3" i="1" l="1"/>
  <c r="S3" i="1"/>
  <c r="P2" i="3" l="1"/>
  <c r="Q2" i="3"/>
  <c r="W11" i="1" l="1"/>
  <c r="W10" i="1"/>
  <c r="W9" i="1"/>
  <c r="W8" i="1"/>
  <c r="W7" i="1"/>
  <c r="S12" i="1"/>
  <c r="R12" i="1"/>
  <c r="Q12" i="1"/>
  <c r="P12" i="1"/>
  <c r="S11" i="1"/>
  <c r="R11" i="1"/>
  <c r="Q11" i="1"/>
  <c r="P11" i="1"/>
  <c r="S10" i="1"/>
  <c r="R10" i="1"/>
  <c r="Q10" i="1"/>
  <c r="P10" i="1"/>
  <c r="S9" i="1"/>
  <c r="R9" i="1"/>
  <c r="Q9" i="1"/>
  <c r="P9" i="1"/>
  <c r="Q8" i="1"/>
  <c r="P8" i="1"/>
  <c r="S8" i="1" s="1"/>
  <c r="P7" i="1"/>
  <c r="S6" i="1"/>
  <c r="R6" i="1"/>
  <c r="Q6" i="1"/>
  <c r="P6" i="1"/>
  <c r="Q7" i="1" l="1"/>
  <c r="S7" i="1" s="1"/>
  <c r="R8" i="1"/>
  <c r="R7" i="1" l="1"/>
  <c r="B2" i="3"/>
  <c r="A3" i="6" l="1"/>
  <c r="U2" i="3" l="1"/>
  <c r="N2" i="3"/>
  <c r="O2" i="3"/>
  <c r="R2" i="3"/>
  <c r="S2" i="3"/>
  <c r="T2" i="3"/>
  <c r="K2" i="3" l="1"/>
  <c r="I2" i="3"/>
  <c r="J2" i="3"/>
  <c r="L2" i="3"/>
  <c r="M2" i="3"/>
  <c r="H2" i="3"/>
  <c r="D2" i="3"/>
  <c r="C2" i="3"/>
  <c r="D2" i="6"/>
  <c r="E2" i="6"/>
  <c r="F2" i="6"/>
  <c r="G2" i="6"/>
  <c r="H2" i="6"/>
  <c r="I2" i="6"/>
  <c r="J2" i="6"/>
  <c r="K2" i="6"/>
  <c r="C2" i="6"/>
  <c r="B2" i="6" s="1"/>
  <c r="E2" i="3" l="1"/>
  <c r="F2" i="3" l="1"/>
</calcChain>
</file>

<file path=xl/sharedStrings.xml><?xml version="1.0" encoding="utf-8"?>
<sst xmlns="http://schemas.openxmlformats.org/spreadsheetml/2006/main" count="784" uniqueCount="448">
  <si>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</si>
  <si>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</si>
  <si>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</si>
  <si>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</si>
  <si>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</si>
  <si>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</si>
  <si>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</si>
  <si>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</si>
  <si>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</si>
  <si>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SVL
(mm)</t>
  </si>
  <si>
    <t>Tail Length
(mm)</t>
  </si>
  <si>
    <t>Mass
(g)</t>
  </si>
  <si>
    <t>Total Length
(mm)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</si>
  <si>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</si>
  <si>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</si>
  <si>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</si>
  <si>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</si>
  <si>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</si>
  <si>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</si>
  <si>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</si>
  <si>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</si>
  <si>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</si>
  <si>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</si>
  <si>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</si>
  <si>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</si>
  <si>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</si>
  <si>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</si>
  <si>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</si>
  <si>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</si>
  <si>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</si>
  <si>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</si>
  <si>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</si>
  <si>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</si>
  <si>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</si>
  <si>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</si>
  <si>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</si>
  <si>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</si>
  <si>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</si>
  <si>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</si>
  <si>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</si>
  <si>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</si>
  <si>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</si>
  <si>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</si>
  <si>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</si>
  <si>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</si>
  <si>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</si>
  <si>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</si>
  <si>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</si>
  <si>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</si>
  <si>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</si>
  <si>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</si>
  <si>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</si>
  <si>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</si>
  <si>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</si>
  <si>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</si>
  <si>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</si>
  <si>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</si>
  <si>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</si>
  <si>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</si>
  <si>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</si>
  <si>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</si>
  <si>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</si>
  <si>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</si>
  <si>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</si>
  <si>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</si>
  <si>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</si>
  <si>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</si>
  <si>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</si>
  <si>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</si>
  <si>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</si>
  <si>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</si>
  <si>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</si>
  <si>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</si>
  <si>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</si>
  <si>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</si>
  <si>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</si>
  <si>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</si>
  <si>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</si>
  <si>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</si>
  <si>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</si>
  <si>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</si>
  <si>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</si>
  <si>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</si>
  <si>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</si>
  <si>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</si>
  <si>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</si>
  <si>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</si>
  <si>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</si>
  <si>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</si>
  <si>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</si>
  <si>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</si>
  <si>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</si>
  <si>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</si>
  <si>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</si>
  <si>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</si>
  <si>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</si>
  <si>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</si>
  <si>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</si>
  <si>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</si>
  <si>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</si>
  <si>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</si>
  <si>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</si>
  <si>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</si>
  <si>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</si>
  <si>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</si>
  <si>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</si>
  <si>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</si>
  <si>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</si>
  <si>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</si>
  <si>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</si>
  <si>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</si>
  <si>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</si>
  <si>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</si>
  <si>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</si>
  <si>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</si>
  <si>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</si>
  <si>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</si>
  <si>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</si>
  <si>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</si>
  <si>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</si>
  <si>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</si>
  <si>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</si>
  <si>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</si>
  <si>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</si>
  <si>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</si>
  <si>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</si>
  <si>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</si>
  <si>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</si>
  <si>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</si>
  <si>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</si>
  <si>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</si>
  <si>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</si>
  <si>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</si>
  <si>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</si>
  <si>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</si>
  <si>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</si>
  <si>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</si>
  <si>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</si>
  <si>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</si>
  <si>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</si>
  <si>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</si>
  <si>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</si>
  <si>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</si>
  <si>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</si>
  <si>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</si>
  <si>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</si>
  <si>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</si>
  <si>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</si>
  <si>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</si>
  <si>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</si>
  <si>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</si>
  <si>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</si>
  <si>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</si>
  <si>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</si>
  <si>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</si>
  <si>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</si>
  <si>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</si>
  <si>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</si>
  <si>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</si>
  <si>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</si>
  <si>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</si>
  <si>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</si>
  <si>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</si>
  <si>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</si>
  <si>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</si>
  <si>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</si>
  <si>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</si>
  <si>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</si>
  <si>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</si>
  <si>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</si>
  <si>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</si>
  <si>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</si>
  <si>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</si>
  <si>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</si>
  <si>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</si>
  <si>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</si>
  <si>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</si>
  <si>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</si>
  <si>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</si>
  <si>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</si>
  <si>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</si>
  <si>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</si>
  <si>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</si>
  <si>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</si>
  <si>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</si>
  <si>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</si>
  <si>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</si>
  <si>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</si>
  <si>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</si>
  <si>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</si>
  <si>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</si>
  <si>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</si>
  <si>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</si>
  <si>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</si>
  <si>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</si>
  <si>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</si>
  <si>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</si>
  <si>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</si>
  <si>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</si>
  <si>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</si>
  <si>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</si>
  <si>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</si>
  <si>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</si>
  <si>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</si>
  <si>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</si>
  <si>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</si>
  <si>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</si>
  <si>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</si>
  <si>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</si>
  <si>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</si>
  <si>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</si>
  <si>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</si>
  <si>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</si>
  <si>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</si>
  <si>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</si>
  <si>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</si>
  <si>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</si>
  <si>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</si>
  <si>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</si>
  <si>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</si>
  <si>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</si>
  <si>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</si>
  <si>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</si>
  <si>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</si>
  <si>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</si>
  <si>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</si>
  <si>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</si>
  <si>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</si>
  <si>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</si>
  <si>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</si>
  <si>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</si>
  <si>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</si>
  <si>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</si>
  <si>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</si>
  <si>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</si>
  <si>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</si>
  <si>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</si>
  <si>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</si>
  <si>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>Occasion_HeTR</t>
  </si>
  <si>
    <t>Year_HeTR</t>
  </si>
  <si>
    <t>Day_HeTR</t>
  </si>
  <si>
    <t>Start_HeTR</t>
  </si>
  <si>
    <t>Finish_HeTR</t>
  </si>
  <si>
    <t>Camp_HeTR</t>
  </si>
  <si>
    <t>Transect_HeTR</t>
  </si>
  <si>
    <t>Observer_HeTR</t>
  </si>
  <si>
    <t>NoObs_HeTR</t>
  </si>
  <si>
    <t>Rain_HeTR</t>
  </si>
  <si>
    <t>Wind_HeTR</t>
  </si>
  <si>
    <t>DistTrans_HeTR</t>
  </si>
  <si>
    <t>PerpTrans_HeTR</t>
  </si>
  <si>
    <t>Genus_HeTR</t>
  </si>
  <si>
    <t>Species_HeTR</t>
  </si>
  <si>
    <t>NoIndvs_HeTR</t>
  </si>
  <si>
    <t>SVL_HeTR</t>
  </si>
  <si>
    <t>TailL_HeTR</t>
  </si>
  <si>
    <t>Mass_HeTR</t>
  </si>
  <si>
    <t>TL_HeTR</t>
  </si>
  <si>
    <t>Sex_HeTR</t>
  </si>
  <si>
    <t>CoordN_HeTR</t>
  </si>
  <si>
    <t>CoordE_HeTR</t>
  </si>
  <si>
    <t>Notes_HeTR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</si>
  <si>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</si>
  <si>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</si>
  <si>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Transect Mini-Database </t>
  </si>
  <si>
    <t>Welcome to the Herp Transect mini-database.  This database is designed to receive data</t>
  </si>
  <si>
    <t>Bolitoglossa  conanti</t>
  </si>
  <si>
    <t>Bothriechis  marchi</t>
  </si>
  <si>
    <t>Craugastor  rostralis</t>
  </si>
  <si>
    <t>Duellmanohyla  soralia</t>
  </si>
  <si>
    <t>Plectrohyla  dasypus</t>
  </si>
  <si>
    <t>Ptychohyla  hypomykter</t>
  </si>
  <si>
    <t>Unknown sp.</t>
  </si>
  <si>
    <t>Total Distance Walked (m)</t>
  </si>
  <si>
    <t>BARiver</t>
  </si>
  <si>
    <t>BCRiver</t>
  </si>
  <si>
    <t>CARiver</t>
  </si>
  <si>
    <t>CORiver</t>
  </si>
  <si>
    <t>DARiver</t>
  </si>
  <si>
    <t>GURiver</t>
  </si>
  <si>
    <t>STRiver</t>
  </si>
  <si>
    <t>Photos if taken (river surveys)</t>
  </si>
  <si>
    <t>Photo Code 1</t>
  </si>
  <si>
    <t>Photo Code 2</t>
  </si>
  <si>
    <t>Photo Code 3</t>
  </si>
  <si>
    <t>Camera Make / Model</t>
  </si>
  <si>
    <t>Photographer Name</t>
  </si>
  <si>
    <t>Time Encountered
(hh:mm)</t>
  </si>
  <si>
    <t>Photo1_HeTR</t>
  </si>
  <si>
    <t>Photo2_HeTR</t>
  </si>
  <si>
    <t>Photo3_HeTR</t>
  </si>
  <si>
    <t>Camera_Hetr</t>
  </si>
  <si>
    <t>Photographer_Hetr</t>
  </si>
  <si>
    <t>metamorph</t>
  </si>
  <si>
    <t>no species found</t>
  </si>
  <si>
    <t>canon compact</t>
  </si>
  <si>
    <t>alice lett</t>
  </si>
  <si>
    <t>no herps found</t>
  </si>
  <si>
    <t>started transect at 1250m-metamorph</t>
  </si>
  <si>
    <t>Plectrohyla exquisita</t>
  </si>
  <si>
    <t>Bolitoglossa diaphora</t>
  </si>
  <si>
    <t>Duellmanohyla soralia</t>
  </si>
  <si>
    <t>Plectrohyla dasypus</t>
  </si>
  <si>
    <t>CO1</t>
  </si>
  <si>
    <t>Norops cryptolimifrons</t>
  </si>
  <si>
    <t>Scapularis sp.</t>
  </si>
  <si>
    <t>Norops sp.</t>
  </si>
  <si>
    <t>Bolitoglossa nympha</t>
  </si>
  <si>
    <t>Length</t>
  </si>
  <si>
    <t>Trans_ID</t>
  </si>
  <si>
    <t>TimeEncount_HeTR</t>
  </si>
  <si>
    <t>Adelphicos quadrivirgatus</t>
  </si>
  <si>
    <t>Atropoides mexicanus</t>
  </si>
  <si>
    <t>Basiliscus vittatus</t>
  </si>
  <si>
    <t>Bolitoglossa conanti</t>
  </si>
  <si>
    <t>Bolitoglossa dofleini</t>
  </si>
  <si>
    <t>Bolitoglossa dunni</t>
  </si>
  <si>
    <t>Bolitoglossa mexicana</t>
  </si>
  <si>
    <t>Bothriechis marchi</t>
  </si>
  <si>
    <t>Bothriechis schlegelii</t>
  </si>
  <si>
    <t>Bothrops asper</t>
  </si>
  <si>
    <t>Celestus montanus</t>
  </si>
  <si>
    <t>Cerrophidion wilsonii</t>
  </si>
  <si>
    <t>Chaunus marinus</t>
  </si>
  <si>
    <t>Colubridae sp.</t>
  </si>
  <si>
    <t>Coniophanes imperialis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</si>
  <si>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</si>
  <si>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</si>
  <si>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</si>
  <si>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</si>
  <si>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</si>
  <si>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</si>
  <si>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</si>
  <si>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</si>
  <si>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milesi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</si>
  <si>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</si>
  <si>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</si>
  <si>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</si>
  <si>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</si>
  <si>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</si>
  <si>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</si>
  <si>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</si>
  <si>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</si>
  <si>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</si>
  <si>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</si>
  <si>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</si>
  <si>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</si>
  <si>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</si>
  <si>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</si>
  <si>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</si>
  <si>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</si>
  <si>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</si>
  <si>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</si>
  <si>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</si>
  <si>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</si>
  <si>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</si>
  <si>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</si>
  <si>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</si>
  <si>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</si>
  <si>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</si>
  <si>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</si>
  <si>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</si>
  <si>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</si>
  <si>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</si>
  <si>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</si>
  <si>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amplisquamosis</t>
  </si>
  <si>
    <t>Norops biporcatus</t>
  </si>
  <si>
    <t>Norops capito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</si>
  <si>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</si>
  <si>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</si>
  <si>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</si>
  <si>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</si>
  <si>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</si>
  <si>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</si>
  <si>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</si>
  <si>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</si>
  <si>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</si>
  <si>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</si>
  <si>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</si>
  <si>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</si>
  <si>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</si>
  <si>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</si>
  <si>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</si>
  <si>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</si>
  <si>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</si>
  <si>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</si>
  <si>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</si>
  <si>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</si>
  <si>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</si>
  <si>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</si>
  <si>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</si>
  <si>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</si>
  <si>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</si>
  <si>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</si>
  <si>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</si>
  <si>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</si>
  <si>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</si>
  <si>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</si>
  <si>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</si>
  <si>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</si>
  <si>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</si>
  <si>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</si>
  <si>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</si>
  <si>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</si>
  <si>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</si>
  <si>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</si>
  <si>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</si>
  <si>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</si>
  <si>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</si>
  <si>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Honduras, 2014</t>
  </si>
  <si>
    <t/>
  </si>
  <si>
    <t>Sample Code</t>
  </si>
  <si>
    <t>Initials-Date-Camp-Time(type)
e.g. OJB-20-JUN-15-BC-2143(DNA)</t>
  </si>
  <si>
    <t>Code_HeTR</t>
  </si>
  <si>
    <t>Capuca</t>
  </si>
  <si>
    <t>CP1</t>
  </si>
  <si>
    <t>CP2</t>
  </si>
  <si>
    <t>CP3</t>
  </si>
  <si>
    <t>CP4</t>
  </si>
  <si>
    <t>CPRiver</t>
  </si>
  <si>
    <t>CP1_SS1</t>
  </si>
  <si>
    <t>CP1_SS2</t>
  </si>
  <si>
    <t>CP1_SS3</t>
  </si>
  <si>
    <t>CP1_SS4</t>
  </si>
  <si>
    <t>CP1_SS5</t>
  </si>
  <si>
    <t>CP1_SS6</t>
  </si>
  <si>
    <t>CP2_SS1</t>
  </si>
  <si>
    <t>CP2_SS2</t>
  </si>
  <si>
    <t>CP2_SS3</t>
  </si>
  <si>
    <t>CP2_SS4</t>
  </si>
  <si>
    <t>CP2_SS5</t>
  </si>
  <si>
    <t>CP3_SS1</t>
  </si>
  <si>
    <t>CP3_SS2</t>
  </si>
  <si>
    <t>CP3_SS3</t>
  </si>
  <si>
    <t>CP3_SS4</t>
  </si>
  <si>
    <t>CP3_SS5</t>
  </si>
  <si>
    <t>CP4_SS1</t>
  </si>
  <si>
    <t>CP4_SS2</t>
  </si>
  <si>
    <t>CP4_SS3</t>
  </si>
  <si>
    <t>CP4_SS4</t>
  </si>
  <si>
    <t>Bromeliohyla bromeliacia</t>
  </si>
  <si>
    <t>Bromeliohyla sp.</t>
  </si>
  <si>
    <t>Hemidactylus sp.</t>
  </si>
  <si>
    <t>Imantodes sp.</t>
  </si>
  <si>
    <t>Lepidophyma sp.</t>
  </si>
  <si>
    <t xml:space="preserve">Bolitoglossa </t>
  </si>
  <si>
    <t>mexicana</t>
  </si>
  <si>
    <t>diaphora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</si>
</sst>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2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1" fillId="0" borderId="0" applyNumberFormat="0" applyFill="0" applyBorder="0" applyAlignment="0" applyProtection="0"/>
    <xf numFmtId="0" fontId="12" fillId="0" borderId="13" applyNumberFormat="0" applyFill="0" applyAlignment="0" applyProtection="0"/>
    <xf numFmtId="0" fontId="13" fillId="0" borderId="14" applyNumberFormat="0" applyFill="0" applyAlignment="0" applyProtection="0"/>
    <xf numFmtId="0" fontId="14" fillId="0" borderId="15" applyNumberFormat="0" applyFill="0" applyAlignment="0" applyProtection="0"/>
    <xf numFmtId="0" fontId="14" fillId="0" borderId="0" applyNumberFormat="0" applyFill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16" applyNumberFormat="0" applyAlignment="0" applyProtection="0"/>
    <xf numFmtId="0" fontId="19" fillId="10" borderId="17" applyNumberFormat="0" applyAlignment="0" applyProtection="0"/>
    <xf numFmtId="0" fontId="20" fillId="10" borderId="16" applyNumberFormat="0" applyAlignment="0" applyProtection="0"/>
    <xf numFmtId="0" fontId="21" fillId="0" borderId="18" applyNumberFormat="0" applyFill="0" applyAlignment="0" applyProtection="0"/>
    <xf numFmtId="0" fontId="22" fillId="11" borderId="19" applyNumberFormat="0" applyAlignment="0" applyProtection="0"/>
    <xf numFmtId="0" fontId="23" fillId="0" borderId="0" applyNumberFormat="0" applyFill="0" applyBorder="0" applyAlignment="0" applyProtection="0"/>
    <xf numFmtId="0" fontId="10" fillId="12" borderId="2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5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25" fillId="36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0" fillId="0" borderId="0" xfId="0" applyFill="1"/>
    <xf numFmtId="0" fontId="3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/>
    <xf numFmtId="0" fontId="4" fillId="0" borderId="0" xfId="0" applyFont="1" applyFill="1" applyBorder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Alignment="1">
      <alignment wrapText="1"/>
    </xf>
    <xf numFmtId="0" fontId="7" fillId="0" borderId="0" xfId="0" applyFont="1" applyFill="1" applyBorder="1" applyAlignment="1">
      <alignment wrapText="1"/>
    </xf>
    <xf numFmtId="0" fontId="3" fillId="0" borderId="0" xfId="0" applyFont="1" applyFill="1" applyBorder="1"/>
    <xf numFmtId="0" fontId="2" fillId="0" borderId="0" xfId="0" applyFont="1" applyFill="1" applyAlignment="1">
      <alignment wrapText="1"/>
    </xf>
    <xf numFmtId="0" fontId="2" fillId="0" borderId="0" xfId="0" applyFont="1" applyFill="1" applyBorder="1"/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2" fontId="0" fillId="0" borderId="0" xfId="0" applyNumberFormat="1" applyAlignment="1">
      <alignment wrapText="1"/>
    </xf>
    <xf numFmtId="1" fontId="0" fillId="0" borderId="0" xfId="0" applyNumberFormat="1"/>
    <xf numFmtId="0" fontId="8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protection locked="0"/>
    </xf>
    <xf numFmtId="165" fontId="0" fillId="0" borderId="0" xfId="0" applyNumberFormat="1"/>
    <xf numFmtId="0" fontId="0" fillId="0" borderId="0" xfId="0" applyNumberFormat="1" applyAlignment="1" applyProtection="1">
      <protection locked="0"/>
    </xf>
    <xf numFmtId="164" fontId="0" fillId="0" borderId="0" xfId="0" applyNumberFormat="1"/>
    <xf numFmtId="49" fontId="0" fillId="0" borderId="0" xfId="0" applyNumberFormat="1"/>
    <xf numFmtId="1" fontId="0" fillId="0" borderId="0" xfId="0" applyNumberFormat="1" applyAlignment="1"/>
    <xf numFmtId="49" fontId="0" fillId="2" borderId="0" xfId="0" applyNumberFormat="1" applyFill="1" applyAlignment="1">
      <alignment horizontal="center" vertical="center"/>
    </xf>
    <xf numFmtId="2" fontId="0" fillId="0" borderId="0" xfId="0" applyNumberFormat="1"/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0" xfId="0" applyAlignment="1"/>
    <xf numFmtId="0" fontId="0" fillId="2" borderId="0" xfId="0" applyFill="1" applyBorder="1" applyAlignment="1" applyProtection="1">
      <alignment horizontal="center" vertical="center" wrapText="1"/>
    </xf>
    <xf numFmtId="2" fontId="0" fillId="0" borderId="0" xfId="0" applyNumberFormat="1" applyAlignment="1" applyProtection="1"/>
    <xf numFmtId="15" fontId="0" fillId="0" borderId="0" xfId="0" applyNumberFormat="1" applyAlignment="1" applyProtection="1">
      <protection locked="0"/>
    </xf>
    <xf numFmtId="2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164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64" fontId="0" fillId="0" borderId="0" xfId="0" applyNumberFormat="1" applyAlignment="1"/>
    <xf numFmtId="165" fontId="0" fillId="0" borderId="0" xfId="0" applyNumberFormat="1" applyAlignment="1"/>
    <xf numFmtId="165" fontId="0" fillId="2" borderId="0" xfId="0" applyNumberFormat="1" applyFill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0" fillId="0" borderId="0" xfId="0" applyNumberFormat="1" applyAlignment="1" applyProtection="1">
      <alignment wrapText="1"/>
      <protection locked="0"/>
    </xf>
    <xf numFmtId="2" fontId="0" fillId="0" borderId="0" xfId="0" applyNumberFormat="1" applyAlignment="1" applyProtection="1">
      <alignment wrapText="1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 vertical="center" wrapText="1"/>
    </xf>
    <xf numFmtId="2" fontId="0" fillId="4" borderId="0" xfId="0" applyNumberFormat="1" applyFill="1" applyAlignment="1" applyProtection="1">
      <alignment horizontal="center" vertical="center" wrapText="1"/>
    </xf>
    <xf numFmtId="1" fontId="0" fillId="37" borderId="0" xfId="0" applyNumberFormat="1" applyFill="1" applyAlignment="1">
      <alignment horizontal="center" vertical="center" wrapText="1"/>
    </xf>
    <xf numFmtId="165" fontId="0" fillId="37" borderId="0" xfId="0" applyNumberFormat="1" applyFill="1" applyAlignment="1">
      <alignment horizontal="center" vertical="center" wrapText="1"/>
    </xf>
    <xf numFmtId="2" fontId="0" fillId="37" borderId="0" xfId="0" applyNumberFormat="1" applyFill="1" applyAlignment="1">
      <alignment horizontal="center" vertical="center" wrapText="1"/>
    </xf>
    <xf numFmtId="49" fontId="0" fillId="37" borderId="0" xfId="0" applyNumberFormat="1" applyFill="1" applyAlignment="1">
      <alignment horizontal="center" vertical="center"/>
    </xf>
    <xf numFmtId="49" fontId="0" fillId="37" borderId="0" xfId="0" applyNumberFormat="1" applyFill="1" applyAlignment="1">
      <alignment horizontal="center" vertical="center" wrapText="1"/>
    </xf>
    <xf numFmtId="0" fontId="0" fillId="37" borderId="0" xfId="0" applyFill="1"/>
    <xf numFmtId="49" fontId="0" fillId="2" borderId="2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1" fontId="0" fillId="2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 wrapText="1"/>
    </xf>
    <xf numFmtId="2" fontId="0" fillId="0" borderId="0" xfId="0" applyNumberFormat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63954</xdr:rowOff>
    </xdr:from>
    <xdr:to>
      <xdr:col>14</xdr:col>
      <xdr:colOff>504824</xdr:colOff>
      <xdr:row>23</xdr:row>
      <xdr:rowOff>104775</xdr:rowOff>
    </xdr:to>
    <xdr:sp macro="" textlink="">
      <xdr:nvSpPr>
        <xdr:cNvPr id="7" name="Rounded Rectangle 6"/>
        <xdr:cNvSpPr/>
      </xdr:nvSpPr>
      <xdr:spPr>
        <a:xfrm>
          <a:off x="180974" y="63954"/>
          <a:ext cx="8858250" cy="4574721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Z41"/>
  <sheetViews>
    <sheetView zoomScaleNormal="100" workbookViewId="0"/>
  </sheetViews>
  <sheetFormatPr defaultRowHeight="15" x14ac:dyDescent="0.25"/>
  <cols>
    <col min="1" max="16384" width="9.140625" style="43"/>
  </cols>
  <sheetData>
    <row r="2" spans="4:4" ht="21" x14ac:dyDescent="0.35">
      <c r="D2" s="41" t="s">
        <v>264</v>
      </c>
    </row>
    <row r="3" spans="4:4" ht="21" x14ac:dyDescent="0.35">
      <c r="D3" s="41" t="s">
        <v>409</v>
      </c>
    </row>
    <row r="4" spans="4:4" x14ac:dyDescent="0.25">
      <c r="D4" s="42" t="s">
        <v>265</v>
      </c>
    </row>
    <row r="5" spans="4:4" x14ac:dyDescent="0.25">
      <c r="D5" s="42" t="s">
        <v>228</v>
      </c>
    </row>
    <row r="6" spans="4:4" x14ac:dyDescent="0.25">
      <c r="D6" s="42"/>
    </row>
    <row r="7" spans="4:4" x14ac:dyDescent="0.25">
      <c r="D7" s="42" t="s">
        <v>233</v>
      </c>
    </row>
    <row r="8" spans="4:4" x14ac:dyDescent="0.25">
      <c r="D8" s="42"/>
    </row>
    <row r="9" spans="4:4" x14ac:dyDescent="0.25">
      <c r="D9" s="42" t="s">
        <v>229</v>
      </c>
    </row>
    <row r="10" spans="4:4" x14ac:dyDescent="0.25">
      <c r="D10" s="42"/>
    </row>
    <row r="11" spans="4:4" x14ac:dyDescent="0.25">
      <c r="D11" s="42" t="s">
        <v>230</v>
      </c>
    </row>
    <row r="12" spans="4:4" x14ac:dyDescent="0.25">
      <c r="D12" s="42" t="s">
        <v>231</v>
      </c>
    </row>
    <row r="13" spans="4:4" x14ac:dyDescent="0.25">
      <c r="D13" s="42"/>
    </row>
    <row r="14" spans="4:4" x14ac:dyDescent="0.25">
      <c r="D14" s="42" t="s">
        <v>262</v>
      </c>
    </row>
    <row r="15" spans="4:4" x14ac:dyDescent="0.25">
      <c r="D15" s="42"/>
    </row>
    <row r="16" spans="4:4" x14ac:dyDescent="0.25">
      <c r="D16" s="42" t="s">
        <v>232</v>
      </c>
    </row>
    <row r="18" spans="1:26" x14ac:dyDescent="0.25">
      <c r="D18" s="42" t="s">
        <v>234</v>
      </c>
    </row>
    <row r="19" spans="1:26" x14ac:dyDescent="0.25">
      <c r="D19" s="43" t="s">
        <v>263</v>
      </c>
    </row>
    <row r="25" spans="1:26" x14ac:dyDescent="0.25">
      <c r="A25" s="88" t="s">
        <v>236</v>
      </c>
      <c r="B25" s="88" t="s">
        <v>237</v>
      </c>
      <c r="C25" s="89" t="s">
        <v>0</v>
      </c>
      <c r="D25" s="89" t="s">
        <v>1</v>
      </c>
      <c r="E25" s="89" t="s">
        <v>273</v>
      </c>
      <c r="F25" s="89" t="s">
        <v>2</v>
      </c>
      <c r="G25" s="90" t="s">
        <v>3</v>
      </c>
      <c r="H25" s="90" t="s">
        <v>7</v>
      </c>
      <c r="I25" s="90" t="s">
        <v>8</v>
      </c>
      <c r="J25" s="87" t="s">
        <v>287</v>
      </c>
      <c r="K25" s="87" t="s">
        <v>220</v>
      </c>
      <c r="L25" s="87" t="s">
        <v>235</v>
      </c>
      <c r="M25" s="93" t="s">
        <v>4</v>
      </c>
      <c r="N25" s="93" t="s">
        <v>16</v>
      </c>
      <c r="O25" s="94" t="s">
        <v>9</v>
      </c>
      <c r="P25" s="94" t="s">
        <v>10</v>
      </c>
      <c r="Q25" s="94" t="s">
        <v>11</v>
      </c>
      <c r="R25" s="93" t="s">
        <v>5</v>
      </c>
      <c r="S25" s="87" t="s">
        <v>13</v>
      </c>
      <c r="T25" s="87" t="s">
        <v>14</v>
      </c>
      <c r="U25" s="91" t="s">
        <v>6</v>
      </c>
      <c r="V25" s="92" t="s">
        <v>281</v>
      </c>
      <c r="W25" s="92"/>
      <c r="X25" s="92"/>
      <c r="Y25" s="92"/>
      <c r="Z25" s="92"/>
    </row>
    <row r="26" spans="1:26" ht="45" x14ac:dyDescent="0.25">
      <c r="A26" s="88"/>
      <c r="B26" s="88"/>
      <c r="C26" s="89"/>
      <c r="D26" s="89"/>
      <c r="E26" s="89"/>
      <c r="F26" s="89"/>
      <c r="G26" s="90"/>
      <c r="H26" s="90"/>
      <c r="I26" s="90"/>
      <c r="J26" s="87"/>
      <c r="K26" s="87"/>
      <c r="L26" s="87"/>
      <c r="M26" s="93"/>
      <c r="N26" s="93"/>
      <c r="O26" s="94"/>
      <c r="P26" s="94"/>
      <c r="Q26" s="94"/>
      <c r="R26" s="93"/>
      <c r="S26" s="87"/>
      <c r="T26" s="87"/>
      <c r="U26" s="91"/>
      <c r="V26" s="57" t="s">
        <v>282</v>
      </c>
      <c r="W26" s="57" t="s">
        <v>283</v>
      </c>
      <c r="X26" s="57" t="s">
        <v>284</v>
      </c>
      <c r="Y26" s="57" t="s">
        <v>285</v>
      </c>
      <c r="Z26" s="57" t="s">
        <v>286</v>
      </c>
    </row>
    <row r="27" spans="1:26" x14ac:dyDescent="0.25">
      <c r="A27" s="60">
        <v>0.86111111111111116</v>
      </c>
      <c r="B27" s="60">
        <v>0.94791666666666663</v>
      </c>
      <c r="C27" s="61" t="s">
        <v>31</v>
      </c>
      <c r="D27" s="61" t="s">
        <v>199</v>
      </c>
      <c r="E27" s="62">
        <v>1450</v>
      </c>
      <c r="F27" s="45" t="s">
        <v>227</v>
      </c>
      <c r="G27" s="45">
        <v>10</v>
      </c>
      <c r="H27" s="45">
        <v>0</v>
      </c>
      <c r="I27" s="45">
        <v>0</v>
      </c>
      <c r="J27" s="60"/>
      <c r="K27" s="45">
        <v>500</v>
      </c>
      <c r="L27" s="45">
        <v>1</v>
      </c>
      <c r="M27" s="45" t="s">
        <v>270</v>
      </c>
      <c r="N27" s="61"/>
      <c r="O27" s="56">
        <v>17.34</v>
      </c>
      <c r="P27" s="56"/>
      <c r="Q27" s="56"/>
      <c r="R27" s="56" t="s">
        <v>34</v>
      </c>
      <c r="S27" s="56"/>
      <c r="T27" s="62"/>
      <c r="U27" s="56" t="s">
        <v>293</v>
      </c>
      <c r="V27" s="56"/>
      <c r="W27" s="56"/>
      <c r="X27" s="56"/>
      <c r="Y27" s="56"/>
      <c r="Z27" s="56"/>
    </row>
    <row r="28" spans="1:26" x14ac:dyDescent="0.25">
      <c r="A28" s="64"/>
      <c r="B28" s="64"/>
      <c r="C28" s="61"/>
      <c r="D28" s="61"/>
      <c r="E28" s="62"/>
      <c r="F28" s="61"/>
      <c r="G28" s="62"/>
      <c r="H28" s="62"/>
      <c r="I28" s="62"/>
      <c r="J28" s="60"/>
      <c r="K28" s="62">
        <v>600</v>
      </c>
      <c r="L28" s="62">
        <v>1</v>
      </c>
      <c r="M28" s="45" t="s">
        <v>271</v>
      </c>
      <c r="N28" s="61"/>
      <c r="O28" s="65">
        <v>17.46</v>
      </c>
      <c r="P28" s="65"/>
      <c r="Q28" s="65"/>
      <c r="R28" s="61" t="s">
        <v>34</v>
      </c>
      <c r="S28" s="62"/>
      <c r="T28" s="62"/>
      <c r="U28" s="61" t="s">
        <v>293</v>
      </c>
      <c r="V28" s="45"/>
      <c r="W28" s="45"/>
      <c r="X28" s="45"/>
      <c r="Y28" s="45"/>
      <c r="Z28" s="45"/>
    </row>
    <row r="29" spans="1:26" x14ac:dyDescent="0.25">
      <c r="A29" s="64"/>
      <c r="B29" s="64"/>
      <c r="C29" s="61"/>
      <c r="D29" s="61"/>
      <c r="E29" s="62"/>
      <c r="F29" s="61"/>
      <c r="G29" s="62"/>
      <c r="H29" s="62"/>
      <c r="I29" s="62"/>
      <c r="J29" s="60"/>
      <c r="K29" s="62">
        <v>750</v>
      </c>
      <c r="L29" s="62">
        <v>1</v>
      </c>
      <c r="M29" s="45" t="s">
        <v>267</v>
      </c>
      <c r="N29" s="61"/>
      <c r="O29" s="65"/>
      <c r="P29" s="65"/>
      <c r="Q29" s="65"/>
      <c r="R29" s="61" t="s">
        <v>34</v>
      </c>
      <c r="S29" s="62"/>
      <c r="T29" s="62"/>
      <c r="U29" s="61"/>
      <c r="V29" s="45"/>
      <c r="W29" s="45"/>
      <c r="X29" s="45"/>
      <c r="Y29" s="45"/>
      <c r="Z29" s="45"/>
    </row>
    <row r="30" spans="1:26" x14ac:dyDescent="0.25">
      <c r="A30" s="64"/>
      <c r="B30" s="64"/>
      <c r="C30" s="61"/>
      <c r="D30" s="61"/>
      <c r="E30" s="62"/>
      <c r="F30" s="61"/>
      <c r="G30" s="62"/>
      <c r="H30" s="62"/>
      <c r="I30" s="62"/>
      <c r="J30" s="60"/>
      <c r="K30" s="62">
        <v>750</v>
      </c>
      <c r="L30" s="62">
        <v>2</v>
      </c>
      <c r="M30" s="45" t="s">
        <v>267</v>
      </c>
      <c r="N30" s="61"/>
      <c r="O30" s="65"/>
      <c r="P30" s="65"/>
      <c r="Q30" s="65"/>
      <c r="R30" s="61" t="s">
        <v>34</v>
      </c>
      <c r="S30" s="62"/>
      <c r="T30" s="62"/>
      <c r="U30" s="61"/>
      <c r="V30" s="45"/>
      <c r="W30" s="45"/>
      <c r="X30" s="45"/>
      <c r="Y30" s="45"/>
      <c r="Z30" s="45"/>
    </row>
    <row r="31" spans="1:26" x14ac:dyDescent="0.25">
      <c r="A31" s="64"/>
      <c r="B31" s="64"/>
      <c r="C31" s="61"/>
      <c r="D31" s="61"/>
      <c r="E31" s="62"/>
      <c r="F31" s="61"/>
      <c r="G31" s="62"/>
      <c r="H31" s="62"/>
      <c r="I31" s="62"/>
      <c r="J31" s="60"/>
      <c r="K31" s="62">
        <v>1400</v>
      </c>
      <c r="L31" s="62">
        <v>1</v>
      </c>
      <c r="M31" s="45" t="s">
        <v>270</v>
      </c>
      <c r="N31" s="61"/>
      <c r="O31" s="65">
        <v>17</v>
      </c>
      <c r="P31" s="65"/>
      <c r="Q31" s="65"/>
      <c r="R31" s="61" t="s">
        <v>34</v>
      </c>
      <c r="S31" s="62"/>
      <c r="T31" s="62"/>
      <c r="U31" s="61" t="s">
        <v>293</v>
      </c>
      <c r="V31" s="45"/>
      <c r="W31" s="45"/>
      <c r="X31" s="45"/>
      <c r="Y31" s="45"/>
      <c r="Z31" s="45"/>
    </row>
    <row r="32" spans="1:26" x14ac:dyDescent="0.25">
      <c r="A32" s="64">
        <v>0.36805555555555558</v>
      </c>
      <c r="B32" s="64">
        <v>0.43194444444444446</v>
      </c>
      <c r="C32" s="61" t="s">
        <v>31</v>
      </c>
      <c r="D32" s="61" t="s">
        <v>196</v>
      </c>
      <c r="E32" s="62">
        <v>1750</v>
      </c>
      <c r="F32" s="61" t="s">
        <v>227</v>
      </c>
      <c r="G32" s="62">
        <v>12</v>
      </c>
      <c r="H32" s="62">
        <v>0</v>
      </c>
      <c r="I32" s="62">
        <v>0</v>
      </c>
      <c r="J32" s="60"/>
      <c r="K32" s="62"/>
      <c r="L32" s="62"/>
      <c r="M32" s="45"/>
      <c r="N32" s="61"/>
      <c r="O32" s="65"/>
      <c r="P32" s="65"/>
      <c r="Q32" s="65"/>
      <c r="R32" s="61"/>
      <c r="S32" s="62"/>
      <c r="T32" s="62"/>
      <c r="U32" s="61" t="s">
        <v>294</v>
      </c>
      <c r="V32" s="45"/>
      <c r="W32" s="45"/>
      <c r="X32" s="45"/>
      <c r="Y32" s="45"/>
      <c r="Z32" s="45"/>
    </row>
    <row r="33" spans="1:26" x14ac:dyDescent="0.25">
      <c r="A33" s="60">
        <v>0.87013888888888891</v>
      </c>
      <c r="B33" s="60">
        <v>0.9194444444444444</v>
      </c>
      <c r="C33" s="61" t="s">
        <v>31</v>
      </c>
      <c r="D33" s="61" t="s">
        <v>275</v>
      </c>
      <c r="E33" s="62"/>
      <c r="F33" s="45" t="s">
        <v>227</v>
      </c>
      <c r="G33" s="45">
        <v>11</v>
      </c>
      <c r="H33" s="45">
        <v>0</v>
      </c>
      <c r="I33" s="45">
        <v>0</v>
      </c>
      <c r="J33" s="60"/>
      <c r="K33" s="62"/>
      <c r="L33" s="62"/>
      <c r="M33" s="45" t="s">
        <v>269</v>
      </c>
      <c r="N33" s="61"/>
      <c r="O33" s="65">
        <v>29.55</v>
      </c>
      <c r="P33" s="65"/>
      <c r="Q33" s="65">
        <v>4.5</v>
      </c>
      <c r="R33" s="61" t="s">
        <v>34</v>
      </c>
      <c r="S33" s="62"/>
      <c r="T33" s="62"/>
      <c r="U33" s="61"/>
      <c r="V33" s="45">
        <v>1764</v>
      </c>
      <c r="W33" s="45">
        <v>1765</v>
      </c>
      <c r="X33" s="45">
        <v>1766</v>
      </c>
      <c r="Y33" s="45" t="s">
        <v>295</v>
      </c>
      <c r="Z33" s="45" t="s">
        <v>296</v>
      </c>
    </row>
    <row r="34" spans="1:26" x14ac:dyDescent="0.25">
      <c r="A34" s="64"/>
      <c r="B34" s="64"/>
      <c r="C34" s="61"/>
      <c r="D34" s="61"/>
      <c r="E34" s="62"/>
      <c r="F34" s="61"/>
      <c r="G34" s="62"/>
      <c r="H34" s="62"/>
      <c r="I34" s="62"/>
      <c r="J34" s="60"/>
      <c r="K34" s="62"/>
      <c r="L34" s="62"/>
      <c r="M34" s="45" t="s">
        <v>268</v>
      </c>
      <c r="N34" s="61"/>
      <c r="O34" s="65">
        <v>48.53</v>
      </c>
      <c r="P34" s="65"/>
      <c r="Q34" s="65"/>
      <c r="R34" s="61" t="s">
        <v>34</v>
      </c>
      <c r="S34" s="62"/>
      <c r="T34" s="62"/>
      <c r="U34" s="61"/>
      <c r="V34" s="45">
        <v>1767</v>
      </c>
      <c r="W34" s="45">
        <v>1768</v>
      </c>
      <c r="X34" s="45">
        <v>1769</v>
      </c>
      <c r="Y34" s="45" t="s">
        <v>295</v>
      </c>
      <c r="Z34" s="45" t="s">
        <v>296</v>
      </c>
    </row>
    <row r="35" spans="1:26" x14ac:dyDescent="0.25">
      <c r="A35" s="64">
        <v>0.39305555555555555</v>
      </c>
      <c r="B35" s="64">
        <v>0.4548611111111111</v>
      </c>
      <c r="C35" s="61" t="s">
        <v>31</v>
      </c>
      <c r="D35" s="61" t="s">
        <v>197</v>
      </c>
      <c r="E35" s="62">
        <v>750</v>
      </c>
      <c r="F35" s="61" t="s">
        <v>227</v>
      </c>
      <c r="G35" s="62">
        <v>3</v>
      </c>
      <c r="H35" s="62">
        <v>0</v>
      </c>
      <c r="I35" s="62">
        <v>0</v>
      </c>
      <c r="J35" s="60"/>
      <c r="K35" s="62"/>
      <c r="L35" s="62"/>
      <c r="M35" s="45"/>
      <c r="N35" s="61"/>
      <c r="O35" s="65"/>
      <c r="P35" s="65"/>
      <c r="Q35" s="65"/>
      <c r="R35" s="61"/>
      <c r="S35" s="62"/>
      <c r="T35" s="62"/>
      <c r="U35" s="61" t="s">
        <v>297</v>
      </c>
      <c r="V35" s="45"/>
      <c r="W35" s="45"/>
      <c r="X35" s="45"/>
      <c r="Y35" s="45"/>
      <c r="Z35" s="45"/>
    </row>
    <row r="36" spans="1:26" x14ac:dyDescent="0.25">
      <c r="A36" s="64">
        <v>0.86805555555555547</v>
      </c>
      <c r="B36" s="64">
        <v>0.92361111111111116</v>
      </c>
      <c r="C36" s="61" t="s">
        <v>31</v>
      </c>
      <c r="D36" s="61" t="s">
        <v>198</v>
      </c>
      <c r="E36" s="62">
        <v>1000</v>
      </c>
      <c r="F36" s="61" t="s">
        <v>227</v>
      </c>
      <c r="G36" s="62">
        <v>8</v>
      </c>
      <c r="H36" s="62">
        <v>0</v>
      </c>
      <c r="I36" s="62">
        <v>0</v>
      </c>
      <c r="J36" s="60"/>
      <c r="K36" s="62">
        <v>250</v>
      </c>
      <c r="L36" s="62">
        <v>1</v>
      </c>
      <c r="M36" s="45" t="s">
        <v>266</v>
      </c>
      <c r="N36" s="61"/>
      <c r="O36" s="65">
        <v>29.09</v>
      </c>
      <c r="P36" s="65">
        <v>29.09</v>
      </c>
      <c r="Q36" s="65"/>
      <c r="R36" s="61" t="s">
        <v>34</v>
      </c>
      <c r="S36" s="62"/>
      <c r="T36" s="62"/>
      <c r="U36" s="61"/>
      <c r="V36" s="45"/>
      <c r="W36" s="45"/>
      <c r="X36" s="45"/>
      <c r="Y36" s="45"/>
      <c r="Z36" s="45"/>
    </row>
    <row r="37" spans="1:26" x14ac:dyDescent="0.25">
      <c r="A37" s="64"/>
      <c r="B37" s="64"/>
      <c r="C37" s="61"/>
      <c r="D37" s="61"/>
      <c r="E37" s="62"/>
      <c r="F37" s="61"/>
      <c r="G37" s="62"/>
      <c r="H37" s="62"/>
      <c r="I37" s="62"/>
      <c r="J37" s="60"/>
      <c r="K37" s="62">
        <v>650</v>
      </c>
      <c r="L37" s="62">
        <v>1</v>
      </c>
      <c r="M37" s="45" t="s">
        <v>266</v>
      </c>
      <c r="N37" s="61"/>
      <c r="O37" s="65">
        <v>40.76</v>
      </c>
      <c r="P37" s="65">
        <v>31.13</v>
      </c>
      <c r="Q37" s="65"/>
      <c r="R37" s="61" t="s">
        <v>34</v>
      </c>
      <c r="S37" s="62"/>
      <c r="T37" s="62"/>
      <c r="U37" s="61"/>
      <c r="V37" s="45"/>
      <c r="W37" s="45"/>
      <c r="X37" s="45"/>
      <c r="Y37" s="45"/>
      <c r="Z37" s="45"/>
    </row>
    <row r="38" spans="1:26" x14ac:dyDescent="0.25">
      <c r="A38" s="64">
        <v>0.86805555555555547</v>
      </c>
      <c r="B38" s="64">
        <v>0.95347222222222217</v>
      </c>
      <c r="C38" s="61" t="s">
        <v>31</v>
      </c>
      <c r="D38" s="61" t="s">
        <v>199</v>
      </c>
      <c r="E38" s="62">
        <v>2250</v>
      </c>
      <c r="F38" s="61" t="s">
        <v>227</v>
      </c>
      <c r="G38" s="62">
        <v>12</v>
      </c>
      <c r="H38" s="62">
        <v>0</v>
      </c>
      <c r="I38" s="62">
        <v>0</v>
      </c>
      <c r="J38" s="64"/>
      <c r="K38" s="62">
        <v>1870</v>
      </c>
      <c r="L38" s="62">
        <v>1</v>
      </c>
      <c r="M38" s="45" t="s">
        <v>271</v>
      </c>
      <c r="N38" s="61"/>
      <c r="O38" s="65">
        <v>18.75</v>
      </c>
      <c r="P38" s="65">
        <v>8.33</v>
      </c>
      <c r="Q38" s="65"/>
      <c r="R38" s="61" t="s">
        <v>34</v>
      </c>
      <c r="S38" s="62"/>
      <c r="T38" s="62"/>
      <c r="U38" s="61" t="s">
        <v>298</v>
      </c>
      <c r="V38" s="45"/>
      <c r="W38" s="45"/>
      <c r="X38" s="45"/>
      <c r="Y38" s="45"/>
      <c r="Z38" s="45"/>
    </row>
    <row r="39" spans="1:26" x14ac:dyDescent="0.25">
      <c r="A39" s="64"/>
      <c r="B39" s="64"/>
      <c r="C39" s="61"/>
      <c r="D39" s="61"/>
      <c r="E39" s="62"/>
      <c r="F39" s="61"/>
      <c r="G39" s="62"/>
      <c r="H39" s="62"/>
      <c r="I39" s="62"/>
      <c r="J39" s="64"/>
      <c r="K39" s="62">
        <v>1880</v>
      </c>
      <c r="L39" s="62">
        <v>1</v>
      </c>
      <c r="M39" s="61" t="s">
        <v>271</v>
      </c>
      <c r="N39" s="61"/>
      <c r="O39" s="65">
        <v>39.79</v>
      </c>
      <c r="P39" s="65"/>
      <c r="Q39" s="65"/>
      <c r="R39" s="61" t="s">
        <v>34</v>
      </c>
      <c r="S39" s="62"/>
      <c r="T39" s="62"/>
      <c r="U39" s="61"/>
      <c r="V39" s="45"/>
      <c r="W39" s="45"/>
      <c r="X39" s="45"/>
      <c r="Y39" s="45"/>
      <c r="Z39" s="45"/>
    </row>
    <row r="40" spans="1:26" x14ac:dyDescent="0.25">
      <c r="A40" s="64"/>
      <c r="B40" s="64"/>
      <c r="C40" s="61"/>
      <c r="D40" s="61"/>
      <c r="E40" s="62"/>
      <c r="F40" s="61"/>
      <c r="G40" s="62"/>
      <c r="H40" s="62"/>
      <c r="I40" s="62"/>
      <c r="J40" s="64"/>
      <c r="K40" s="62">
        <v>1880</v>
      </c>
      <c r="L40" s="62">
        <v>1</v>
      </c>
      <c r="M40" s="61" t="s">
        <v>270</v>
      </c>
      <c r="N40" s="61"/>
      <c r="O40" s="65">
        <v>16.57</v>
      </c>
      <c r="P40" s="65"/>
      <c r="Q40" s="65"/>
      <c r="R40" s="61" t="s">
        <v>34</v>
      </c>
      <c r="S40" s="62"/>
      <c r="T40" s="62"/>
      <c r="U40" s="61" t="s">
        <v>293</v>
      </c>
      <c r="V40" s="45"/>
      <c r="W40" s="45"/>
      <c r="X40" s="45"/>
      <c r="Y40" s="45"/>
      <c r="Z40" s="45"/>
    </row>
    <row r="41" spans="1:26" x14ac:dyDescent="0.25">
      <c r="A41" s="64"/>
      <c r="B41" s="64"/>
      <c r="C41" s="61"/>
      <c r="D41" s="61"/>
      <c r="E41" s="62"/>
      <c r="F41" s="61"/>
      <c r="G41" s="62"/>
      <c r="H41" s="62"/>
      <c r="I41" s="62"/>
      <c r="J41" s="64"/>
      <c r="K41" s="62">
        <v>1880</v>
      </c>
      <c r="L41" s="62">
        <v>1</v>
      </c>
      <c r="M41" s="61" t="s">
        <v>271</v>
      </c>
      <c r="N41" s="61"/>
      <c r="O41" s="65">
        <v>30.22</v>
      </c>
      <c r="P41" s="65"/>
      <c r="Q41" s="65"/>
      <c r="R41" s="61" t="s">
        <v>34</v>
      </c>
      <c r="S41" s="62"/>
      <c r="T41" s="62"/>
      <c r="U41" s="61"/>
      <c r="V41" s="45"/>
      <c r="W41" s="45"/>
      <c r="X41" s="45"/>
      <c r="Y41" s="45"/>
      <c r="Z41" s="45"/>
    </row>
  </sheetData>
  <mergeCells count="22">
    <mergeCell ref="S25:S26"/>
    <mergeCell ref="T25:T26"/>
    <mergeCell ref="U25:U26"/>
    <mergeCell ref="V25:Z25"/>
    <mergeCell ref="M25:M26"/>
    <mergeCell ref="N25:N26"/>
    <mergeCell ref="O25:O26"/>
    <mergeCell ref="P25:P26"/>
    <mergeCell ref="Q25:Q26"/>
    <mergeCell ref="R25:R26"/>
    <mergeCell ref="L25:L26"/>
    <mergeCell ref="A25:A26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</mergeCells>
  <dataValidations count="12">
    <dataValidation showInputMessage="1" showErrorMessage="1" sqref="F25:F41"/>
    <dataValidation type="list" allowBlank="1" showInputMessage="1" showErrorMessage="1" sqref="M27:M41">
      <formula1>Species</formula1>
    </dataValidation>
    <dataValidation type="whole" showInputMessage="1" showErrorMessage="1" sqref="I27:I41">
      <formula1>0</formula1>
      <formula2>1</formula2>
    </dataValidation>
    <dataValidation type="whole" allowBlank="1" showInputMessage="1" showErrorMessage="1" sqref="G27:G41">
      <formula1>0</formula1>
      <formula2>30</formula2>
    </dataValidation>
    <dataValidation type="whole" allowBlank="1" showInputMessage="1" showErrorMessage="1" sqref="K27:K41 E27:E41">
      <formula1>0</formula1>
      <formula2>4000</formula2>
    </dataValidation>
    <dataValidation type="list" showInputMessage="1" showErrorMessage="1" sqref="D27:D41">
      <formula1>Transect</formula1>
    </dataValidation>
    <dataValidation type="list" showInputMessage="1" showErrorMessage="1" sqref="C27:C41">
      <formula1>Camp</formula1>
    </dataValidation>
    <dataValidation type="time" showInputMessage="1" showErrorMessage="1" errorTitle="Time Input" error="Time must be input as 24hr format: 00:00 e.g. 3:17om would be 15:17" sqref="A27:B41 J27:J41">
      <formula1>0</formula1>
      <formula2>0.999305555555556</formula2>
    </dataValidation>
    <dataValidation type="whole" allowBlank="1" showInputMessage="1" showErrorMessage="1" sqref="H27:H41">
      <formula1>0</formula1>
      <formula2>1</formula2>
    </dataValidation>
    <dataValidation type="whole" allowBlank="1" showInputMessage="1" showErrorMessage="1" sqref="L25 L27:L41">
      <formula1>0</formula1>
      <formula2>200</formula2>
    </dataValidation>
    <dataValidation type="decimal" showInputMessage="1" showErrorMessage="1" sqref="O27:Q41">
      <formula1>0</formula1>
      <formula2>5000</formula2>
    </dataValidation>
    <dataValidation type="list" showInputMessage="1" showErrorMessage="1" sqref="R27:R41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2"/>
  <sheetViews>
    <sheetView topLeftCell="V1" workbookViewId="0">
      <pane ySplit="2" topLeftCell="A3" activePane="bottomLeft" state="frozen"/>
      <selection pane="bottomLeft" sqref="A1:A2"/>
    </sheetView>
  </sheetViews>
  <sheetFormatPr defaultRowHeight="15" x14ac:dyDescent="0.25"/>
  <cols>
    <col min="1" max="1" width="13.7109375" style="63" customWidth="1"/>
    <col min="2" max="2" width="11.42578125" style="64" bestFit="1" customWidth="1"/>
    <col min="3" max="3" width="11.42578125" style="64" customWidth="1"/>
    <col min="4" max="4" width="16.85546875" style="61" customWidth="1"/>
    <col min="5" max="5" width="14.5703125" style="61" bestFit="1" customWidth="1"/>
    <col min="6" max="6" width="15.28515625" style="62" bestFit="1" customWidth="1"/>
    <col min="7" max="7" width="15.28515625" style="61" bestFit="1" customWidth="1"/>
    <col min="8" max="8" width="13.140625" style="62" bestFit="1" customWidth="1"/>
    <col min="9" max="9" width="10.85546875" style="62" bestFit="1" customWidth="1"/>
    <col min="10" max="10" width="11.7109375" style="62" bestFit="1" customWidth="1"/>
    <col min="11" max="11" width="13.42578125" style="64" customWidth="1"/>
    <col min="12" max="12" width="15.28515625" style="62" bestFit="1" customWidth="1"/>
    <col min="13" max="13" width="15.28515625" style="62" customWidth="1"/>
    <col min="14" max="14" width="16.7109375" style="61" bestFit="1" customWidth="1"/>
    <col min="15" max="15" width="16.7109375" style="61" customWidth="1"/>
    <col min="16" max="17" width="16.7109375" style="45" customWidth="1"/>
    <col min="18" max="18" width="37.28515625" style="47" customWidth="1"/>
    <col min="19" max="19" width="16.7109375" style="47" customWidth="1"/>
    <col min="20" max="20" width="10.140625" style="65" bestFit="1" customWidth="1"/>
    <col min="21" max="21" width="11" style="65" bestFit="1" customWidth="1"/>
    <col min="22" max="22" width="11.42578125" style="65" bestFit="1" customWidth="1"/>
    <col min="23" max="23" width="8.85546875" style="58" customWidth="1"/>
    <col min="24" max="24" width="10.140625" style="61" bestFit="1" customWidth="1"/>
    <col min="25" max="25" width="13.85546875" style="62" bestFit="1" customWidth="1"/>
    <col min="26" max="26" width="13.42578125" style="62" bestFit="1" customWidth="1"/>
    <col min="27" max="27" width="12.28515625" style="61" bestFit="1" customWidth="1"/>
    <col min="28" max="28" width="12.28515625" style="61" customWidth="1"/>
    <col min="29" max="32" width="9.140625" style="45"/>
    <col min="33" max="33" width="14.28515625" style="45" customWidth="1"/>
    <col min="34" max="16384" width="9.140625" style="45"/>
  </cols>
  <sheetData>
    <row r="1" spans="1:38" ht="15" customHeight="1" x14ac:dyDescent="0.25">
      <c r="A1" s="96" t="s">
        <v>15</v>
      </c>
      <c r="B1" s="88" t="s">
        <v>236</v>
      </c>
      <c r="C1" s="88" t="s">
        <v>237</v>
      </c>
      <c r="D1" s="89" t="s">
        <v>0</v>
      </c>
      <c r="E1" s="89" t="s">
        <v>1</v>
      </c>
      <c r="F1" s="89" t="s">
        <v>273</v>
      </c>
      <c r="G1" s="89" t="s">
        <v>2</v>
      </c>
      <c r="H1" s="90" t="s">
        <v>3</v>
      </c>
      <c r="I1" s="90" t="s">
        <v>7</v>
      </c>
      <c r="J1" s="90" t="s">
        <v>8</v>
      </c>
      <c r="K1" s="87" t="s">
        <v>287</v>
      </c>
      <c r="L1" s="87" t="s">
        <v>220</v>
      </c>
      <c r="M1" s="87" t="s">
        <v>235</v>
      </c>
      <c r="N1" s="93" t="s">
        <v>4</v>
      </c>
      <c r="O1" s="93" t="s">
        <v>16</v>
      </c>
      <c r="P1" s="73"/>
      <c r="Q1" s="73"/>
      <c r="R1" s="74"/>
      <c r="S1" s="74"/>
      <c r="T1" s="94" t="s">
        <v>9</v>
      </c>
      <c r="U1" s="94" t="s">
        <v>10</v>
      </c>
      <c r="V1" s="94" t="s">
        <v>11</v>
      </c>
      <c r="W1" s="75"/>
      <c r="X1" s="93" t="s">
        <v>5</v>
      </c>
      <c r="Y1" s="87" t="s">
        <v>13</v>
      </c>
      <c r="Z1" s="87" t="s">
        <v>14</v>
      </c>
      <c r="AA1" s="91" t="s">
        <v>6</v>
      </c>
      <c r="AB1" s="85" t="s">
        <v>411</v>
      </c>
      <c r="AC1" s="92" t="s">
        <v>281</v>
      </c>
      <c r="AD1" s="92"/>
      <c r="AE1" s="92"/>
      <c r="AF1" s="92"/>
      <c r="AG1" s="92"/>
      <c r="AH1" s="95"/>
      <c r="AI1" s="95"/>
      <c r="AJ1" s="95"/>
      <c r="AK1" s="95"/>
      <c r="AL1" s="95"/>
    </row>
    <row r="2" spans="1:38" s="44" customFormat="1" ht="90" x14ac:dyDescent="0.25">
      <c r="A2" s="96"/>
      <c r="B2" s="88"/>
      <c r="C2" s="88"/>
      <c r="D2" s="89"/>
      <c r="E2" s="89"/>
      <c r="F2" s="89"/>
      <c r="G2" s="89"/>
      <c r="H2" s="90"/>
      <c r="I2" s="90"/>
      <c r="J2" s="90"/>
      <c r="K2" s="87"/>
      <c r="L2" s="87"/>
      <c r="M2" s="87"/>
      <c r="N2" s="93"/>
      <c r="O2" s="93"/>
      <c r="P2" s="76" t="s">
        <v>18</v>
      </c>
      <c r="Q2" s="76" t="s">
        <v>19</v>
      </c>
      <c r="R2" s="77" t="s">
        <v>20</v>
      </c>
      <c r="S2" s="77" t="s">
        <v>21</v>
      </c>
      <c r="T2" s="94"/>
      <c r="U2" s="94"/>
      <c r="V2" s="94"/>
      <c r="W2" s="78" t="s">
        <v>12</v>
      </c>
      <c r="X2" s="93"/>
      <c r="Y2" s="87"/>
      <c r="Z2" s="87"/>
      <c r="AA2" s="91"/>
      <c r="AB2" s="86" t="s">
        <v>412</v>
      </c>
      <c r="AC2" s="57" t="s">
        <v>282</v>
      </c>
      <c r="AD2" s="57" t="s">
        <v>283</v>
      </c>
      <c r="AE2" s="57" t="s">
        <v>284</v>
      </c>
      <c r="AF2" s="57" t="s">
        <v>285</v>
      </c>
      <c r="AG2" s="57" t="s">
        <v>286</v>
      </c>
      <c r="AH2" s="95"/>
      <c r="AI2" s="95"/>
      <c r="AJ2" s="95"/>
      <c r="AK2" s="95"/>
      <c r="AL2" s="95"/>
    </row>
    <row r="3" spans="1:38" x14ac:dyDescent="0.25">
      <c r="A3" s="59">
        <v>42165</v>
      </c>
      <c r="B3" s="60">
        <v>0.10416666666666667</v>
      </c>
      <c r="C3" s="60">
        <v>0.14930555555555555</v>
      </c>
      <c r="D3" s="61" t="s">
        <v>414</v>
      </c>
      <c r="E3" s="61" t="s">
        <v>194</v>
      </c>
      <c r="F3" s="62">
        <v>2</v>
      </c>
      <c r="G3" s="45"/>
      <c r="H3" s="45"/>
      <c r="I3" s="45"/>
      <c r="J3" s="45"/>
      <c r="K3" s="60">
        <v>0.10416666666666667</v>
      </c>
      <c r="L3" s="45"/>
      <c r="M3" s="45"/>
      <c r="N3" s="45" t="s">
        <v>317</v>
      </c>
      <c r="P3" s="45" t="str">
        <f t="shared" ref="P3:P5" si="0">IF(ISBLANK(N3),CONCATENATE(N3,O3),N3)</f>
        <v>Bolitoglossa mexicana</v>
      </c>
      <c r="Q3" s="45">
        <f t="shared" ref="Q3:Q5" si="1">IF(AND(ISBLANK(N3),ISBLANK(O3)),"",FIND(" ",P3))</f>
        <v>13</v>
      </c>
      <c r="R3" s="47" t="str">
        <f t="shared" ref="R3:R5" si="2">IF(AND(ISBLANK(N3),ISBLANK(O3)),"",MID(P3,1,Q3))</f>
        <v xml:space="preserve">Bolitoglossa </v>
      </c>
      <c r="S3" s="47" t="str">
        <f t="shared" ref="S3:S5" si="3">IF(AND(ISBLANK(N3),ISBLANK(O3)),"",MID(P3,Q3+1,99))</f>
        <v>mexicana</v>
      </c>
      <c r="T3" s="97">
        <v>1</v>
      </c>
      <c r="U3" s="97">
        <v>2</v>
      </c>
      <c r="V3" s="97">
        <v>2</v>
      </c>
      <c r="W3" s="97">
        <f t="shared" ref="W3:W6" si="4">IF(ISBLANK(T3),"",IF(ISBLANK(U3),T3,T3+U3))</f>
        <v>3</v>
      </c>
      <c r="X3" s="56" t="s">
        <v>32</v>
      </c>
      <c r="Y3" s="97">
        <v>1</v>
      </c>
      <c r="Z3" s="62">
        <v>1</v>
      </c>
      <c r="AA3" s="56">
        <v>1</v>
      </c>
      <c r="AB3" s="56">
        <v>1</v>
      </c>
      <c r="AC3" s="56">
        <v>1</v>
      </c>
      <c r="AD3" s="56">
        <v>1</v>
      </c>
      <c r="AE3" s="56">
        <v>1</v>
      </c>
      <c r="AF3" s="56">
        <v>1</v>
      </c>
      <c r="AG3" s="56">
        <v>1</v>
      </c>
    </row>
    <row r="4" spans="1:38" x14ac:dyDescent="0.25">
      <c r="P4" s="45" t="str">
        <f t="shared" si="0"/>
        <v/>
      </c>
      <c r="Q4" s="45" t="str">
        <f t="shared" si="1"/>
        <v/>
      </c>
      <c r="R4" s="47" t="str">
        <f t="shared" si="2"/>
        <v/>
      </c>
      <c r="S4" s="47" t="str">
        <f t="shared" si="3"/>
        <v/>
      </c>
      <c r="W4" s="97" t="str">
        <f t="shared" si="4"/>
        <v/>
      </c>
    </row>
    <row r="5" spans="1:38" x14ac:dyDescent="0.25">
      <c r="P5" s="45" t="str">
        <f t="shared" si="0"/>
        <v/>
      </c>
      <c r="Q5" s="45" t="str">
        <f t="shared" si="1"/>
        <v/>
      </c>
      <c r="R5" s="47" t="str">
        <f t="shared" si="2"/>
        <v/>
      </c>
      <c r="S5" s="47" t="str">
        <f t="shared" si="3"/>
        <v/>
      </c>
      <c r="W5" s="97" t="str">
        <f t="shared" si="4"/>
        <v/>
      </c>
    </row>
    <row r="6" spans="1:38" x14ac:dyDescent="0.25">
      <c r="P6" s="45" t="str">
        <f t="shared" ref="P6:P12" si="5">IF(ISBLANK(N6),CONCATENATE(N6,O6),N6)</f>
        <v/>
      </c>
      <c r="Q6" s="45" t="str">
        <f t="shared" ref="Q6:Q12" si="6">IF(AND(ISBLANK(N6),ISBLANK(O6)),"",FIND(" ",P6))</f>
        <v/>
      </c>
      <c r="R6" s="47" t="str">
        <f t="shared" ref="R6:R12" si="7">IF(AND(ISBLANK(N6),ISBLANK(O6)),"",MID(P6,1,Q6))</f>
        <v/>
      </c>
      <c r="S6" s="47" t="str">
        <f t="shared" ref="S6:S12" si="8">IF(AND(ISBLANK(N6),ISBLANK(O6)),"",MID(P6,Q6+1,99))</f>
        <v/>
      </c>
      <c r="W6" s="97" t="str">
        <f t="shared" si="4"/>
        <v/>
      </c>
    </row>
    <row r="7" spans="1:38" x14ac:dyDescent="0.25">
      <c r="A7" s="63">
        <v>42162</v>
      </c>
      <c r="B7" s="64">
        <v>0.11458333333333333</v>
      </c>
      <c r="C7" s="64">
        <v>0.20486111111111113</v>
      </c>
      <c r="K7" s="64">
        <v>6.25E-2</v>
      </c>
      <c r="N7" s="61" t="s">
        <v>300</v>
      </c>
      <c r="P7" s="45" t="str">
        <f t="shared" si="5"/>
        <v>Bolitoglossa diaphora</v>
      </c>
      <c r="Q7" s="45">
        <f t="shared" si="6"/>
        <v>13</v>
      </c>
      <c r="R7" s="47" t="str">
        <f t="shared" si="7"/>
        <v xml:space="preserve">Bolitoglossa </v>
      </c>
      <c r="S7" s="47" t="str">
        <f t="shared" si="8"/>
        <v>diaphora</v>
      </c>
      <c r="T7" s="65">
        <v>1</v>
      </c>
      <c r="U7" s="65">
        <v>1</v>
      </c>
      <c r="V7" s="65">
        <v>1</v>
      </c>
      <c r="W7" s="97">
        <f t="shared" ref="W6:W11" si="9">IF(ISBLANK(T7),"",IF(ISBLANK(U7),T7,T7+U7))</f>
        <v>2</v>
      </c>
    </row>
    <row r="8" spans="1:38" x14ac:dyDescent="0.25">
      <c r="P8" s="45" t="str">
        <f t="shared" si="5"/>
        <v/>
      </c>
      <c r="Q8" s="45" t="str">
        <f t="shared" si="6"/>
        <v/>
      </c>
      <c r="R8" s="47" t="str">
        <f t="shared" si="7"/>
        <v/>
      </c>
      <c r="S8" s="47" t="str">
        <f t="shared" si="8"/>
        <v/>
      </c>
      <c r="W8" s="97" t="str">
        <f t="shared" si="9"/>
        <v/>
      </c>
    </row>
    <row r="9" spans="1:38" x14ac:dyDescent="0.25">
      <c r="P9" s="45" t="str">
        <f t="shared" si="5"/>
        <v/>
      </c>
      <c r="Q9" s="45" t="str">
        <f t="shared" si="6"/>
        <v/>
      </c>
      <c r="R9" s="47" t="str">
        <f t="shared" si="7"/>
        <v/>
      </c>
      <c r="S9" s="47" t="str">
        <f t="shared" si="8"/>
        <v/>
      </c>
      <c r="W9" s="97" t="str">
        <f t="shared" si="9"/>
        <v/>
      </c>
    </row>
    <row r="10" spans="1:38" x14ac:dyDescent="0.25">
      <c r="P10" s="45" t="str">
        <f t="shared" si="5"/>
        <v/>
      </c>
      <c r="Q10" s="45" t="str">
        <f t="shared" si="6"/>
        <v/>
      </c>
      <c r="R10" s="47" t="str">
        <f t="shared" si="7"/>
        <v/>
      </c>
      <c r="S10" s="47" t="str">
        <f t="shared" si="8"/>
        <v/>
      </c>
      <c r="W10" s="97" t="str">
        <f t="shared" si="9"/>
        <v/>
      </c>
    </row>
    <row r="11" spans="1:38" x14ac:dyDescent="0.25">
      <c r="P11" s="45" t="str">
        <f t="shared" si="5"/>
        <v/>
      </c>
      <c r="Q11" s="45" t="str">
        <f t="shared" si="6"/>
        <v/>
      </c>
      <c r="R11" s="47" t="str">
        <f t="shared" si="7"/>
        <v/>
      </c>
      <c r="S11" s="47" t="str">
        <f t="shared" si="8"/>
        <v/>
      </c>
      <c r="W11" s="97" t="str">
        <f t="shared" si="9"/>
        <v/>
      </c>
    </row>
    <row r="12" spans="1:38" x14ac:dyDescent="0.25">
      <c r="P12" s="45" t="str">
        <f t="shared" si="5"/>
        <v/>
      </c>
      <c r="Q12" s="45" t="str">
        <f t="shared" si="6"/>
        <v/>
      </c>
      <c r="R12" s="47" t="str">
        <f t="shared" si="7"/>
        <v/>
      </c>
      <c r="S12" s="47" t="str">
        <f t="shared" si="8"/>
        <v/>
      </c>
    </row>
  </sheetData>
  <mergeCells count="28">
    <mergeCell ref="D1:D2"/>
    <mergeCell ref="C1:C2"/>
    <mergeCell ref="B1:B2"/>
    <mergeCell ref="A1:A2"/>
    <mergeCell ref="AH1:AH2"/>
    <mergeCell ref="L1:L2"/>
    <mergeCell ref="J1:J2"/>
    <mergeCell ref="I1:I2"/>
    <mergeCell ref="H1:H2"/>
    <mergeCell ref="G1:G2"/>
    <mergeCell ref="F1:F2"/>
    <mergeCell ref="V1:V2"/>
    <mergeCell ref="U1:U2"/>
    <mergeCell ref="T1:T2"/>
    <mergeCell ref="O1:O2"/>
    <mergeCell ref="N1:N2"/>
    <mergeCell ref="AI1:AI2"/>
    <mergeCell ref="AJ1:AJ2"/>
    <mergeCell ref="AK1:AK2"/>
    <mergeCell ref="AL1:AL2"/>
    <mergeCell ref="E1:E2"/>
    <mergeCell ref="M1:M2"/>
    <mergeCell ref="AC1:AG1"/>
    <mergeCell ref="AA1:AA2"/>
    <mergeCell ref="Z1:Z2"/>
    <mergeCell ref="Y1:Y2"/>
    <mergeCell ref="X1:X2"/>
    <mergeCell ref="K1:K2"/>
  </mergeCells>
  <dataValidations count="13">
    <dataValidation type="whole" allowBlank="1" showInputMessage="1" showErrorMessage="1" sqref="M1 M3:M1048576">
      <formula1>0</formula1>
      <formula2>200</formula2>
    </dataValidation>
    <dataValidation type="whole" allowBlank="1" showInputMessage="1" showErrorMessage="1" sqref="I3:I1048576">
      <formula1>0</formula1>
      <formula2>1</formula2>
    </dataValidation>
    <dataValidation type="time" showInputMessage="1" showErrorMessage="1" errorTitle="Time Input" error="Time must be input as 24hr format: 00:00 e.g. 3:17om would be 15:17" sqref="K3:K1048576 B3:C1048576">
      <formula1>0</formula1>
      <formula2>0.999305555555556</formula2>
    </dataValidation>
    <dataValidation type="list" showInputMessage="1" showErrorMessage="1" sqref="A3:A1048576">
      <formula1>Date2013</formula1>
    </dataValidation>
    <dataValidation type="list" showInputMessage="1" showErrorMessage="1" sqref="D3:D1048576">
      <formula1>Camp</formula1>
    </dataValidation>
    <dataValidation type="list" showInputMessage="1" showErrorMessage="1" sqref="E3:E1048576">
      <formula1>Transect</formula1>
    </dataValidation>
    <dataValidation type="whole" allowBlank="1" showInputMessage="1" showErrorMessage="1" sqref="F3:F1048576 L3:L1048576">
      <formula1>0</formula1>
      <formula2>4000</formula2>
    </dataValidation>
    <dataValidation type="whole" allowBlank="1" showInputMessage="1" showErrorMessage="1" sqref="H3:H1048576">
      <formula1>0</formula1>
      <formula2>30</formula2>
    </dataValidation>
    <dataValidation type="list" showInputMessage="1" showErrorMessage="1" sqref="X3:X1048576">
      <formula1>Sex</formula1>
    </dataValidation>
    <dataValidation type="whole" showInputMessage="1" showErrorMessage="1" sqref="J3:J1048576">
      <formula1>0</formula1>
      <formula2>1</formula2>
    </dataValidation>
    <dataValidation type="decimal" showInputMessage="1" showErrorMessage="1" sqref="T3:V1048576">
      <formula1>0</formula1>
      <formula2>5000</formula2>
    </dataValidation>
    <dataValidation type="list" allowBlank="1" showInputMessage="1" showErrorMessage="1" sqref="N3:N1048576">
      <formula1>Species</formula1>
    </dataValidation>
    <dataValidation showInputMessage="1" showErrorMessage="1" sqref="G1:G1048576"/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3"/>
  <sheetViews>
    <sheetView workbookViewId="0"/>
  </sheetViews>
  <sheetFormatPr defaultRowHeight="15" x14ac:dyDescent="0.25"/>
  <cols>
    <col min="1" max="1" width="15.42578125" style="40" customWidth="1"/>
    <col min="2" max="2" width="11.42578125" style="40" customWidth="1"/>
    <col min="3" max="3" width="13.7109375" style="19" customWidth="1"/>
    <col min="4" max="4" width="11.42578125" style="33" bestFit="1" customWidth="1"/>
    <col min="5" max="5" width="14.28515625" style="33" customWidth="1"/>
    <col min="6" max="6" width="16.85546875" style="35" customWidth="1"/>
    <col min="7" max="7" width="14.5703125" style="35" bestFit="1" customWidth="1"/>
    <col min="8" max="8" width="15.28515625" style="35" bestFit="1" customWidth="1"/>
    <col min="9" max="9" width="13.140625" style="37" bestFit="1" customWidth="1"/>
    <col min="10" max="10" width="10.85546875" style="37" bestFit="1" customWidth="1"/>
    <col min="11" max="11" width="11.7109375" style="37" bestFit="1" customWidth="1"/>
  </cols>
  <sheetData>
    <row r="1" spans="1:11" x14ac:dyDescent="0.25">
      <c r="A1" s="18" t="s">
        <v>238</v>
      </c>
      <c r="B1" s="18" t="s">
        <v>239</v>
      </c>
      <c r="C1" s="18" t="s">
        <v>240</v>
      </c>
      <c r="D1" s="32" t="s">
        <v>241</v>
      </c>
      <c r="E1" s="32" t="s">
        <v>242</v>
      </c>
      <c r="F1" s="34" t="s">
        <v>243</v>
      </c>
      <c r="G1" s="34" t="s">
        <v>244</v>
      </c>
      <c r="H1" s="34" t="s">
        <v>245</v>
      </c>
      <c r="I1" s="36" t="s">
        <v>246</v>
      </c>
      <c r="J1" s="36" t="s">
        <v>247</v>
      </c>
      <c r="K1" s="36" t="s">
        <v>248</v>
      </c>
    </row>
    <row r="2" spans="1:11" x14ac:dyDescent="0.25">
      <c r="A2" s="40">
        <v>9000</v>
      </c>
      <c r="B2" s="40">
        <f>IF(C2="","",2015)</f>
        <v>2015</v>
      </c>
      <c r="C2" s="48">
        <f>IF(ISBLANK(Data!A3),"",Data!A3)</f>
        <v>42165</v>
      </c>
      <c r="D2" s="46">
        <f>IF(ISBLANK(Data!B3),"",Data!B3)</f>
        <v>0.10416666666666667</v>
      </c>
      <c r="E2" s="46">
        <f>IF(ISBLANK(Data!C3),"",Data!C3)</f>
        <v>0.14930555555555555</v>
      </c>
      <c r="F2" s="49" t="str">
        <f>IF(ISBLANK(Data!D3),"",Data!D3)</f>
        <v>Capuca</v>
      </c>
      <c r="G2" s="49" t="str">
        <f>IF(ISBLANK(Data!E3),"",Data!E3)</f>
        <v>BA3</v>
      </c>
      <c r="H2" s="49" t="str">
        <f>IF(ISBLANK(Data!G3),"",Data!G3)</f>
        <v/>
      </c>
      <c r="I2" s="40" t="str">
        <f>IF(ISBLANK(Data!H3),"",Data!H3)</f>
        <v/>
      </c>
      <c r="J2" s="40" t="str">
        <f>IF(ISBLANK(Data!I3),"",Data!I3)</f>
        <v/>
      </c>
      <c r="K2" s="40" t="str">
        <f>IF(ISBLANK(Data!J3),"",Data!J3)</f>
        <v/>
      </c>
    </row>
    <row r="3" spans="1:11" x14ac:dyDescent="0.25">
      <c r="A3" s="40">
        <f>IF(B3="",A2,A2+1)</f>
        <v>9000</v>
      </c>
      <c r="B3" s="40" t="str">
        <f t="shared" ref="B3:B12" si="0">IF(C3="","",2015)</f>
        <v/>
      </c>
      <c r="C3" s="48" t="str">
        <f>IF(ISBLANK(Data!A4),"",Data!A4)</f>
        <v/>
      </c>
      <c r="D3" s="46" t="str">
        <f>IF(ISBLANK(Data!B4),"",Data!B4)</f>
        <v/>
      </c>
      <c r="E3" s="46" t="str">
        <f>IF(ISBLANK(Data!C4),"",Data!C4)</f>
        <v/>
      </c>
      <c r="F3" s="49" t="str">
        <f>IF(ISBLANK(Data!D4),"",Data!D4)</f>
        <v/>
      </c>
      <c r="G3" s="49" t="str">
        <f>IF(ISBLANK(Data!E4),"",Data!E4)</f>
        <v/>
      </c>
      <c r="H3" s="49" t="str">
        <f>IF(ISBLANK(Data!G4),"",Data!G4)</f>
        <v/>
      </c>
      <c r="I3" s="40" t="str">
        <f>IF(ISBLANK(Data!H4),"",Data!H4)</f>
        <v/>
      </c>
      <c r="J3" s="40" t="str">
        <f>IF(ISBLANK(Data!I4),"",Data!I4)</f>
        <v/>
      </c>
      <c r="K3" s="40" t="str">
        <f>IF(ISBLANK(Data!J4),"",Data!J4)</f>
        <v/>
      </c>
    </row>
    <row r="4" spans="1:11" x14ac:dyDescent="0.25">
      <c r="A4" s="40">
        <f t="shared" ref="A4:A13" si="1">IF(B4="",A3,A3+1)</f>
        <v>9000</v>
      </c>
      <c r="B4" s="40" t="str">
        <f t="shared" si="0"/>
        <v/>
      </c>
      <c r="C4" s="48" t="str">
        <f>IF(ISBLANK(Data!A5),"",Data!A5)</f>
        <v/>
      </c>
      <c r="D4" s="46" t="str">
        <f>IF(ISBLANK(Data!B5),"",Data!B5)</f>
        <v/>
      </c>
      <c r="E4" s="46" t="str">
        <f>IF(ISBLANK(Data!C5),"",Data!C5)</f>
        <v/>
      </c>
      <c r="F4" s="49" t="str">
        <f>IF(ISBLANK(Data!D5),"",Data!D5)</f>
        <v/>
      </c>
      <c r="G4" s="49" t="str">
        <f>IF(ISBLANK(Data!E5),"",Data!E5)</f>
        <v/>
      </c>
      <c r="H4" s="49" t="str">
        <f>IF(ISBLANK(Data!G5),"",Data!G5)</f>
        <v/>
      </c>
      <c r="I4" s="40" t="str">
        <f>IF(ISBLANK(Data!H5),"",Data!H5)</f>
        <v/>
      </c>
      <c r="J4" s="40" t="str">
        <f>IF(ISBLANK(Data!I5),"",Data!I5)</f>
        <v/>
      </c>
      <c r="K4" s="40" t="str">
        <f>IF(ISBLANK(Data!J5),"",Data!J5)</f>
        <v/>
      </c>
    </row>
    <row r="5" spans="1:11" x14ac:dyDescent="0.25">
      <c r="A5" s="40">
        <f t="shared" si="1"/>
        <v>9000</v>
      </c>
      <c r="B5" s="40" t="str">
        <f t="shared" si="0"/>
        <v/>
      </c>
      <c r="C5" s="48" t="str">
        <f>IF(ISBLANK(Data!A6),"",Data!A6)</f>
        <v/>
      </c>
      <c r="D5" s="46" t="str">
        <f>IF(ISBLANK(Data!B6),"",Data!B6)</f>
        <v/>
      </c>
      <c r="E5" s="46" t="str">
        <f>IF(ISBLANK(Data!C6),"",Data!C6)</f>
        <v/>
      </c>
      <c r="F5" s="49" t="str">
        <f>IF(ISBLANK(Data!D6),"",Data!D6)</f>
        <v/>
      </c>
      <c r="G5" s="49" t="str">
        <f>IF(ISBLANK(Data!E6),"",Data!E6)</f>
        <v/>
      </c>
      <c r="H5" s="49" t="str">
        <f>IF(ISBLANK(Data!G6),"",Data!G6)</f>
        <v/>
      </c>
      <c r="I5" s="40" t="str">
        <f>IF(ISBLANK(Data!H6),"",Data!H6)</f>
        <v/>
      </c>
      <c r="J5" s="40" t="str">
        <f>IF(ISBLANK(Data!I6),"",Data!I6)</f>
        <v/>
      </c>
      <c r="K5" s="40" t="str">
        <f>IF(ISBLANK(Data!J6),"",Data!J6)</f>
        <v/>
      </c>
    </row>
    <row r="6" spans="1:11" x14ac:dyDescent="0.25">
      <c r="A6" s="40">
        <f t="shared" si="1"/>
        <v>9001</v>
      </c>
      <c r="B6" s="40">
        <f t="shared" si="0"/>
        <v>2015</v>
      </c>
      <c r="C6" s="48">
        <f>IF(ISBLANK(Data!A7),"",Data!A7)</f>
        <v>42162</v>
      </c>
      <c r="D6" s="46">
        <f>IF(ISBLANK(Data!B7),"",Data!B7)</f>
        <v>0.11458333333333333</v>
      </c>
      <c r="E6" s="46">
        <f>IF(ISBLANK(Data!C7),"",Data!C7)</f>
        <v>0.20486111111111113</v>
      </c>
      <c r="F6" s="49" t="str">
        <f>IF(ISBLANK(Data!D7),"",Data!D7)</f>
        <v/>
      </c>
      <c r="G6" s="49" t="str">
        <f>IF(ISBLANK(Data!E7),"",Data!E7)</f>
        <v/>
      </c>
      <c r="H6" s="49" t="str">
        <f>IF(ISBLANK(Data!G7),"",Data!G7)</f>
        <v/>
      </c>
      <c r="I6" s="40" t="str">
        <f>IF(ISBLANK(Data!H7),"",Data!H7)</f>
        <v/>
      </c>
      <c r="J6" s="40" t="str">
        <f>IF(ISBLANK(Data!I7),"",Data!I7)</f>
        <v/>
      </c>
      <c r="K6" s="40" t="str">
        <f>IF(ISBLANK(Data!J7),"",Data!J7)</f>
        <v/>
      </c>
    </row>
    <row r="7" spans="1:11" x14ac:dyDescent="0.25">
      <c r="A7" s="40">
        <f t="shared" si="1"/>
        <v>9001</v>
      </c>
      <c r="B7" s="40" t="str">
        <f t="shared" si="0"/>
        <v/>
      </c>
      <c r="C7" s="48" t="str">
        <f>IF(ISBLANK(Data!A8),"",Data!A8)</f>
        <v/>
      </c>
      <c r="D7" s="46" t="str">
        <f>IF(ISBLANK(Data!B8),"",Data!B8)</f>
        <v/>
      </c>
      <c r="E7" s="46" t="str">
        <f>IF(ISBLANK(Data!C8),"",Data!C8)</f>
        <v/>
      </c>
      <c r="F7" s="49" t="str">
        <f>IF(ISBLANK(Data!D8),"",Data!D8)</f>
        <v/>
      </c>
      <c r="G7" s="49" t="str">
        <f>IF(ISBLANK(Data!E8),"",Data!E8)</f>
        <v/>
      </c>
      <c r="H7" s="49" t="str">
        <f>IF(ISBLANK(Data!G8),"",Data!G8)</f>
        <v/>
      </c>
      <c r="I7" s="40" t="str">
        <f>IF(ISBLANK(Data!H8),"",Data!H8)</f>
        <v/>
      </c>
      <c r="J7" s="40" t="str">
        <f>IF(ISBLANK(Data!I8),"",Data!I8)</f>
        <v/>
      </c>
      <c r="K7" s="40" t="str">
        <f>IF(ISBLANK(Data!J8),"",Data!J8)</f>
        <v/>
      </c>
    </row>
    <row r="8" spans="1:11" x14ac:dyDescent="0.25">
      <c r="A8" s="40">
        <f t="shared" si="1"/>
        <v>9001</v>
      </c>
      <c r="B8" s="40" t="str">
        <f t="shared" si="0"/>
        <v/>
      </c>
      <c r="C8" s="48" t="str">
        <f>IF(ISBLANK(Data!A9),"",Data!A9)</f>
        <v/>
      </c>
      <c r="D8" s="46" t="str">
        <f>IF(ISBLANK(Data!B9),"",Data!B9)</f>
        <v/>
      </c>
      <c r="E8" s="46" t="str">
        <f>IF(ISBLANK(Data!C9),"",Data!C9)</f>
        <v/>
      </c>
      <c r="F8" s="49" t="str">
        <f>IF(ISBLANK(Data!D9),"",Data!D9)</f>
        <v/>
      </c>
      <c r="G8" s="49" t="str">
        <f>IF(ISBLANK(Data!E9),"",Data!E9)</f>
        <v/>
      </c>
      <c r="H8" s="49" t="str">
        <f>IF(ISBLANK(Data!G9),"",Data!G9)</f>
        <v/>
      </c>
      <c r="I8" s="40" t="str">
        <f>IF(ISBLANK(Data!H9),"",Data!H9)</f>
        <v/>
      </c>
      <c r="J8" s="40" t="str">
        <f>IF(ISBLANK(Data!I9),"",Data!I9)</f>
        <v/>
      </c>
      <c r="K8" s="40" t="str">
        <f>IF(ISBLANK(Data!J9),"",Data!J9)</f>
        <v/>
      </c>
    </row>
    <row r="9" spans="1:11" x14ac:dyDescent="0.25">
      <c r="A9" s="40">
        <f t="shared" si="1"/>
        <v>9001</v>
      </c>
      <c r="B9" s="40" t="str">
        <f t="shared" si="0"/>
        <v/>
      </c>
      <c r="C9" s="48" t="str">
        <f>IF(ISBLANK(Data!A10),"",Data!A10)</f>
        <v/>
      </c>
      <c r="D9" s="46" t="str">
        <f>IF(ISBLANK(Data!B10),"",Data!B10)</f>
        <v/>
      </c>
      <c r="E9" s="46" t="str">
        <f>IF(ISBLANK(Data!C10),"",Data!C10)</f>
        <v/>
      </c>
      <c r="F9" s="49" t="str">
        <f>IF(ISBLANK(Data!D10),"",Data!D10)</f>
        <v/>
      </c>
      <c r="G9" s="49" t="str">
        <f>IF(ISBLANK(Data!E10),"",Data!E10)</f>
        <v/>
      </c>
      <c r="H9" s="49" t="str">
        <f>IF(ISBLANK(Data!G10),"",Data!G10)</f>
        <v/>
      </c>
      <c r="I9" s="40" t="str">
        <f>IF(ISBLANK(Data!H10),"",Data!H10)</f>
        <v/>
      </c>
      <c r="J9" s="40" t="str">
        <f>IF(ISBLANK(Data!I10),"",Data!I10)</f>
        <v/>
      </c>
      <c r="K9" s="40" t="str">
        <f>IF(ISBLANK(Data!J10),"",Data!J10)</f>
        <v/>
      </c>
    </row>
    <row r="10" spans="1:11" x14ac:dyDescent="0.25">
      <c r="A10" s="40">
        <f t="shared" si="1"/>
        <v>9001</v>
      </c>
      <c r="B10" s="40" t="str">
        <f t="shared" si="0"/>
        <v/>
      </c>
      <c r="C10" s="48" t="str">
        <f>IF(ISBLANK(Data!A11),"",Data!A11)</f>
        <v/>
      </c>
      <c r="D10" s="46" t="str">
        <f>IF(ISBLANK(Data!B11),"",Data!B11)</f>
        <v/>
      </c>
      <c r="E10" s="46" t="str">
        <f>IF(ISBLANK(Data!C11),"",Data!C11)</f>
        <v/>
      </c>
      <c r="F10" s="49" t="str">
        <f>IF(ISBLANK(Data!D11),"",Data!D11)</f>
        <v/>
      </c>
      <c r="G10" s="49" t="str">
        <f>IF(ISBLANK(Data!E11),"",Data!E11)</f>
        <v/>
      </c>
      <c r="H10" s="49" t="str">
        <f>IF(ISBLANK(Data!G11),"",Data!G11)</f>
        <v/>
      </c>
      <c r="I10" s="40" t="str">
        <f>IF(ISBLANK(Data!H11),"",Data!H11)</f>
        <v/>
      </c>
      <c r="J10" s="40" t="str">
        <f>IF(ISBLANK(Data!I11),"",Data!I11)</f>
        <v/>
      </c>
      <c r="K10" s="40" t="str">
        <f>IF(ISBLANK(Data!J11),"",Data!J11)</f>
        <v/>
      </c>
    </row>
    <row r="11" spans="1:11" x14ac:dyDescent="0.25">
      <c r="A11" s="40">
        <f t="shared" si="1"/>
        <v>9001</v>
      </c>
      <c r="B11" s="40" t="str">
        <f t="shared" si="0"/>
        <v/>
      </c>
      <c r="C11" s="48" t="str">
        <f>IF(ISBLANK(Data!A12),"",Data!A12)</f>
        <v/>
      </c>
      <c r="D11" s="46" t="str">
        <f>IF(ISBLANK(Data!B12),"",Data!B12)</f>
        <v/>
      </c>
      <c r="E11" s="46" t="str">
        <f>IF(ISBLANK(Data!C12),"",Data!C12)</f>
        <v/>
      </c>
      <c r="F11" s="49" t="str">
        <f>IF(ISBLANK(Data!D12),"",Data!D12)</f>
        <v/>
      </c>
      <c r="G11" s="49" t="str">
        <f>IF(ISBLANK(Data!E12),"",Data!E12)</f>
        <v/>
      </c>
      <c r="H11" s="49" t="str">
        <f>IF(ISBLANK(Data!G12),"",Data!G12)</f>
        <v/>
      </c>
      <c r="I11" s="40" t="str">
        <f>IF(ISBLANK(Data!H12),"",Data!H12)</f>
        <v/>
      </c>
      <c r="J11" s="40" t="str">
        <f>IF(ISBLANK(Data!I12),"",Data!I12)</f>
        <v/>
      </c>
      <c r="K11" s="40" t="str">
        <f>IF(ISBLANK(Data!J12),"",Data!J12)</f>
        <v/>
      </c>
    </row>
    <row r="12" spans="1:11" x14ac:dyDescent="0.25">
      <c r="A12" s="40">
        <f t="shared" si="1"/>
        <v>9001</v>
      </c>
      <c r="B12" s="40" t="str">
        <f t="shared" si="0"/>
        <v/>
      </c>
      <c r="C12" s="48" t="str">
        <f>IF(ISBLANK(Data!A13),"",Data!A13)</f>
        <v/>
      </c>
      <c r="D12" s="46" t="str">
        <f>IF(ISBLANK(Data!B13),"",Data!B13)</f>
        <v/>
      </c>
      <c r="E12" s="46" t="str">
        <f>IF(ISBLANK(Data!C13),"",Data!C13)</f>
        <v/>
      </c>
      <c r="F12" s="49" t="str">
        <f>IF(ISBLANK(Data!D13),"",Data!D13)</f>
        <v/>
      </c>
      <c r="G12" s="49" t="str">
        <f>IF(ISBLANK(Data!E13),"",Data!E13)</f>
        <v/>
      </c>
      <c r="H12" s="49" t="str">
        <f>IF(ISBLANK(Data!G13),"",Data!G13)</f>
        <v/>
      </c>
      <c r="I12" s="40" t="str">
        <f>IF(ISBLANK(Data!H13),"",Data!H13)</f>
        <v/>
      </c>
      <c r="J12" s="40" t="str">
        <f>IF(ISBLANK(Data!I13),"",Data!I13)</f>
        <v/>
      </c>
      <c r="K12" s="40" t="str">
        <f>IF(ISBLANK(Data!J13),"",Data!J13)</f>
        <v/>
      </c>
    </row>
    <row r="13" spans="1:11" x14ac:dyDescent="0.25">
      <c r="A13" s="40">
        <f t="shared" si="1"/>
        <v>9001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3"/>
  <sheetViews>
    <sheetView workbookViewId="0"/>
  </sheetViews>
  <sheetFormatPr defaultRowHeight="15" x14ac:dyDescent="0.25"/>
  <cols>
    <col min="1" max="1" width="14.42578125" style="40" customWidth="1"/>
    <col min="2" max="2" width="14.42578125" style="46" customWidth="1"/>
    <col min="3" max="3" width="15.28515625" style="37" bestFit="1" customWidth="1"/>
    <col min="4" max="4" width="15.85546875" style="37" customWidth="1"/>
    <col min="5" max="6" width="16.7109375" style="35" customWidth="1"/>
    <col min="7" max="7" width="14.140625" style="37" customWidth="1"/>
    <col min="8" max="8" width="11" style="39" bestFit="1" customWidth="1"/>
    <col min="9" max="9" width="11.42578125" style="39" bestFit="1" customWidth="1"/>
    <col min="10" max="10" width="11.85546875" style="39" customWidth="1"/>
    <col min="11" max="11" width="10.140625" style="39" bestFit="1" customWidth="1"/>
    <col min="12" max="12" width="13.85546875" style="35" bestFit="1" customWidth="1"/>
    <col min="13" max="13" width="13.42578125" style="37" bestFit="1" customWidth="1"/>
    <col min="14" max="14" width="13.42578125" style="37" customWidth="1"/>
    <col min="15" max="16" width="13.42578125" style="35" customWidth="1"/>
  </cols>
  <sheetData>
    <row r="1" spans="1:21" s="56" customFormat="1" ht="45" x14ac:dyDescent="0.25">
      <c r="A1" s="53" t="s">
        <v>238</v>
      </c>
      <c r="B1" s="72" t="s">
        <v>310</v>
      </c>
      <c r="C1" s="53" t="s">
        <v>249</v>
      </c>
      <c r="D1" s="53" t="s">
        <v>250</v>
      </c>
      <c r="E1" s="54" t="s">
        <v>251</v>
      </c>
      <c r="F1" s="54" t="s">
        <v>252</v>
      </c>
      <c r="G1" s="53" t="s">
        <v>253</v>
      </c>
      <c r="H1" s="55" t="s">
        <v>254</v>
      </c>
      <c r="I1" s="55" t="s">
        <v>255</v>
      </c>
      <c r="J1" s="55" t="s">
        <v>256</v>
      </c>
      <c r="K1" s="55" t="s">
        <v>257</v>
      </c>
      <c r="L1" s="51" t="s">
        <v>258</v>
      </c>
      <c r="M1" s="53" t="s">
        <v>259</v>
      </c>
      <c r="N1" s="53" t="s">
        <v>260</v>
      </c>
      <c r="O1" s="51" t="s">
        <v>261</v>
      </c>
      <c r="P1" s="51" t="s">
        <v>413</v>
      </c>
      <c r="Q1" s="57" t="s">
        <v>288</v>
      </c>
      <c r="R1" s="57" t="s">
        <v>289</v>
      </c>
      <c r="S1" s="57" t="s">
        <v>290</v>
      </c>
      <c r="T1" s="57" t="s">
        <v>291</v>
      </c>
      <c r="U1" s="57" t="s">
        <v>292</v>
      </c>
    </row>
    <row r="2" spans="1:21" x14ac:dyDescent="0.25">
      <c r="A2" s="40">
        <v>9000</v>
      </c>
      <c r="B2" s="71">
        <f>IF(ISBLANK(Data!K3),"",Data!K3)</f>
        <v>0.10416666666666667</v>
      </c>
      <c r="C2" s="50" t="str">
        <f>IF(ISBLANK(Data!L3),"",Data!L3)</f>
        <v/>
      </c>
      <c r="D2" s="50" t="str">
        <f>IF(ISBLANK(Data!M3),"",Data!M3)</f>
        <v/>
      </c>
      <c r="E2" s="38" t="str">
        <f>IF(ISBLANK(Data!R3),"",Data!R3)</f>
        <v xml:space="preserve">Bolitoglossa </v>
      </c>
      <c r="F2" s="38" t="str">
        <f>IF(ISBLANK(Data!S3),"",Data!S3)</f>
        <v>mexicana</v>
      </c>
      <c r="G2" s="40"/>
      <c r="H2" s="52">
        <f>IF(ISBLANK(Data!T3),"",Data!T3)</f>
        <v>1</v>
      </c>
      <c r="I2" s="52">
        <f>IF(ISBLANK(Data!U3),"",Data!U3)</f>
        <v>2</v>
      </c>
      <c r="J2" s="52">
        <f>IF(ISBLANK(Data!V3),"",Data!V3)</f>
        <v>2</v>
      </c>
      <c r="K2" s="52">
        <f>IF(ISBLANK(Data!W3),"",Data!W3)</f>
        <v>3</v>
      </c>
      <c r="L2" s="49" t="str">
        <f>IF(ISBLANK(Data!X3),"",Data!X3)</f>
        <v>Male</v>
      </c>
      <c r="M2" s="40">
        <f>IF(ISBLANK(Data!Y3),"",Data!Y3)</f>
        <v>1</v>
      </c>
      <c r="N2" s="40">
        <f>IF(ISBLANK(Data!Z3),"",Data!Z3)</f>
        <v>1</v>
      </c>
      <c r="O2" s="40">
        <f>IF(ISBLANK(Data!AA3),"",Data!AA3)</f>
        <v>1</v>
      </c>
      <c r="P2" s="40">
        <f>IF(ISBLANK(Data!AB3),"",Data!AB3)</f>
        <v>1</v>
      </c>
      <c r="Q2" s="40">
        <f>IF(ISBLANK(Data!AC3),"",Data!AC3)</f>
        <v>1</v>
      </c>
      <c r="R2" s="40">
        <f>IF(ISBLANK(Data!AD3),"",Data!AD3)</f>
        <v>1</v>
      </c>
      <c r="S2" s="40">
        <f>IF(ISBLANK(Data!AE3),"",Data!AE3)</f>
        <v>1</v>
      </c>
      <c r="T2" s="40">
        <f>IF(ISBLANK(Data!AF3),"",Data!AF3)</f>
        <v>1</v>
      </c>
      <c r="U2" s="40">
        <f>IF(ISBLANK(Data!AG3),"",Data!AG3)</f>
        <v>1</v>
      </c>
    </row>
    <row r="3" spans="1:21" x14ac:dyDescent="0.25">
      <c r="A3" s="40">
        <v>9000</v>
      </c>
      <c r="B3" s="71" t="str">
        <f>IF(ISBLANK(Data!K4),"",Data!K4)</f>
        <v/>
      </c>
      <c r="C3" s="50" t="str">
        <f>IF(ISBLANK(Data!L4),"",Data!L4)</f>
        <v/>
      </c>
      <c r="D3" s="50" t="str">
        <f>IF(ISBLANK(Data!M4),"",Data!M4)</f>
        <v/>
      </c>
      <c r="E3" s="38" t="str">
        <f>IF(ISBLANK(Data!R4),"",Data!R4)</f>
        <v/>
      </c>
      <c r="F3" s="38" t="str">
        <f>IF(ISBLANK(Data!S4),"",Data!S4)</f>
        <v/>
      </c>
      <c r="G3" s="40"/>
      <c r="H3" s="52" t="str">
        <f>IF(ISBLANK(Data!T4),"",Data!T4)</f>
        <v/>
      </c>
      <c r="I3" s="52" t="str">
        <f>IF(ISBLANK(Data!U4),"",Data!U4)</f>
        <v/>
      </c>
      <c r="J3" s="52" t="str">
        <f>IF(ISBLANK(Data!V4),"",Data!V4)</f>
        <v/>
      </c>
      <c r="K3" s="52" t="str">
        <f>IF(ISBLANK(Data!W4),"",Data!W4)</f>
        <v/>
      </c>
      <c r="L3" s="49" t="str">
        <f>IF(ISBLANK(Data!X4),"",Data!X4)</f>
        <v/>
      </c>
      <c r="M3" s="40" t="str">
        <f>IF(ISBLANK(Data!Y4),"",Data!Y4)</f>
        <v/>
      </c>
      <c r="N3" s="40" t="str">
        <f>IF(ISBLANK(Data!Z4),"",Data!Z4)</f>
        <v/>
      </c>
      <c r="O3" s="40" t="str">
        <f>IF(ISBLANK(Data!AA4),"",Data!AA4)</f>
        <v/>
      </c>
      <c r="P3" s="40" t="str">
        <f>IF(ISBLANK(Data!AB4),"",Data!AB4)</f>
        <v/>
      </c>
      <c r="Q3" s="40" t="str">
        <f>IF(ISBLANK(Data!AC4),"",Data!AC4)</f>
        <v/>
      </c>
      <c r="R3" s="40" t="str">
        <f>IF(ISBLANK(Data!AD4),"",Data!AD4)</f>
        <v/>
      </c>
      <c r="S3" s="40" t="str">
        <f>IF(ISBLANK(Data!AE4),"",Data!AE4)</f>
        <v/>
      </c>
      <c r="T3" s="40" t="str">
        <f>IF(ISBLANK(Data!AF4),"",Data!AF4)</f>
        <v/>
      </c>
      <c r="U3" s="40" t="str">
        <f>IF(ISBLANK(Data!AG4),"",Data!AG4)</f>
        <v/>
      </c>
    </row>
    <row r="4" spans="1:21" x14ac:dyDescent="0.25">
      <c r="A4" s="40">
        <v>9000</v>
      </c>
      <c r="B4" s="71" t="str">
        <f>IF(ISBLANK(Data!K5),"",Data!K5)</f>
        <v/>
      </c>
      <c r="C4" s="50" t="str">
        <f>IF(ISBLANK(Data!L5),"",Data!L5)</f>
        <v/>
      </c>
      <c r="D4" s="50" t="str">
        <f>IF(ISBLANK(Data!M5),"",Data!M5)</f>
        <v/>
      </c>
      <c r="E4" s="38" t="str">
        <f>IF(ISBLANK(Data!R5),"",Data!R5)</f>
        <v/>
      </c>
      <c r="F4" s="38" t="str">
        <f>IF(ISBLANK(Data!S5),"",Data!S5)</f>
        <v/>
      </c>
      <c r="G4" s="40"/>
      <c r="H4" s="52" t="str">
        <f>IF(ISBLANK(Data!T5),"",Data!T5)</f>
        <v/>
      </c>
      <c r="I4" s="52" t="str">
        <f>IF(ISBLANK(Data!U5),"",Data!U5)</f>
        <v/>
      </c>
      <c r="J4" s="52" t="str">
        <f>IF(ISBLANK(Data!V5),"",Data!V5)</f>
        <v/>
      </c>
      <c r="K4" s="52" t="str">
        <f>IF(ISBLANK(Data!W5),"",Data!W5)</f>
        <v/>
      </c>
      <c r="L4" s="49" t="str">
        <f>IF(ISBLANK(Data!X5),"",Data!X5)</f>
        <v/>
      </c>
      <c r="M4" s="40" t="str">
        <f>IF(ISBLANK(Data!Y5),"",Data!Y5)</f>
        <v/>
      </c>
      <c r="N4" s="40" t="str">
        <f>IF(ISBLANK(Data!Z5),"",Data!Z5)</f>
        <v/>
      </c>
      <c r="O4" s="40" t="str">
        <f>IF(ISBLANK(Data!AA5),"",Data!AA5)</f>
        <v/>
      </c>
      <c r="P4" s="40" t="str">
        <f>IF(ISBLANK(Data!AB5),"",Data!AB5)</f>
        <v/>
      </c>
      <c r="Q4" s="40" t="str">
        <f>IF(ISBLANK(Data!AC5),"",Data!AC5)</f>
        <v/>
      </c>
      <c r="R4" s="40" t="str">
        <f>IF(ISBLANK(Data!AD5),"",Data!AD5)</f>
        <v/>
      </c>
      <c r="S4" s="40" t="str">
        <f>IF(ISBLANK(Data!AE5),"",Data!AE5)</f>
        <v/>
      </c>
      <c r="T4" s="40" t="str">
        <f>IF(ISBLANK(Data!AF5),"",Data!AF5)</f>
        <v/>
      </c>
      <c r="U4" s="40" t="str">
        <f>IF(ISBLANK(Data!AG5),"",Data!AG5)</f>
        <v/>
      </c>
    </row>
    <row r="5" spans="1:21" x14ac:dyDescent="0.25">
      <c r="A5" s="40">
        <v>9000</v>
      </c>
      <c r="B5" s="71" t="str">
        <f>IF(ISBLANK(Data!K6),"",Data!K6)</f>
        <v/>
      </c>
      <c r="C5" s="50" t="str">
        <f>IF(ISBLANK(Data!L6),"",Data!L6)</f>
        <v/>
      </c>
      <c r="D5" s="50" t="str">
        <f>IF(ISBLANK(Data!M6),"",Data!M6)</f>
        <v/>
      </c>
      <c r="E5" s="38" t="str">
        <f>IF(ISBLANK(Data!R6),"",Data!R6)</f>
        <v/>
      </c>
      <c r="F5" s="38" t="str">
        <f>IF(ISBLANK(Data!S6),"",Data!S6)</f>
        <v/>
      </c>
      <c r="G5" s="40"/>
      <c r="H5" s="52" t="str">
        <f>IF(ISBLANK(Data!T6),"",Data!T6)</f>
        <v/>
      </c>
      <c r="I5" s="52" t="str">
        <f>IF(ISBLANK(Data!U6),"",Data!U6)</f>
        <v/>
      </c>
      <c r="J5" s="52" t="str">
        <f>IF(ISBLANK(Data!V6),"",Data!V6)</f>
        <v/>
      </c>
      <c r="K5" s="52" t="str">
        <f>IF(ISBLANK(Data!W6),"",Data!W6)</f>
        <v/>
      </c>
      <c r="L5" s="49" t="str">
        <f>IF(ISBLANK(Data!X6),"",Data!X6)</f>
        <v/>
      </c>
      <c r="M5" s="40" t="str">
        <f>IF(ISBLANK(Data!Y6),"",Data!Y6)</f>
        <v/>
      </c>
      <c r="N5" s="40" t="str">
        <f>IF(ISBLANK(Data!Z6),"",Data!Z6)</f>
        <v/>
      </c>
      <c r="O5" s="40" t="str">
        <f>IF(ISBLANK(Data!AA6),"",Data!AA6)</f>
        <v/>
      </c>
      <c r="P5" s="40" t="str">
        <f>IF(ISBLANK(Data!AB6),"",Data!AB6)</f>
        <v/>
      </c>
      <c r="Q5" s="40" t="str">
        <f>IF(ISBLANK(Data!AC6),"",Data!AC6)</f>
        <v/>
      </c>
      <c r="R5" s="40" t="str">
        <f>IF(ISBLANK(Data!AD6),"",Data!AD6)</f>
        <v/>
      </c>
      <c r="S5" s="40" t="str">
        <f>IF(ISBLANK(Data!AE6),"",Data!AE6)</f>
        <v/>
      </c>
      <c r="T5" s="40" t="str">
        <f>IF(ISBLANK(Data!AF6),"",Data!AF6)</f>
        <v/>
      </c>
      <c r="U5" s="40" t="str">
        <f>IF(ISBLANK(Data!AG6),"",Data!AG6)</f>
        <v/>
      </c>
    </row>
    <row r="6" spans="1:21" x14ac:dyDescent="0.25">
      <c r="A6" s="40">
        <v>9001</v>
      </c>
      <c r="B6" s="71">
        <f>IF(ISBLANK(Data!K7),"",Data!K7)</f>
        <v>6.25E-2</v>
      </c>
      <c r="C6" s="50" t="str">
        <f>IF(ISBLANK(Data!L7),"",Data!L7)</f>
        <v/>
      </c>
      <c r="D6" s="50" t="str">
        <f>IF(ISBLANK(Data!M7),"",Data!M7)</f>
        <v/>
      </c>
      <c r="E6" s="38" t="str">
        <f>IF(ISBLANK(Data!R7),"",Data!R7)</f>
        <v xml:space="preserve">Bolitoglossa </v>
      </c>
      <c r="F6" s="38" t="str">
        <f>IF(ISBLANK(Data!S7),"",Data!S7)</f>
        <v>diaphora</v>
      </c>
      <c r="G6" s="40"/>
      <c r="H6" s="52">
        <f>IF(ISBLANK(Data!T7),"",Data!T7)</f>
        <v>1</v>
      </c>
      <c r="I6" s="52">
        <f>IF(ISBLANK(Data!U7),"",Data!U7)</f>
        <v>1</v>
      </c>
      <c r="J6" s="52">
        <f>IF(ISBLANK(Data!V7),"",Data!V7)</f>
        <v>1</v>
      </c>
      <c r="K6" s="52">
        <f>IF(ISBLANK(Data!W7),"",Data!W7)</f>
        <v>2</v>
      </c>
      <c r="L6" s="49" t="str">
        <f>IF(ISBLANK(Data!X7),"",Data!X7)</f>
        <v/>
      </c>
      <c r="M6" s="40" t="str">
        <f>IF(ISBLANK(Data!Y7),"",Data!Y7)</f>
        <v/>
      </c>
      <c r="N6" s="40" t="str">
        <f>IF(ISBLANK(Data!Z7),"",Data!Z7)</f>
        <v/>
      </c>
      <c r="O6" s="40" t="str">
        <f>IF(ISBLANK(Data!AA7),"",Data!AA7)</f>
        <v/>
      </c>
      <c r="P6" s="40" t="str">
        <f>IF(ISBLANK(Data!AB7),"",Data!AB7)</f>
        <v/>
      </c>
      <c r="Q6" s="40" t="str">
        <f>IF(ISBLANK(Data!AC7),"",Data!AC7)</f>
        <v/>
      </c>
      <c r="R6" s="40" t="str">
        <f>IF(ISBLANK(Data!AD7),"",Data!AD7)</f>
        <v/>
      </c>
      <c r="S6" s="40" t="str">
        <f>IF(ISBLANK(Data!AE7),"",Data!AE7)</f>
        <v/>
      </c>
      <c r="T6" s="40" t="str">
        <f>IF(ISBLANK(Data!AF7),"",Data!AF7)</f>
        <v/>
      </c>
      <c r="U6" s="40" t="str">
        <f>IF(ISBLANK(Data!AG7),"",Data!AG7)</f>
        <v/>
      </c>
    </row>
    <row r="7" spans="1:21" x14ac:dyDescent="0.25">
      <c r="A7" s="40">
        <v>9001</v>
      </c>
      <c r="B7" s="71" t="str">
        <f>IF(ISBLANK(Data!K8),"",Data!K8)</f>
        <v/>
      </c>
      <c r="C7" s="50" t="str">
        <f>IF(ISBLANK(Data!L8),"",Data!L8)</f>
        <v/>
      </c>
      <c r="D7" s="50" t="str">
        <f>IF(ISBLANK(Data!M8),"",Data!M8)</f>
        <v/>
      </c>
      <c r="E7" s="38" t="str">
        <f>IF(ISBLANK(Data!R8),"",Data!R8)</f>
        <v/>
      </c>
      <c r="F7" s="38" t="str">
        <f>IF(ISBLANK(Data!S8),"",Data!S8)</f>
        <v/>
      </c>
      <c r="G7" s="40"/>
      <c r="H7" s="52" t="str">
        <f>IF(ISBLANK(Data!T8),"",Data!T8)</f>
        <v/>
      </c>
      <c r="I7" s="52" t="str">
        <f>IF(ISBLANK(Data!U8),"",Data!U8)</f>
        <v/>
      </c>
      <c r="J7" s="52" t="str">
        <f>IF(ISBLANK(Data!V8),"",Data!V8)</f>
        <v/>
      </c>
      <c r="K7" s="52" t="str">
        <f>IF(ISBLANK(Data!W8),"",Data!W8)</f>
        <v/>
      </c>
      <c r="L7" s="49" t="str">
        <f>IF(ISBLANK(Data!X8),"",Data!X8)</f>
        <v/>
      </c>
      <c r="M7" s="40" t="str">
        <f>IF(ISBLANK(Data!Y8),"",Data!Y8)</f>
        <v/>
      </c>
      <c r="N7" s="40" t="str">
        <f>IF(ISBLANK(Data!Z8),"",Data!Z8)</f>
        <v/>
      </c>
      <c r="O7" s="40" t="str">
        <f>IF(ISBLANK(Data!AA8),"",Data!AA8)</f>
        <v/>
      </c>
      <c r="P7" s="40" t="str">
        <f>IF(ISBLANK(Data!AB8),"",Data!AB8)</f>
        <v/>
      </c>
      <c r="Q7" s="40" t="str">
        <f>IF(ISBLANK(Data!AC8),"",Data!AC8)</f>
        <v/>
      </c>
      <c r="R7" s="40" t="str">
        <f>IF(ISBLANK(Data!AD8),"",Data!AD8)</f>
        <v/>
      </c>
      <c r="S7" s="40" t="str">
        <f>IF(ISBLANK(Data!AE8),"",Data!AE8)</f>
        <v/>
      </c>
      <c r="T7" s="40" t="str">
        <f>IF(ISBLANK(Data!AF8),"",Data!AF8)</f>
        <v/>
      </c>
      <c r="U7" s="40" t="str">
        <f>IF(ISBLANK(Data!AG8),"",Data!AG8)</f>
        <v/>
      </c>
    </row>
    <row r="8" spans="1:21" x14ac:dyDescent="0.25">
      <c r="A8" s="40">
        <v>9001</v>
      </c>
      <c r="B8" s="71" t="str">
        <f>IF(ISBLANK(Data!K9),"",Data!K9)</f>
        <v/>
      </c>
      <c r="C8" s="50" t="str">
        <f>IF(ISBLANK(Data!L9),"",Data!L9)</f>
        <v/>
      </c>
      <c r="D8" s="50" t="str">
        <f>IF(ISBLANK(Data!M9),"",Data!M9)</f>
        <v/>
      </c>
      <c r="E8" s="38" t="str">
        <f>IF(ISBLANK(Data!R9),"",Data!R9)</f>
        <v/>
      </c>
      <c r="F8" s="38" t="str">
        <f>IF(ISBLANK(Data!S9),"",Data!S9)</f>
        <v/>
      </c>
      <c r="G8" s="40"/>
      <c r="H8" s="52" t="str">
        <f>IF(ISBLANK(Data!T9),"",Data!T9)</f>
        <v/>
      </c>
      <c r="I8" s="52" t="str">
        <f>IF(ISBLANK(Data!U9),"",Data!U9)</f>
        <v/>
      </c>
      <c r="J8" s="52" t="str">
        <f>IF(ISBLANK(Data!V9),"",Data!V9)</f>
        <v/>
      </c>
      <c r="K8" s="52" t="str">
        <f>IF(ISBLANK(Data!W9),"",Data!W9)</f>
        <v/>
      </c>
      <c r="L8" s="49" t="str">
        <f>IF(ISBLANK(Data!X9),"",Data!X9)</f>
        <v/>
      </c>
      <c r="M8" s="40" t="str">
        <f>IF(ISBLANK(Data!Y9),"",Data!Y9)</f>
        <v/>
      </c>
      <c r="N8" s="40" t="str">
        <f>IF(ISBLANK(Data!Z9),"",Data!Z9)</f>
        <v/>
      </c>
      <c r="O8" s="40" t="str">
        <f>IF(ISBLANK(Data!AA9),"",Data!AA9)</f>
        <v/>
      </c>
      <c r="P8" s="40" t="str">
        <f>IF(ISBLANK(Data!AB9),"",Data!AB9)</f>
        <v/>
      </c>
      <c r="Q8" s="40" t="str">
        <f>IF(ISBLANK(Data!AC9),"",Data!AC9)</f>
        <v/>
      </c>
      <c r="R8" s="40" t="str">
        <f>IF(ISBLANK(Data!AD9),"",Data!AD9)</f>
        <v/>
      </c>
      <c r="S8" s="40" t="str">
        <f>IF(ISBLANK(Data!AE9),"",Data!AE9)</f>
        <v/>
      </c>
      <c r="T8" s="40" t="str">
        <f>IF(ISBLANK(Data!AF9),"",Data!AF9)</f>
        <v/>
      </c>
      <c r="U8" s="40" t="str">
        <f>IF(ISBLANK(Data!AG9),"",Data!AG9)</f>
        <v/>
      </c>
    </row>
    <row r="9" spans="1:21" x14ac:dyDescent="0.25">
      <c r="A9" s="40">
        <v>9001</v>
      </c>
      <c r="B9" s="71" t="str">
        <f>IF(ISBLANK(Data!K10),"",Data!K10)</f>
        <v/>
      </c>
      <c r="C9" s="50" t="str">
        <f>IF(ISBLANK(Data!L10),"",Data!L10)</f>
        <v/>
      </c>
      <c r="D9" s="50" t="str">
        <f>IF(ISBLANK(Data!M10),"",Data!M10)</f>
        <v/>
      </c>
      <c r="E9" s="38" t="str">
        <f>IF(ISBLANK(Data!R10),"",Data!R10)</f>
        <v/>
      </c>
      <c r="F9" s="38" t="str">
        <f>IF(ISBLANK(Data!S10),"",Data!S10)</f>
        <v/>
      </c>
      <c r="G9" s="40"/>
      <c r="H9" s="52" t="str">
        <f>IF(ISBLANK(Data!T10),"",Data!T10)</f>
        <v/>
      </c>
      <c r="I9" s="52" t="str">
        <f>IF(ISBLANK(Data!U10),"",Data!U10)</f>
        <v/>
      </c>
      <c r="J9" s="52" t="str">
        <f>IF(ISBLANK(Data!V10),"",Data!V10)</f>
        <v/>
      </c>
      <c r="K9" s="52" t="str">
        <f>IF(ISBLANK(Data!W10),"",Data!W10)</f>
        <v/>
      </c>
      <c r="L9" s="49" t="str">
        <f>IF(ISBLANK(Data!X10),"",Data!X10)</f>
        <v/>
      </c>
      <c r="M9" s="40" t="str">
        <f>IF(ISBLANK(Data!Y10),"",Data!Y10)</f>
        <v/>
      </c>
      <c r="N9" s="40" t="str">
        <f>IF(ISBLANK(Data!Z10),"",Data!Z10)</f>
        <v/>
      </c>
      <c r="O9" s="40" t="str">
        <f>IF(ISBLANK(Data!AA10),"",Data!AA10)</f>
        <v/>
      </c>
      <c r="P9" s="40" t="str">
        <f>IF(ISBLANK(Data!AB10),"",Data!AB10)</f>
        <v/>
      </c>
      <c r="Q9" s="40" t="str">
        <f>IF(ISBLANK(Data!AC10),"",Data!AC10)</f>
        <v/>
      </c>
      <c r="R9" s="40" t="str">
        <f>IF(ISBLANK(Data!AD10),"",Data!AD10)</f>
        <v/>
      </c>
      <c r="S9" s="40" t="str">
        <f>IF(ISBLANK(Data!AE10),"",Data!AE10)</f>
        <v/>
      </c>
      <c r="T9" s="40" t="str">
        <f>IF(ISBLANK(Data!AF10),"",Data!AF10)</f>
        <v/>
      </c>
      <c r="U9" s="40" t="str">
        <f>IF(ISBLANK(Data!AG10),"",Data!AG10)</f>
        <v/>
      </c>
    </row>
    <row r="10" spans="1:21" x14ac:dyDescent="0.25">
      <c r="A10" s="40">
        <v>9001</v>
      </c>
      <c r="B10" s="71" t="str">
        <f>IF(ISBLANK(Data!K11),"",Data!K11)</f>
        <v/>
      </c>
      <c r="C10" s="50" t="str">
        <f>IF(ISBLANK(Data!L11),"",Data!L11)</f>
        <v/>
      </c>
      <c r="D10" s="50" t="str">
        <f>IF(ISBLANK(Data!M11),"",Data!M11)</f>
        <v/>
      </c>
      <c r="E10" s="38" t="str">
        <f>IF(ISBLANK(Data!R11),"",Data!R11)</f>
        <v/>
      </c>
      <c r="F10" s="38" t="str">
        <f>IF(ISBLANK(Data!S11),"",Data!S11)</f>
        <v/>
      </c>
      <c r="G10" s="40"/>
      <c r="H10" s="52" t="str">
        <f>IF(ISBLANK(Data!T11),"",Data!T11)</f>
        <v/>
      </c>
      <c r="I10" s="52" t="str">
        <f>IF(ISBLANK(Data!U11),"",Data!U11)</f>
        <v/>
      </c>
      <c r="J10" s="52" t="str">
        <f>IF(ISBLANK(Data!V11),"",Data!V11)</f>
        <v/>
      </c>
      <c r="K10" s="52" t="str">
        <f>IF(ISBLANK(Data!W11),"",Data!W11)</f>
        <v/>
      </c>
      <c r="L10" s="49" t="str">
        <f>IF(ISBLANK(Data!X11),"",Data!X11)</f>
        <v/>
      </c>
      <c r="M10" s="40" t="str">
        <f>IF(ISBLANK(Data!Y11),"",Data!Y11)</f>
        <v/>
      </c>
      <c r="N10" s="40" t="str">
        <f>IF(ISBLANK(Data!Z11),"",Data!Z11)</f>
        <v/>
      </c>
      <c r="O10" s="40" t="str">
        <f>IF(ISBLANK(Data!AA11),"",Data!AA11)</f>
        <v/>
      </c>
      <c r="P10" s="40" t="str">
        <f>IF(ISBLANK(Data!AB11),"",Data!AB11)</f>
        <v/>
      </c>
      <c r="Q10" s="40" t="str">
        <f>IF(ISBLANK(Data!AC11),"",Data!AC11)</f>
        <v/>
      </c>
      <c r="R10" s="40" t="str">
        <f>IF(ISBLANK(Data!AD11),"",Data!AD11)</f>
        <v/>
      </c>
      <c r="S10" s="40" t="str">
        <f>IF(ISBLANK(Data!AE11),"",Data!AE11)</f>
        <v/>
      </c>
      <c r="T10" s="40" t="str">
        <f>IF(ISBLANK(Data!AF11),"",Data!AF11)</f>
        <v/>
      </c>
      <c r="U10" s="40" t="str">
        <f>IF(ISBLANK(Data!AG11),"",Data!AG11)</f>
        <v/>
      </c>
    </row>
    <row r="11" spans="1:21" x14ac:dyDescent="0.25">
      <c r="A11" s="40">
        <v>9001</v>
      </c>
      <c r="B11" s="71" t="str">
        <f>IF(ISBLANK(Data!K12),"",Data!K12)</f>
        <v/>
      </c>
      <c r="C11" s="50" t="str">
        <f>IF(ISBLANK(Data!L12),"",Data!L12)</f>
        <v/>
      </c>
      <c r="D11" s="50" t="str">
        <f>IF(ISBLANK(Data!M12),"",Data!M12)</f>
        <v/>
      </c>
      <c r="E11" s="38" t="str">
        <f>IF(ISBLANK(Data!R12),"",Data!R12)</f>
        <v/>
      </c>
      <c r="F11" s="38" t="str">
        <f>IF(ISBLANK(Data!S12),"",Data!S12)</f>
        <v/>
      </c>
      <c r="G11" s="40"/>
      <c r="H11" s="52" t="str">
        <f>IF(ISBLANK(Data!T12),"",Data!T12)</f>
        <v/>
      </c>
      <c r="I11" s="52" t="str">
        <f>IF(ISBLANK(Data!U12),"",Data!U12)</f>
        <v/>
      </c>
      <c r="J11" s="52" t="str">
        <f>IF(ISBLANK(Data!V12),"",Data!V12)</f>
        <v/>
      </c>
      <c r="K11" s="52" t="str">
        <f>IF(ISBLANK(Data!W12),"",Data!W12)</f>
        <v/>
      </c>
      <c r="L11" s="49" t="str">
        <f>IF(ISBLANK(Data!X12),"",Data!X12)</f>
        <v/>
      </c>
      <c r="M11" s="40" t="str">
        <f>IF(ISBLANK(Data!Y12),"",Data!Y12)</f>
        <v/>
      </c>
      <c r="N11" s="40" t="str">
        <f>IF(ISBLANK(Data!Z12),"",Data!Z12)</f>
        <v/>
      </c>
      <c r="O11" s="40" t="str">
        <f>IF(ISBLANK(Data!AA12),"",Data!AA12)</f>
        <v/>
      </c>
      <c r="P11" s="40" t="str">
        <f>IF(ISBLANK(Data!AB12),"",Data!AB12)</f>
        <v/>
      </c>
      <c r="Q11" s="40" t="str">
        <f>IF(ISBLANK(Data!AC12),"",Data!AC12)</f>
        <v/>
      </c>
      <c r="R11" s="40" t="str">
        <f>IF(ISBLANK(Data!AD12),"",Data!AD12)</f>
        <v/>
      </c>
      <c r="S11" s="40" t="str">
        <f>IF(ISBLANK(Data!AE12),"",Data!AE12)</f>
        <v/>
      </c>
      <c r="T11" s="40" t="str">
        <f>IF(ISBLANK(Data!AF12),"",Data!AF12)</f>
        <v/>
      </c>
      <c r="U11" s="40" t="str">
        <f>IF(ISBLANK(Data!AG12),"",Data!AG12)</f>
        <v/>
      </c>
    </row>
    <row r="12" spans="1:21" x14ac:dyDescent="0.25">
      <c r="A12" s="40">
        <v>9001</v>
      </c>
      <c r="B12" s="71" t="str">
        <f>IF(ISBLANK(Data!K13),"",Data!K13)</f>
        <v/>
      </c>
      <c r="C12" s="50" t="str">
        <f>IF(ISBLANK(Data!L13),"",Data!L13)</f>
        <v/>
      </c>
      <c r="D12" s="50" t="str">
        <f>IF(ISBLANK(Data!M13),"",Data!M13)</f>
        <v/>
      </c>
      <c r="E12" s="38" t="str">
        <f>IF(ISBLANK(Data!R13),"",Data!R13)</f>
        <v/>
      </c>
      <c r="F12" s="38" t="str">
        <f>IF(ISBLANK(Data!S13),"",Data!S13)</f>
        <v/>
      </c>
      <c r="G12" s="40"/>
      <c r="H12" s="52" t="str">
        <f>IF(ISBLANK(Data!T13),"",Data!T13)</f>
        <v/>
      </c>
      <c r="I12" s="52" t="str">
        <f>IF(ISBLANK(Data!U13),"",Data!U13)</f>
        <v/>
      </c>
      <c r="J12" s="52" t="str">
        <f>IF(ISBLANK(Data!V13),"",Data!V13)</f>
        <v/>
      </c>
      <c r="K12" s="52" t="str">
        <f>IF(ISBLANK(Data!W13),"",Data!W13)</f>
        <v/>
      </c>
      <c r="L12" s="49" t="str">
        <f>IF(ISBLANK(Data!X13),"",Data!X13)</f>
        <v/>
      </c>
      <c r="M12" s="40" t="str">
        <f>IF(ISBLANK(Data!Y13),"",Data!Y13)</f>
        <v/>
      </c>
      <c r="N12" s="40" t="str">
        <f>IF(ISBLANK(Data!Z13),"",Data!Z13)</f>
        <v/>
      </c>
      <c r="O12" s="40" t="str">
        <f>IF(ISBLANK(Data!AA13),"",Data!AA13)</f>
        <v/>
      </c>
      <c r="P12" s="40" t="str">
        <f>IF(ISBLANK(Data!AB13),"",Data!AB13)</f>
        <v/>
      </c>
      <c r="Q12" s="40" t="str">
        <f>IF(ISBLANK(Data!AC13),"",Data!AC13)</f>
        <v/>
      </c>
      <c r="R12" s="40" t="str">
        <f>IF(ISBLANK(Data!AD13),"",Data!AD13)</f>
        <v/>
      </c>
      <c r="S12" s="40" t="str">
        <f>IF(ISBLANK(Data!AE13),"",Data!AE13)</f>
        <v/>
      </c>
      <c r="T12" s="40" t="str">
        <f>IF(ISBLANK(Data!AF13),"",Data!AF13)</f>
        <v/>
      </c>
      <c r="U12" s="40" t="str">
        <f>IF(ISBLANK(Data!AG13),"",Data!AG13)</f>
        <v/>
      </c>
    </row>
    <row r="13" spans="1:21" x14ac:dyDescent="0.25">
      <c r="A13" s="40">
        <v>9001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workbookViewId="0"/>
  </sheetViews>
  <sheetFormatPr defaultRowHeight="15" x14ac:dyDescent="0.25"/>
  <cols>
    <col min="1" max="1" width="15.42578125" style="50" customWidth="1"/>
    <col min="2" max="2" width="11.42578125" style="50" customWidth="1"/>
    <col min="3" max="3" width="13.7109375" style="70" customWidth="1"/>
    <col min="4" max="4" width="11.42578125" style="71" bestFit="1" customWidth="1"/>
    <col min="5" max="5" width="14.28515625" style="71" customWidth="1"/>
    <col min="6" max="6" width="16.85546875" style="38" customWidth="1"/>
    <col min="7" max="7" width="14.5703125" style="38" bestFit="1" customWidth="1"/>
    <col min="8" max="8" width="15.28515625" style="38" bestFit="1" customWidth="1"/>
    <col min="9" max="9" width="13.140625" style="50" bestFit="1" customWidth="1"/>
    <col min="10" max="10" width="10.85546875" style="50" bestFit="1" customWidth="1"/>
    <col min="11" max="11" width="11.7109375" style="50" bestFit="1" customWidth="1"/>
    <col min="12" max="16384" width="9.140625" style="56"/>
  </cols>
  <sheetData>
    <row r="1" spans="1:11" x14ac:dyDescent="0.25">
      <c r="A1" s="66" t="s">
        <v>238</v>
      </c>
      <c r="B1" s="66" t="s">
        <v>239</v>
      </c>
      <c r="C1" s="66" t="s">
        <v>240</v>
      </c>
      <c r="D1" s="67" t="s">
        <v>241</v>
      </c>
      <c r="E1" s="67" t="s">
        <v>242</v>
      </c>
      <c r="F1" s="68" t="s">
        <v>243</v>
      </c>
      <c r="G1" s="68" t="s">
        <v>244</v>
      </c>
      <c r="H1" s="68" t="s">
        <v>245</v>
      </c>
      <c r="I1" s="69" t="s">
        <v>246</v>
      </c>
      <c r="J1" s="69" t="s">
        <v>247</v>
      </c>
      <c r="K1" s="69" t="s">
        <v>248</v>
      </c>
    </row>
    <row r="2" spans="1:11" x14ac:dyDescent="0.25">
      <c r="A2" s="50">
        <v>9000</v>
      </c>
      <c r="B2" s="50">
        <v>2015</v>
      </c>
      <c r="C2" s="70">
        <v>42165</v>
      </c>
      <c r="D2" s="71">
        <v>0.10416666666666667</v>
      </c>
      <c r="E2" s="71">
        <v>0.14930555555555555</v>
      </c>
      <c r="F2" s="38" t="s">
        <v>414</v>
      </c>
      <c r="G2" s="38" t="s">
        <v>194</v>
      </c>
      <c r="H2" s="38" t="s">
        <v>410</v>
      </c>
      <c r="I2" s="50" t="s">
        <v>410</v>
      </c>
      <c r="J2" s="50" t="s">
        <v>410</v>
      </c>
      <c r="K2" s="50" t="s">
        <v>410</v>
      </c>
    </row>
    <row r="3" spans="1:11" x14ac:dyDescent="0.25">
      <c r="A3" s="50">
        <v>9001</v>
      </c>
      <c r="B3" s="50">
        <v>2015</v>
      </c>
      <c r="C3" s="70">
        <v>42162</v>
      </c>
      <c r="D3" s="71">
        <v>0.11458333333333333</v>
      </c>
      <c r="E3" s="71">
        <v>0.20486111111111113</v>
      </c>
      <c r="F3" s="38" t="s">
        <v>410</v>
      </c>
      <c r="G3" s="38" t="s">
        <v>410</v>
      </c>
      <c r="H3" s="38" t="s">
        <v>410</v>
      </c>
      <c r="I3" s="50" t="s">
        <v>410</v>
      </c>
      <c r="J3" s="50" t="s">
        <v>410</v>
      </c>
      <c r="K3" s="50" t="s">
        <v>410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2"/>
  <sheetViews>
    <sheetView tabSelected="1" workbookViewId="0"/>
  </sheetViews>
  <sheetFormatPr defaultRowHeight="15" x14ac:dyDescent="0.25"/>
  <cols>
    <col min="1" max="1" width="14.5703125" style="37" bestFit="1" customWidth="1"/>
    <col min="2" max="2" width="14.85546875" style="33" bestFit="1" customWidth="1"/>
    <col min="3" max="3" width="19.140625" style="37" customWidth="1"/>
    <col min="4" max="4" width="18.7109375" style="39" customWidth="1"/>
    <col min="5" max="5" width="13.42578125" style="38" bestFit="1" customWidth="1"/>
    <col min="6" max="6" width="17.140625" style="35" customWidth="1"/>
    <col min="7" max="7" width="9.7109375" style="37" bestFit="1" customWidth="1"/>
    <col min="8" max="8" width="10.5703125" style="39" bestFit="1" customWidth="1"/>
    <col min="9" max="9" width="11" style="39" bestFit="1" customWidth="1"/>
    <col min="10" max="10" width="8.42578125" style="39" bestFit="1" customWidth="1"/>
    <col min="11" max="11" width="9.7109375" style="39" bestFit="1" customWidth="1"/>
    <col min="12" max="12" width="14.140625" style="49" customWidth="1"/>
    <col min="13" max="13" width="13.28515625" style="40" customWidth="1"/>
    <col min="14" max="14" width="27.140625" style="40" bestFit="1" customWidth="1"/>
    <col min="15" max="19" width="18.7109375" customWidth="1"/>
  </cols>
  <sheetData>
    <row r="1" spans="1:21" ht="23.25" customHeight="1" x14ac:dyDescent="0.25">
      <c r="A1" s="79" t="s">
        <v>238</v>
      </c>
      <c r="B1" s="80" t="s">
        <v>310</v>
      </c>
      <c r="C1" s="79" t="s">
        <v>249</v>
      </c>
      <c r="D1" s="81" t="s">
        <v>250</v>
      </c>
      <c r="E1" s="82" t="s">
        <v>251</v>
      </c>
      <c r="F1" s="83" t="s">
        <v>252</v>
      </c>
      <c r="G1" s="79" t="s">
        <v>253</v>
      </c>
      <c r="H1" s="81" t="s">
        <v>254</v>
      </c>
      <c r="I1" s="81" t="s">
        <v>255</v>
      </c>
      <c r="J1" s="81" t="s">
        <v>256</v>
      </c>
      <c r="K1" s="81" t="s">
        <v>257</v>
      </c>
      <c r="L1" s="83" t="s">
        <v>258</v>
      </c>
      <c r="M1" s="79" t="s">
        <v>259</v>
      </c>
      <c r="N1" s="79" t="s">
        <v>260</v>
      </c>
      <c r="O1" s="79" t="s">
        <v>261</v>
      </c>
      <c r="P1" s="79" t="s">
        <v>413</v>
      </c>
      <c r="Q1" s="79" t="s">
        <v>288</v>
      </c>
      <c r="R1" s="79" t="s">
        <v>289</v>
      </c>
      <c r="S1" s="79" t="s">
        <v>290</v>
      </c>
      <c r="T1" s="84" t="s">
        <v>291</v>
      </c>
      <c r="U1" t="s">
        <v>292</v>
      </c>
    </row>
    <row r="2" spans="1:21" x14ac:dyDescent="0.25">
      <c r="A2" s="37">
        <v>9000</v>
      </c>
      <c r="B2" s="33">
        <v>0.10416666666666667</v>
      </c>
      <c r="C2" s="37" t="s">
        <v>410</v>
      </c>
      <c r="D2" s="39" t="s">
        <v>410</v>
      </c>
      <c r="E2" s="38" t="s">
        <v>445</v>
      </c>
      <c r="F2" s="35" t="s">
        <v>446</v>
      </c>
      <c r="H2" s="39">
        <v>1</v>
      </c>
      <c r="I2" s="39">
        <v>2</v>
      </c>
      <c r="J2" s="39">
        <v>2</v>
      </c>
      <c r="K2" s="39">
        <v>3</v>
      </c>
      <c r="L2" s="49" t="s">
        <v>32</v>
      </c>
      <c r="M2" s="40">
        <v>1</v>
      </c>
      <c r="N2" s="40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</row>
    <row r="3" spans="1:21" x14ac:dyDescent="0.25">
      <c r="A3" s="37">
        <v>9000</v>
      </c>
      <c r="B3" s="33" t="s">
        <v>410</v>
      </c>
      <c r="C3" s="37" t="s">
        <v>410</v>
      </c>
      <c r="D3" s="39" t="s">
        <v>410</v>
      </c>
      <c r="E3" s="38" t="s">
        <v>410</v>
      </c>
      <c r="F3" s="35" t="s">
        <v>410</v>
      </c>
      <c r="H3" s="39" t="s">
        <v>410</v>
      </c>
      <c r="I3" s="39" t="s">
        <v>410</v>
      </c>
      <c r="J3" s="39" t="s">
        <v>410</v>
      </c>
      <c r="K3" s="39" t="s">
        <v>410</v>
      </c>
      <c r="L3" s="49" t="s">
        <v>410</v>
      </c>
      <c r="M3" s="40" t="s">
        <v>410</v>
      </c>
      <c r="N3" s="40" t="s">
        <v>410</v>
      </c>
      <c r="O3" t="s">
        <v>410</v>
      </c>
      <c r="P3" t="s">
        <v>410</v>
      </c>
      <c r="Q3" t="s">
        <v>410</v>
      </c>
      <c r="R3" t="s">
        <v>410</v>
      </c>
      <c r="S3" t="s">
        <v>410</v>
      </c>
      <c r="T3" t="s">
        <v>410</v>
      </c>
      <c r="U3" t="s">
        <v>410</v>
      </c>
    </row>
    <row r="4" spans="1:21" x14ac:dyDescent="0.25">
      <c r="A4" s="37">
        <v>9000</v>
      </c>
      <c r="B4" s="33" t="s">
        <v>410</v>
      </c>
      <c r="C4" s="37" t="s">
        <v>410</v>
      </c>
      <c r="D4" s="39" t="s">
        <v>410</v>
      </c>
      <c r="E4" s="38" t="s">
        <v>410</v>
      </c>
      <c r="F4" s="35" t="s">
        <v>410</v>
      </c>
      <c r="H4" s="39" t="s">
        <v>410</v>
      </c>
      <c r="I4" s="39" t="s">
        <v>410</v>
      </c>
      <c r="J4" s="39" t="s">
        <v>410</v>
      </c>
      <c r="K4" s="39" t="s">
        <v>410</v>
      </c>
      <c r="L4" s="49" t="s">
        <v>410</v>
      </c>
      <c r="M4" s="40" t="s">
        <v>410</v>
      </c>
      <c r="N4" s="40" t="s">
        <v>410</v>
      </c>
      <c r="O4" t="s">
        <v>410</v>
      </c>
      <c r="P4" t="s">
        <v>410</v>
      </c>
      <c r="Q4" t="s">
        <v>410</v>
      </c>
      <c r="R4" t="s">
        <v>410</v>
      </c>
      <c r="S4" t="s">
        <v>410</v>
      </c>
      <c r="T4" t="s">
        <v>410</v>
      </c>
      <c r="U4" t="s">
        <v>410</v>
      </c>
    </row>
    <row r="5" spans="1:21" x14ac:dyDescent="0.25">
      <c r="A5" s="37">
        <v>9000</v>
      </c>
      <c r="B5" s="33" t="s">
        <v>410</v>
      </c>
      <c r="C5" s="37" t="s">
        <v>410</v>
      </c>
      <c r="D5" s="39" t="s">
        <v>410</v>
      </c>
      <c r="E5" s="38" t="s">
        <v>410</v>
      </c>
      <c r="F5" s="35" t="s">
        <v>410</v>
      </c>
      <c r="H5" s="39" t="s">
        <v>410</v>
      </c>
      <c r="I5" s="39" t="s">
        <v>410</v>
      </c>
      <c r="J5" s="39" t="s">
        <v>410</v>
      </c>
      <c r="K5" s="39" t="s">
        <v>410</v>
      </c>
      <c r="L5" s="49" t="s">
        <v>410</v>
      </c>
      <c r="M5" s="40" t="s">
        <v>410</v>
      </c>
      <c r="N5" s="40" t="s">
        <v>410</v>
      </c>
      <c r="O5" t="s">
        <v>410</v>
      </c>
      <c r="P5" t="s">
        <v>410</v>
      </c>
      <c r="Q5" t="s">
        <v>410</v>
      </c>
      <c r="R5" t="s">
        <v>410</v>
      </c>
      <c r="S5" t="s">
        <v>410</v>
      </c>
      <c r="T5" t="s">
        <v>410</v>
      </c>
      <c r="U5" t="s">
        <v>410</v>
      </c>
    </row>
    <row r="6" spans="1:21" x14ac:dyDescent="0.25">
      <c r="A6" s="37">
        <v>9001</v>
      </c>
      <c r="B6" s="33">
        <v>6.25E-2</v>
      </c>
      <c r="C6" s="37" t="s">
        <v>410</v>
      </c>
      <c r="D6" s="39" t="s">
        <v>410</v>
      </c>
      <c r="E6" s="38" t="s">
        <v>445</v>
      </c>
      <c r="F6" s="35" t="s">
        <v>447</v>
      </c>
      <c r="H6" s="39">
        <v>1</v>
      </c>
      <c r="I6" s="39">
        <v>1</v>
      </c>
      <c r="J6" s="39">
        <v>1</v>
      </c>
      <c r="K6" s="39">
        <v>2</v>
      </c>
      <c r="L6" s="49" t="s">
        <v>410</v>
      </c>
      <c r="M6" s="40" t="s">
        <v>410</v>
      </c>
      <c r="N6" s="40" t="s">
        <v>410</v>
      </c>
      <c r="O6" t="s">
        <v>410</v>
      </c>
      <c r="P6" t="s">
        <v>410</v>
      </c>
      <c r="Q6" t="s">
        <v>410</v>
      </c>
      <c r="R6" t="s">
        <v>410</v>
      </c>
      <c r="S6" t="s">
        <v>410</v>
      </c>
      <c r="T6" t="s">
        <v>410</v>
      </c>
      <c r="U6" t="s">
        <v>410</v>
      </c>
    </row>
    <row r="7" spans="1:21" x14ac:dyDescent="0.25">
      <c r="A7" s="37">
        <v>9001</v>
      </c>
      <c r="B7" s="33" t="s">
        <v>410</v>
      </c>
      <c r="C7" s="37" t="s">
        <v>410</v>
      </c>
      <c r="D7" s="39" t="s">
        <v>410</v>
      </c>
      <c r="E7" s="38" t="s">
        <v>410</v>
      </c>
      <c r="F7" s="35" t="s">
        <v>410</v>
      </c>
      <c r="H7" s="39" t="s">
        <v>410</v>
      </c>
      <c r="I7" s="39" t="s">
        <v>410</v>
      </c>
      <c r="J7" s="39" t="s">
        <v>410</v>
      </c>
      <c r="K7" s="39" t="s">
        <v>410</v>
      </c>
      <c r="L7" s="49" t="s">
        <v>410</v>
      </c>
      <c r="M7" s="40" t="s">
        <v>410</v>
      </c>
      <c r="N7" s="40" t="s">
        <v>410</v>
      </c>
      <c r="O7" t="s">
        <v>410</v>
      </c>
      <c r="P7" t="s">
        <v>410</v>
      </c>
      <c r="Q7" t="s">
        <v>410</v>
      </c>
      <c r="R7" t="s">
        <v>410</v>
      </c>
      <c r="S7" t="s">
        <v>410</v>
      </c>
      <c r="T7" t="s">
        <v>410</v>
      </c>
      <c r="U7" t="s">
        <v>410</v>
      </c>
    </row>
    <row r="8" spans="1:21" x14ac:dyDescent="0.25">
      <c r="A8" s="37">
        <v>9001</v>
      </c>
      <c r="B8" s="33" t="s">
        <v>410</v>
      </c>
      <c r="C8" s="37" t="s">
        <v>410</v>
      </c>
      <c r="D8" s="39" t="s">
        <v>410</v>
      </c>
      <c r="E8" s="38" t="s">
        <v>410</v>
      </c>
      <c r="F8" s="35" t="s">
        <v>410</v>
      </c>
      <c r="H8" s="39" t="s">
        <v>410</v>
      </c>
      <c r="I8" s="39" t="s">
        <v>410</v>
      </c>
      <c r="J8" s="39" t="s">
        <v>410</v>
      </c>
      <c r="K8" s="39" t="s">
        <v>410</v>
      </c>
      <c r="L8" s="49" t="s">
        <v>410</v>
      </c>
      <c r="M8" s="40" t="s">
        <v>410</v>
      </c>
      <c r="N8" s="40" t="s">
        <v>410</v>
      </c>
      <c r="O8" t="s">
        <v>410</v>
      </c>
      <c r="P8" t="s">
        <v>410</v>
      </c>
      <c r="Q8" t="s">
        <v>410</v>
      </c>
      <c r="R8" t="s">
        <v>410</v>
      </c>
      <c r="S8" t="s">
        <v>410</v>
      </c>
      <c r="T8" t="s">
        <v>410</v>
      </c>
      <c r="U8" t="s">
        <v>410</v>
      </c>
    </row>
    <row r="9" spans="1:21" x14ac:dyDescent="0.25">
      <c r="A9" s="37">
        <v>9001</v>
      </c>
      <c r="B9" s="33" t="s">
        <v>410</v>
      </c>
      <c r="C9" s="37" t="s">
        <v>410</v>
      </c>
      <c r="D9" s="39" t="s">
        <v>410</v>
      </c>
      <c r="E9" s="38" t="s">
        <v>410</v>
      </c>
      <c r="F9" s="35" t="s">
        <v>410</v>
      </c>
      <c r="H9" s="39" t="s">
        <v>410</v>
      </c>
      <c r="I9" s="39" t="s">
        <v>410</v>
      </c>
      <c r="J9" s="39" t="s">
        <v>410</v>
      </c>
      <c r="K9" s="39" t="s">
        <v>410</v>
      </c>
      <c r="L9" s="49" t="s">
        <v>410</v>
      </c>
      <c r="M9" s="40" t="s">
        <v>410</v>
      </c>
      <c r="N9" s="40" t="s">
        <v>410</v>
      </c>
      <c r="O9" t="s">
        <v>410</v>
      </c>
      <c r="P9" t="s">
        <v>410</v>
      </c>
      <c r="Q9" t="s">
        <v>410</v>
      </c>
      <c r="R9" t="s">
        <v>410</v>
      </c>
      <c r="S9" t="s">
        <v>410</v>
      </c>
      <c r="T9" t="s">
        <v>410</v>
      </c>
      <c r="U9" t="s">
        <v>410</v>
      </c>
    </row>
    <row r="10" spans="1:21" x14ac:dyDescent="0.25">
      <c r="A10" s="37">
        <v>9001</v>
      </c>
      <c r="B10" s="33" t="s">
        <v>410</v>
      </c>
      <c r="C10" s="37" t="s">
        <v>410</v>
      </c>
      <c r="D10" s="39" t="s">
        <v>410</v>
      </c>
      <c r="E10" s="38" t="s">
        <v>410</v>
      </c>
      <c r="F10" s="35" t="s">
        <v>410</v>
      </c>
      <c r="H10" s="39" t="s">
        <v>410</v>
      </c>
      <c r="I10" s="39" t="s">
        <v>410</v>
      </c>
      <c r="J10" s="39" t="s">
        <v>410</v>
      </c>
      <c r="K10" s="39" t="s">
        <v>410</v>
      </c>
      <c r="L10" s="49" t="s">
        <v>410</v>
      </c>
      <c r="M10" s="40" t="s">
        <v>410</v>
      </c>
      <c r="N10" s="40" t="s">
        <v>410</v>
      </c>
      <c r="O10" t="s">
        <v>410</v>
      </c>
      <c r="P10" t="s">
        <v>410</v>
      </c>
      <c r="Q10" t="s">
        <v>410</v>
      </c>
      <c r="R10" t="s">
        <v>410</v>
      </c>
      <c r="S10" t="s">
        <v>410</v>
      </c>
      <c r="T10" t="s">
        <v>410</v>
      </c>
      <c r="U10" t="s">
        <v>410</v>
      </c>
    </row>
    <row r="11" spans="1:21" x14ac:dyDescent="0.25">
      <c r="A11" s="37">
        <v>9001</v>
      </c>
      <c r="B11" s="33" t="s">
        <v>410</v>
      </c>
      <c r="C11" s="37" t="s">
        <v>410</v>
      </c>
      <c r="D11" s="39" t="s">
        <v>410</v>
      </c>
      <c r="E11" s="38" t="s">
        <v>410</v>
      </c>
      <c r="F11" s="35" t="s">
        <v>410</v>
      </c>
      <c r="H11" s="39" t="s">
        <v>410</v>
      </c>
      <c r="I11" s="39" t="s">
        <v>410</v>
      </c>
      <c r="J11" s="39" t="s">
        <v>410</v>
      </c>
      <c r="K11" s="39" t="s">
        <v>410</v>
      </c>
      <c r="L11" s="49" t="s">
        <v>410</v>
      </c>
      <c r="M11" s="40" t="s">
        <v>410</v>
      </c>
      <c r="N11" s="40" t="s">
        <v>410</v>
      </c>
      <c r="O11" t="s">
        <v>410</v>
      </c>
      <c r="P11" t="s">
        <v>410</v>
      </c>
      <c r="Q11" t="s">
        <v>410</v>
      </c>
      <c r="R11" t="s">
        <v>410</v>
      </c>
      <c r="S11" t="s">
        <v>410</v>
      </c>
      <c r="T11" t="s">
        <v>410</v>
      </c>
      <c r="U11" t="s">
        <v>410</v>
      </c>
    </row>
    <row r="12" spans="1:21" x14ac:dyDescent="0.25">
      <c r="A12" s="37">
        <v>9001</v>
      </c>
      <c r="B12" s="33" t="s">
        <v>410</v>
      </c>
      <c r="C12" s="37" t="s">
        <v>410</v>
      </c>
      <c r="D12" s="39" t="s">
        <v>410</v>
      </c>
      <c r="E12" s="38" t="s">
        <v>410</v>
      </c>
      <c r="F12" s="35" t="s">
        <v>410</v>
      </c>
      <c r="H12" s="39" t="s">
        <v>410</v>
      </c>
      <c r="I12" s="39" t="s">
        <v>410</v>
      </c>
      <c r="J12" s="39" t="s">
        <v>410</v>
      </c>
      <c r="K12" s="39" t="s">
        <v>410</v>
      </c>
      <c r="L12" s="49" t="s">
        <v>410</v>
      </c>
      <c r="M12" s="40" t="s">
        <v>410</v>
      </c>
      <c r="N12" s="40" t="s">
        <v>410</v>
      </c>
      <c r="O12" t="s">
        <v>410</v>
      </c>
      <c r="P12" t="s">
        <v>410</v>
      </c>
      <c r="Q12" t="s">
        <v>410</v>
      </c>
      <c r="R12" t="s">
        <v>410</v>
      </c>
      <c r="S12" t="s">
        <v>410</v>
      </c>
      <c r="T12" t="s">
        <v>410</v>
      </c>
      <c r="U12" t="s">
        <v>410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367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8" max="8" width="18.42578125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8" s="1" customFormat="1" ht="30" x14ac:dyDescent="0.25">
      <c r="A1" s="1" t="s">
        <v>24</v>
      </c>
      <c r="B1" s="1" t="s">
        <v>22</v>
      </c>
      <c r="C1" s="1" t="s">
        <v>17</v>
      </c>
      <c r="D1" s="1" t="s">
        <v>1</v>
      </c>
      <c r="E1" s="1" t="s">
        <v>191</v>
      </c>
      <c r="F1" s="1" t="s">
        <v>2</v>
      </c>
      <c r="G1" s="1" t="s">
        <v>23</v>
      </c>
      <c r="H1" s="1" t="s">
        <v>4</v>
      </c>
      <c r="I1" s="1" t="s">
        <v>5</v>
      </c>
      <c r="L1" s="6" t="s">
        <v>35</v>
      </c>
      <c r="M1" s="7" t="s">
        <v>42</v>
      </c>
      <c r="N1" s="8" t="s">
        <v>36</v>
      </c>
      <c r="O1" s="7" t="s">
        <v>43</v>
      </c>
      <c r="P1" s="8" t="s">
        <v>37</v>
      </c>
      <c r="Q1" s="7" t="s">
        <v>44</v>
      </c>
      <c r="R1" s="8" t="s">
        <v>38</v>
      </c>
      <c r="S1" s="7" t="s">
        <v>45</v>
      </c>
      <c r="T1" s="8" t="s">
        <v>39</v>
      </c>
      <c r="U1" s="7" t="s">
        <v>46</v>
      </c>
      <c r="V1" s="8" t="s">
        <v>40</v>
      </c>
      <c r="W1" s="7" t="s">
        <v>47</v>
      </c>
      <c r="X1" s="9" t="s">
        <v>41</v>
      </c>
      <c r="Y1" s="3" t="s">
        <v>48</v>
      </c>
      <c r="AA1" s="1" t="s">
        <v>308</v>
      </c>
      <c r="AB1" s="1" t="s">
        <v>309</v>
      </c>
    </row>
    <row r="2" spans="1:28" x14ac:dyDescent="0.25">
      <c r="A2">
        <v>159</v>
      </c>
      <c r="B2" s="2">
        <v>42161</v>
      </c>
      <c r="C2" t="s">
        <v>31</v>
      </c>
      <c r="D2" t="s">
        <v>192</v>
      </c>
      <c r="E2" t="s">
        <v>49</v>
      </c>
      <c r="F2" s="21" t="s">
        <v>221</v>
      </c>
      <c r="G2">
        <v>0</v>
      </c>
      <c r="H2" t="s">
        <v>272</v>
      </c>
      <c r="I2" t="s">
        <v>33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  <c r="AA2">
        <v>1956</v>
      </c>
      <c r="AB2" t="s">
        <v>192</v>
      </c>
    </row>
    <row r="3" spans="1:28" x14ac:dyDescent="0.25">
      <c r="A3">
        <v>160</v>
      </c>
      <c r="B3" s="2">
        <v>42162</v>
      </c>
      <c r="C3" t="s">
        <v>25</v>
      </c>
      <c r="D3" t="s">
        <v>193</v>
      </c>
      <c r="E3" t="s">
        <v>50</v>
      </c>
      <c r="F3" s="21" t="s">
        <v>222</v>
      </c>
      <c r="G3">
        <v>1</v>
      </c>
      <c r="H3" t="s">
        <v>311</v>
      </c>
      <c r="I3" t="s">
        <v>32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  <c r="AA3">
        <v>1901</v>
      </c>
      <c r="AB3" t="s">
        <v>195</v>
      </c>
    </row>
    <row r="4" spans="1:28" x14ac:dyDescent="0.25">
      <c r="A4">
        <v>161</v>
      </c>
      <c r="B4" s="2">
        <v>42163</v>
      </c>
      <c r="C4" t="s">
        <v>414</v>
      </c>
      <c r="D4" t="s">
        <v>194</v>
      </c>
      <c r="E4" t="s">
        <v>51</v>
      </c>
      <c r="F4" s="21" t="s">
        <v>223</v>
      </c>
      <c r="H4" t="s">
        <v>312</v>
      </c>
      <c r="I4" t="s">
        <v>34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  <c r="AA4">
        <v>1658</v>
      </c>
      <c r="AB4" t="s">
        <v>193</v>
      </c>
    </row>
    <row r="5" spans="1:28" x14ac:dyDescent="0.25">
      <c r="A5">
        <v>162</v>
      </c>
      <c r="B5" s="2">
        <v>42164</v>
      </c>
      <c r="C5" t="s">
        <v>30</v>
      </c>
      <c r="D5" t="s">
        <v>195</v>
      </c>
      <c r="E5" t="s">
        <v>52</v>
      </c>
      <c r="F5" s="21" t="s">
        <v>224</v>
      </c>
      <c r="H5" t="s">
        <v>313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  <c r="AA5">
        <v>349</v>
      </c>
      <c r="AB5" t="s">
        <v>194</v>
      </c>
    </row>
    <row r="6" spans="1:28" x14ac:dyDescent="0.25">
      <c r="A6">
        <v>163</v>
      </c>
      <c r="B6" s="2">
        <v>42165</v>
      </c>
      <c r="C6" t="s">
        <v>29</v>
      </c>
      <c r="D6" t="s">
        <v>274</v>
      </c>
      <c r="E6" t="s">
        <v>53</v>
      </c>
      <c r="F6" s="21" t="s">
        <v>225</v>
      </c>
      <c r="H6" t="s">
        <v>314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  <c r="AA6">
        <v>1734</v>
      </c>
      <c r="AB6" t="s">
        <v>196</v>
      </c>
    </row>
    <row r="7" spans="1:28" x14ac:dyDescent="0.25">
      <c r="A7">
        <v>164</v>
      </c>
      <c r="B7" s="2">
        <v>42166</v>
      </c>
      <c r="C7" t="s">
        <v>28</v>
      </c>
      <c r="D7" t="s">
        <v>196</v>
      </c>
      <c r="E7" t="s">
        <v>54</v>
      </c>
      <c r="F7" s="21" t="s">
        <v>226</v>
      </c>
      <c r="H7" t="s">
        <v>300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  <c r="AA7">
        <v>1323</v>
      </c>
      <c r="AB7" t="s">
        <v>197</v>
      </c>
    </row>
    <row r="8" spans="1:28" x14ac:dyDescent="0.25">
      <c r="A8">
        <v>165</v>
      </c>
      <c r="B8" s="2">
        <v>42167</v>
      </c>
      <c r="C8" t="s">
        <v>26</v>
      </c>
      <c r="D8" t="s">
        <v>197</v>
      </c>
      <c r="E8" t="s">
        <v>55</v>
      </c>
      <c r="F8" s="21" t="s">
        <v>227</v>
      </c>
      <c r="H8" t="s">
        <v>315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  <c r="AA8">
        <v>2167</v>
      </c>
      <c r="AB8" t="s">
        <v>198</v>
      </c>
    </row>
    <row r="9" spans="1:28" x14ac:dyDescent="0.25">
      <c r="A9">
        <v>166</v>
      </c>
      <c r="B9" s="2">
        <v>42168</v>
      </c>
      <c r="C9" t="s">
        <v>27</v>
      </c>
      <c r="D9" t="s">
        <v>198</v>
      </c>
      <c r="E9" t="s">
        <v>56</v>
      </c>
      <c r="F9" s="21"/>
      <c r="H9" t="s">
        <v>316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  <c r="AA9">
        <v>2104</v>
      </c>
      <c r="AB9" t="s">
        <v>199</v>
      </c>
    </row>
    <row r="10" spans="1:28" x14ac:dyDescent="0.25">
      <c r="A10">
        <v>167</v>
      </c>
      <c r="B10" s="2">
        <v>42169</v>
      </c>
      <c r="D10" t="s">
        <v>199</v>
      </c>
      <c r="E10" t="s">
        <v>57</v>
      </c>
      <c r="F10" s="27"/>
      <c r="H10" t="s">
        <v>317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  <c r="AA10">
        <v>1301</v>
      </c>
      <c r="AB10" t="s">
        <v>202</v>
      </c>
    </row>
    <row r="11" spans="1:28" x14ac:dyDescent="0.25">
      <c r="A11">
        <v>168</v>
      </c>
      <c r="B11" s="2">
        <v>42170</v>
      </c>
      <c r="D11" t="s">
        <v>275</v>
      </c>
      <c r="E11" t="s">
        <v>58</v>
      </c>
      <c r="F11" s="21"/>
      <c r="H11" t="s">
        <v>307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  <c r="AA11">
        <v>1848</v>
      </c>
      <c r="AB11" t="s">
        <v>200</v>
      </c>
    </row>
    <row r="12" spans="1:28" x14ac:dyDescent="0.25">
      <c r="A12">
        <v>169</v>
      </c>
      <c r="B12" s="2">
        <v>42171</v>
      </c>
      <c r="D12" t="s">
        <v>200</v>
      </c>
      <c r="E12" t="s">
        <v>59</v>
      </c>
      <c r="F12" s="21"/>
      <c r="H12" t="s">
        <v>318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  <c r="AA12">
        <v>1592</v>
      </c>
      <c r="AB12" t="s">
        <v>201</v>
      </c>
    </row>
    <row r="13" spans="1:28" x14ac:dyDescent="0.25">
      <c r="A13">
        <v>170</v>
      </c>
      <c r="B13" s="2">
        <v>42172</v>
      </c>
      <c r="D13" t="s">
        <v>201</v>
      </c>
      <c r="E13" t="s">
        <v>60</v>
      </c>
      <c r="F13" s="24"/>
      <c r="H13" t="s">
        <v>319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  <c r="AA13">
        <v>1919</v>
      </c>
      <c r="AB13" t="s">
        <v>203</v>
      </c>
    </row>
    <row r="14" spans="1:28" x14ac:dyDescent="0.25">
      <c r="A14">
        <v>171</v>
      </c>
      <c r="B14" s="2">
        <v>42173</v>
      </c>
      <c r="D14" t="s">
        <v>202</v>
      </c>
      <c r="E14" t="s">
        <v>61</v>
      </c>
      <c r="F14" s="22"/>
      <c r="H14" t="s">
        <v>320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  <c r="AA14">
        <v>2826</v>
      </c>
      <c r="AB14" t="s">
        <v>205</v>
      </c>
    </row>
    <row r="15" spans="1:28" x14ac:dyDescent="0.25">
      <c r="A15">
        <v>172</v>
      </c>
      <c r="B15" s="2">
        <v>42174</v>
      </c>
      <c r="D15" t="s">
        <v>203</v>
      </c>
      <c r="E15" t="s">
        <v>62</v>
      </c>
      <c r="F15" s="22"/>
      <c r="H15" t="s">
        <v>440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  <c r="AA15">
        <v>2913</v>
      </c>
      <c r="AB15" t="s">
        <v>303</v>
      </c>
    </row>
    <row r="16" spans="1:28" x14ac:dyDescent="0.25">
      <c r="A16">
        <v>173</v>
      </c>
      <c r="B16" s="2">
        <v>42175</v>
      </c>
      <c r="D16" t="s">
        <v>276</v>
      </c>
      <c r="E16" t="s">
        <v>63</v>
      </c>
      <c r="F16" s="30"/>
      <c r="H16" t="s">
        <v>441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  <c r="AA16">
        <v>1049</v>
      </c>
      <c r="AB16" t="s">
        <v>204</v>
      </c>
    </row>
    <row r="17" spans="1:28" x14ac:dyDescent="0.25">
      <c r="A17">
        <v>174</v>
      </c>
      <c r="B17" s="2">
        <v>42176</v>
      </c>
      <c r="D17" t="s">
        <v>204</v>
      </c>
      <c r="E17" t="s">
        <v>64</v>
      </c>
      <c r="F17" s="30"/>
      <c r="H17" t="s">
        <v>321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  <c r="AA17">
        <v>1722</v>
      </c>
      <c r="AB17" t="s">
        <v>207</v>
      </c>
    </row>
    <row r="18" spans="1:28" x14ac:dyDescent="0.25">
      <c r="A18">
        <v>175</v>
      </c>
      <c r="B18" s="2">
        <v>42177</v>
      </c>
      <c r="D18" t="s">
        <v>205</v>
      </c>
      <c r="E18" t="s">
        <v>65</v>
      </c>
      <c r="F18" s="23"/>
      <c r="H18" t="s">
        <v>322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  <c r="AA18">
        <v>2477</v>
      </c>
      <c r="AB18" t="s">
        <v>208</v>
      </c>
    </row>
    <row r="19" spans="1:28" x14ac:dyDescent="0.25">
      <c r="A19">
        <v>176</v>
      </c>
      <c r="B19" s="2">
        <v>42178</v>
      </c>
      <c r="D19" t="s">
        <v>206</v>
      </c>
      <c r="E19" t="s">
        <v>66</v>
      </c>
      <c r="F19" s="23"/>
      <c r="H19" t="s">
        <v>323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  <c r="AA19">
        <v>1044</v>
      </c>
      <c r="AB19" t="s">
        <v>209</v>
      </c>
    </row>
    <row r="20" spans="1:28" x14ac:dyDescent="0.25">
      <c r="A20">
        <v>177</v>
      </c>
      <c r="B20" s="2">
        <v>42179</v>
      </c>
      <c r="D20" t="s">
        <v>277</v>
      </c>
      <c r="E20" t="s">
        <v>67</v>
      </c>
      <c r="F20" s="23"/>
      <c r="H20" t="s">
        <v>324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  <c r="AA20">
        <v>2114</v>
      </c>
      <c r="AB20" t="s">
        <v>211</v>
      </c>
    </row>
    <row r="21" spans="1:28" x14ac:dyDescent="0.25">
      <c r="A21">
        <v>178</v>
      </c>
      <c r="B21" s="2">
        <v>42180</v>
      </c>
      <c r="D21" t="s">
        <v>415</v>
      </c>
      <c r="E21" t="s">
        <v>68</v>
      </c>
      <c r="F21" s="30"/>
      <c r="H21" t="s">
        <v>325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  <c r="AA21">
        <v>2578</v>
      </c>
      <c r="AB21" t="s">
        <v>213</v>
      </c>
    </row>
    <row r="22" spans="1:28" x14ac:dyDescent="0.25">
      <c r="A22">
        <v>179</v>
      </c>
      <c r="B22" s="2">
        <v>42181</v>
      </c>
      <c r="D22" t="s">
        <v>416</v>
      </c>
      <c r="E22" t="s">
        <v>69</v>
      </c>
      <c r="F22" s="30"/>
      <c r="H22" t="s">
        <v>326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  <c r="AA22">
        <v>1066</v>
      </c>
      <c r="AB22" t="s">
        <v>215</v>
      </c>
    </row>
    <row r="23" spans="1:28" x14ac:dyDescent="0.25">
      <c r="A23">
        <v>180</v>
      </c>
      <c r="B23" s="2">
        <v>42182</v>
      </c>
      <c r="D23" t="s">
        <v>417</v>
      </c>
      <c r="E23" t="s">
        <v>70</v>
      </c>
      <c r="F23" s="21"/>
      <c r="H23" t="s">
        <v>327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  <c r="AA23">
        <v>2430</v>
      </c>
      <c r="AB23" t="s">
        <v>212</v>
      </c>
    </row>
    <row r="24" spans="1:28" x14ac:dyDescent="0.25">
      <c r="A24">
        <v>181</v>
      </c>
      <c r="B24" s="2">
        <v>42183</v>
      </c>
      <c r="D24" t="s">
        <v>418</v>
      </c>
      <c r="E24" t="s">
        <v>71</v>
      </c>
      <c r="F24" s="21"/>
      <c r="H24" t="s">
        <v>328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  <c r="AA24">
        <v>632</v>
      </c>
      <c r="AB24" t="s">
        <v>214</v>
      </c>
    </row>
    <row r="25" spans="1:28" x14ac:dyDescent="0.25">
      <c r="A25">
        <v>182</v>
      </c>
      <c r="B25" s="2">
        <v>42184</v>
      </c>
      <c r="D25" t="s">
        <v>419</v>
      </c>
      <c r="E25" t="s">
        <v>72</v>
      </c>
      <c r="F25" s="21"/>
      <c r="H25" t="s">
        <v>329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  <c r="AA25">
        <v>1679</v>
      </c>
      <c r="AB25" t="s">
        <v>218</v>
      </c>
    </row>
    <row r="26" spans="1:28" x14ac:dyDescent="0.25">
      <c r="A26">
        <v>183</v>
      </c>
      <c r="B26" s="2">
        <v>42185</v>
      </c>
      <c r="D26" t="s">
        <v>207</v>
      </c>
      <c r="E26" t="s">
        <v>73</v>
      </c>
      <c r="F26" s="27"/>
      <c r="H26" t="s">
        <v>330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  <c r="AA26">
        <v>1125</v>
      </c>
      <c r="AB26" t="s">
        <v>219</v>
      </c>
    </row>
    <row r="27" spans="1:28" x14ac:dyDescent="0.25">
      <c r="A27">
        <v>184</v>
      </c>
      <c r="B27" s="2">
        <v>42186</v>
      </c>
      <c r="D27" t="s">
        <v>208</v>
      </c>
      <c r="E27" t="s">
        <v>74</v>
      </c>
      <c r="F27" s="27"/>
      <c r="H27" t="s">
        <v>331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  <c r="AA27">
        <v>1151</v>
      </c>
      <c r="AB27" t="s">
        <v>216</v>
      </c>
    </row>
    <row r="28" spans="1:28" x14ac:dyDescent="0.25">
      <c r="A28">
        <v>185</v>
      </c>
      <c r="B28" s="2">
        <v>42187</v>
      </c>
      <c r="D28" t="s">
        <v>209</v>
      </c>
      <c r="E28" t="s">
        <v>75</v>
      </c>
      <c r="F28" s="21"/>
      <c r="H28" t="s">
        <v>332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  <c r="AA28">
        <v>370</v>
      </c>
      <c r="AB28" t="s">
        <v>217</v>
      </c>
    </row>
    <row r="29" spans="1:28" x14ac:dyDescent="0.25">
      <c r="A29">
        <v>186</v>
      </c>
      <c r="B29" s="2">
        <v>42188</v>
      </c>
      <c r="D29" t="s">
        <v>210</v>
      </c>
      <c r="E29" t="s">
        <v>76</v>
      </c>
      <c r="F29" s="21"/>
      <c r="H29" t="s">
        <v>333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8" x14ac:dyDescent="0.25">
      <c r="A30">
        <v>187</v>
      </c>
      <c r="B30" s="2">
        <v>42189</v>
      </c>
      <c r="D30" t="s">
        <v>211</v>
      </c>
      <c r="E30" t="s">
        <v>77</v>
      </c>
      <c r="H30" t="s">
        <v>334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8" x14ac:dyDescent="0.25">
      <c r="A31">
        <v>188</v>
      </c>
      <c r="B31" s="2">
        <v>42190</v>
      </c>
      <c r="D31" t="s">
        <v>278</v>
      </c>
      <c r="E31" t="s">
        <v>78</v>
      </c>
      <c r="F31" s="27"/>
      <c r="H31" t="s">
        <v>335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8" x14ac:dyDescent="0.25">
      <c r="A32">
        <v>189</v>
      </c>
      <c r="B32" s="2">
        <v>42191</v>
      </c>
      <c r="D32" t="s">
        <v>212</v>
      </c>
      <c r="E32" t="s">
        <v>79</v>
      </c>
      <c r="H32" t="s">
        <v>336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42192</v>
      </c>
      <c r="D33" t="s">
        <v>213</v>
      </c>
      <c r="E33" t="s">
        <v>80</v>
      </c>
      <c r="F33" s="21"/>
      <c r="H33" t="s">
        <v>337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42193</v>
      </c>
      <c r="D34" t="s">
        <v>214</v>
      </c>
      <c r="E34" t="s">
        <v>81</v>
      </c>
      <c r="F34" s="21"/>
      <c r="H34" t="s">
        <v>338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42194</v>
      </c>
      <c r="D35" t="s">
        <v>215</v>
      </c>
      <c r="E35" t="s">
        <v>82</v>
      </c>
      <c r="F35" s="27"/>
      <c r="H35" t="s">
        <v>339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42195</v>
      </c>
      <c r="D36" t="s">
        <v>279</v>
      </c>
      <c r="E36" t="s">
        <v>83</v>
      </c>
      <c r="F36" s="21"/>
      <c r="H36" t="s">
        <v>340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42196</v>
      </c>
      <c r="D37" t="s">
        <v>216</v>
      </c>
      <c r="E37" t="s">
        <v>84</v>
      </c>
      <c r="F37" s="21"/>
      <c r="H37" t="s">
        <v>341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42197</v>
      </c>
      <c r="D38" t="s">
        <v>217</v>
      </c>
      <c r="E38" t="s">
        <v>85</v>
      </c>
      <c r="F38" s="20"/>
      <c r="H38" t="s">
        <v>342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42198</v>
      </c>
      <c r="D39" t="s">
        <v>218</v>
      </c>
      <c r="E39" t="s">
        <v>86</v>
      </c>
      <c r="F39" s="25"/>
      <c r="H39" t="s">
        <v>301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42199</v>
      </c>
      <c r="D40" t="s">
        <v>219</v>
      </c>
      <c r="E40" t="s">
        <v>87</v>
      </c>
      <c r="F40" s="26"/>
      <c r="H40" t="s">
        <v>343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42200</v>
      </c>
      <c r="D41" t="s">
        <v>280</v>
      </c>
      <c r="E41" t="s">
        <v>88</v>
      </c>
      <c r="F41" s="21"/>
      <c r="H41" t="s">
        <v>344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42201</v>
      </c>
      <c r="E42" t="s">
        <v>89</v>
      </c>
      <c r="F42" s="21"/>
      <c r="H42" t="s">
        <v>345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42202</v>
      </c>
      <c r="E43" t="s">
        <v>90</v>
      </c>
      <c r="F43" s="21"/>
      <c r="H43" t="s">
        <v>442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42203</v>
      </c>
      <c r="E44" t="s">
        <v>91</v>
      </c>
      <c r="F44" s="31"/>
      <c r="H44" t="s">
        <v>346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42204</v>
      </c>
      <c r="E45" t="s">
        <v>92</v>
      </c>
      <c r="H45" t="s">
        <v>347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42205</v>
      </c>
      <c r="E46" t="s">
        <v>93</v>
      </c>
      <c r="F46" s="28"/>
      <c r="H46" t="s">
        <v>348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42206</v>
      </c>
      <c r="E47" t="s">
        <v>94</v>
      </c>
      <c r="F47" s="28"/>
      <c r="H47" t="s">
        <v>349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42207</v>
      </c>
      <c r="E48" t="s">
        <v>95</v>
      </c>
      <c r="F48" s="29"/>
      <c r="H48" t="s">
        <v>350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42208</v>
      </c>
      <c r="E49" t="s">
        <v>96</v>
      </c>
      <c r="H49" t="s">
        <v>443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42209</v>
      </c>
      <c r="E50" t="s">
        <v>97</v>
      </c>
      <c r="H50" t="s">
        <v>351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42210</v>
      </c>
      <c r="E51" t="s">
        <v>98</v>
      </c>
      <c r="H51" t="s">
        <v>352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42211</v>
      </c>
      <c r="E52" t="s">
        <v>99</v>
      </c>
      <c r="H52" t="s">
        <v>353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42212</v>
      </c>
      <c r="E53" t="s">
        <v>100</v>
      </c>
      <c r="H53" t="s">
        <v>354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42213</v>
      </c>
      <c r="E54" t="s">
        <v>101</v>
      </c>
      <c r="H54" t="s">
        <v>444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42214</v>
      </c>
      <c r="E55" t="s">
        <v>102</v>
      </c>
      <c r="H55" t="s">
        <v>355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42215</v>
      </c>
      <c r="E56" t="s">
        <v>103</v>
      </c>
      <c r="H56" t="s">
        <v>356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42216</v>
      </c>
      <c r="E57" t="s">
        <v>104</v>
      </c>
      <c r="H57" t="s">
        <v>357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42217</v>
      </c>
      <c r="E58" t="s">
        <v>105</v>
      </c>
      <c r="H58" t="s">
        <v>358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42218</v>
      </c>
      <c r="E59" t="s">
        <v>106</v>
      </c>
      <c r="H59" t="s">
        <v>359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42219</v>
      </c>
      <c r="E60" t="s">
        <v>107</v>
      </c>
      <c r="H60" t="s">
        <v>360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42220</v>
      </c>
      <c r="E61" t="s">
        <v>108</v>
      </c>
      <c r="H61" t="s">
        <v>361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42221</v>
      </c>
      <c r="E62" t="s">
        <v>109</v>
      </c>
      <c r="H62" t="s">
        <v>362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42222</v>
      </c>
      <c r="E63" t="s">
        <v>110</v>
      </c>
      <c r="H63" t="s">
        <v>363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42223</v>
      </c>
      <c r="E64" t="s">
        <v>111</v>
      </c>
      <c r="H64" t="s">
        <v>364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42224</v>
      </c>
      <c r="E65" t="s">
        <v>112</v>
      </c>
      <c r="H65" t="s">
        <v>365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42225</v>
      </c>
      <c r="E66" t="s">
        <v>113</v>
      </c>
      <c r="H66" t="s">
        <v>366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42226</v>
      </c>
      <c r="E67" t="s">
        <v>114</v>
      </c>
      <c r="H67" t="s">
        <v>367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42227</v>
      </c>
      <c r="E68" t="s">
        <v>115</v>
      </c>
      <c r="H68" t="s">
        <v>304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42228</v>
      </c>
      <c r="E69" t="s">
        <v>116</v>
      </c>
      <c r="H69" t="s">
        <v>368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42229</v>
      </c>
      <c r="E70" t="s">
        <v>117</v>
      </c>
      <c r="H70" t="s">
        <v>369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42230</v>
      </c>
      <c r="E71" t="s">
        <v>118</v>
      </c>
      <c r="H71" t="s">
        <v>370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42231</v>
      </c>
      <c r="E72" t="s">
        <v>119</v>
      </c>
      <c r="H72" t="s">
        <v>371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42232</v>
      </c>
      <c r="E73" t="s">
        <v>120</v>
      </c>
      <c r="H73" t="s">
        <v>372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E74" t="s">
        <v>121</v>
      </c>
      <c r="H74" t="s">
        <v>373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E75" t="s">
        <v>122</v>
      </c>
      <c r="H75" t="s">
        <v>374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123</v>
      </c>
      <c r="H76" t="s">
        <v>306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124</v>
      </c>
      <c r="H77" t="s">
        <v>375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125</v>
      </c>
      <c r="H78" t="s">
        <v>376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126</v>
      </c>
      <c r="H79" t="s">
        <v>377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127</v>
      </c>
      <c r="H80" t="s">
        <v>378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128</v>
      </c>
      <c r="H81" t="s">
        <v>379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129</v>
      </c>
      <c r="H82" t="s">
        <v>380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130</v>
      </c>
      <c r="H83" t="s">
        <v>381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131</v>
      </c>
      <c r="H84" t="s">
        <v>382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132</v>
      </c>
      <c r="H85" t="s">
        <v>383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133</v>
      </c>
      <c r="H86" t="s">
        <v>302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134</v>
      </c>
      <c r="H87" t="s">
        <v>299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135</v>
      </c>
      <c r="H88" t="s">
        <v>384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420</v>
      </c>
      <c r="H89" t="s">
        <v>385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421</v>
      </c>
      <c r="H90" t="s">
        <v>386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422</v>
      </c>
      <c r="H91" t="s">
        <v>387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423</v>
      </c>
      <c r="H92" t="s">
        <v>388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424</v>
      </c>
      <c r="H93" t="s">
        <v>389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425</v>
      </c>
      <c r="H94" t="s">
        <v>390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426</v>
      </c>
      <c r="H95" t="s">
        <v>391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427</v>
      </c>
      <c r="H96" t="s">
        <v>392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428</v>
      </c>
      <c r="H97" t="s">
        <v>393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429</v>
      </c>
      <c r="H98" t="s">
        <v>305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430</v>
      </c>
      <c r="H99" t="s">
        <v>394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431</v>
      </c>
      <c r="H100" t="s">
        <v>395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432</v>
      </c>
      <c r="H101" t="s">
        <v>396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433</v>
      </c>
      <c r="H102" t="s">
        <v>397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434</v>
      </c>
      <c r="H103" t="s">
        <v>398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435</v>
      </c>
      <c r="H104" t="s">
        <v>399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436</v>
      </c>
      <c r="H105" t="s">
        <v>400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437</v>
      </c>
      <c r="H106" t="s">
        <v>401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438</v>
      </c>
      <c r="H107" t="s">
        <v>402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439</v>
      </c>
      <c r="H108" t="s">
        <v>403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136</v>
      </c>
      <c r="H109" t="s">
        <v>404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137</v>
      </c>
      <c r="H110" t="s">
        <v>405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138</v>
      </c>
      <c r="H111" t="s">
        <v>406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139</v>
      </c>
      <c r="H112" t="s">
        <v>407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140</v>
      </c>
      <c r="H113" t="s">
        <v>408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141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142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143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144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145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146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147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148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149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150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151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152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153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154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155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156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157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158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159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160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161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162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163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164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165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166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167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168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169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170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E144" t="s">
        <v>171</v>
      </c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5:25" x14ac:dyDescent="0.25">
      <c r="E145" t="s">
        <v>172</v>
      </c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5:25" x14ac:dyDescent="0.25">
      <c r="E146" t="s">
        <v>173</v>
      </c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5:25" x14ac:dyDescent="0.25">
      <c r="E147" t="s">
        <v>174</v>
      </c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5:25" x14ac:dyDescent="0.25">
      <c r="E148" t="s">
        <v>175</v>
      </c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5:25" x14ac:dyDescent="0.25">
      <c r="E149" t="s">
        <v>176</v>
      </c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5:25" x14ac:dyDescent="0.25">
      <c r="E150" t="s">
        <v>177</v>
      </c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5:25" x14ac:dyDescent="0.25">
      <c r="E151" t="s">
        <v>178</v>
      </c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5:25" x14ac:dyDescent="0.25">
      <c r="E152" t="s">
        <v>179</v>
      </c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5:25" x14ac:dyDescent="0.25">
      <c r="E153" t="s">
        <v>180</v>
      </c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5:25" x14ac:dyDescent="0.25">
      <c r="E154" t="s">
        <v>181</v>
      </c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5:25" x14ac:dyDescent="0.25">
      <c r="E155" t="s">
        <v>182</v>
      </c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5:25" x14ac:dyDescent="0.25">
      <c r="E156" t="s">
        <v>183</v>
      </c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5:25" x14ac:dyDescent="0.25">
      <c r="E157" t="s">
        <v>184</v>
      </c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5:25" x14ac:dyDescent="0.25">
      <c r="E158" t="s">
        <v>185</v>
      </c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5:25" x14ac:dyDescent="0.25">
      <c r="E159" t="s">
        <v>186</v>
      </c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5:25" x14ac:dyDescent="0.25">
      <c r="E160" t="s">
        <v>187</v>
      </c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5:25" x14ac:dyDescent="0.25">
      <c r="E161" t="s">
        <v>188</v>
      </c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5:25" x14ac:dyDescent="0.25">
      <c r="E162" t="s">
        <v>189</v>
      </c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5:25" x14ac:dyDescent="0.25">
      <c r="E163" t="s">
        <v>190</v>
      </c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5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5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5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5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5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5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5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5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5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5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5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5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5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sortState ref="C2:C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Welcome</vt:lpstr>
      <vt:lpstr>Data</vt:lpstr>
      <vt:lpstr>Occasion</vt:lpstr>
      <vt:lpstr>Records</vt:lpstr>
      <vt:lpstr>Occ_Prep</vt:lpstr>
      <vt:lpstr>Rec_Prep</vt:lpstr>
      <vt:lpstr>Lists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2015-07-06T21:47:15Z</dcterms:modified>
</cp:coreProperties>
</file>